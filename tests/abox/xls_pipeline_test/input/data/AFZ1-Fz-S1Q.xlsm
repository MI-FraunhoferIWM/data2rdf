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Daku\Desktop\"/>
    </mc:Choice>
  </mc:AlternateContent>
  <xr:revisionPtr revIDLastSave="0" documentId="13_ncr:1_{DA5445D3-67AA-4D22-9401-218AD56563F3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Basisdaten" sheetId="10" r:id="rId1"/>
    <sheet name="Messdaten" sheetId="2" r:id="rId2"/>
    <sheet name="Auswertung" sheetId="4" r:id="rId3"/>
    <sheet name="Protokoll" sheetId="12" r:id="rId4"/>
    <sheet name="Protokoll 2" sheetId="13" r:id="rId5"/>
    <sheet name="Protokoll 3" sheetId="14" r:id="rId6"/>
    <sheet name="Diagramm1" sheetId="15" r:id="rId7"/>
    <sheet name="Diagramm 1" sheetId="17" r:id="rId8"/>
    <sheet name="Diagramm 2" sheetId="19" r:id="rId9"/>
  </sheets>
  <functionGroups builtInGroupCount="19"/>
  <definedNames>
    <definedName name="GTageJahr">#REF!</definedName>
    <definedName name="Mitarbeiter">#REF!</definedName>
    <definedName name="STageJahr">#REF!</definedName>
    <definedName name="UtageJahr">#REF!</definedName>
  </definedNames>
  <calcPr calcId="191029"/>
</workbook>
</file>

<file path=xl/calcChain.xml><?xml version="1.0" encoding="utf-8"?>
<calcChain xmlns="http://schemas.openxmlformats.org/spreadsheetml/2006/main">
  <c r="N20" i="12" l="1"/>
  <c r="M16" i="12"/>
  <c r="M15" i="12"/>
  <c r="M14" i="12"/>
  <c r="H10" i="4"/>
  <c r="D9" i="4"/>
  <c r="D8" i="4"/>
  <c r="C8" i="4"/>
  <c r="C9" i="4"/>
  <c r="B9" i="4"/>
  <c r="E474" i="2"/>
  <c r="Q41" i="2"/>
  <c r="Q53" i="2"/>
  <c r="Q65" i="2"/>
  <c r="Q77" i="2"/>
  <c r="Q89" i="2"/>
  <c r="Q101" i="2"/>
  <c r="Q113" i="2"/>
  <c r="Q125" i="2"/>
  <c r="Q137" i="2"/>
  <c r="Q149" i="2"/>
  <c r="Q161" i="2"/>
  <c r="Q173" i="2"/>
  <c r="Q185" i="2"/>
  <c r="Q197" i="2"/>
  <c r="Q209" i="2"/>
  <c r="Q233" i="2"/>
  <c r="Q245" i="2"/>
  <c r="Q257" i="2"/>
  <c r="Q269" i="2"/>
  <c r="Q281" i="2"/>
  <c r="Q293" i="2"/>
  <c r="Q305" i="2"/>
  <c r="Q311" i="2"/>
  <c r="Q317" i="2"/>
  <c r="Q323" i="2"/>
  <c r="Q329" i="2"/>
  <c r="Q335" i="2"/>
  <c r="Q341" i="2"/>
  <c r="Q347" i="2"/>
  <c r="Q353" i="2"/>
  <c r="Q365" i="2"/>
  <c r="Q371" i="2"/>
  <c r="Q377" i="2"/>
  <c r="Q383" i="2"/>
  <c r="Q389" i="2"/>
  <c r="Q395" i="2"/>
  <c r="Q401" i="2"/>
  <c r="Q407" i="2"/>
  <c r="Q413" i="2"/>
  <c r="Q419" i="2"/>
  <c r="Q425" i="2"/>
  <c r="Q431" i="2"/>
  <c r="Q437" i="2"/>
  <c r="Q443" i="2"/>
  <c r="Q449" i="2"/>
  <c r="Q455" i="2"/>
  <c r="Q461" i="2"/>
  <c r="Q467" i="2"/>
  <c r="Q24" i="2"/>
  <c r="Q36" i="2"/>
  <c r="Q48" i="2"/>
  <c r="Q60" i="2"/>
  <c r="Q72" i="2"/>
  <c r="Q84" i="2"/>
  <c r="Q96" i="2"/>
  <c r="Q108" i="2"/>
  <c r="Q120" i="2"/>
  <c r="Q132" i="2"/>
  <c r="Q144" i="2"/>
  <c r="Q155" i="2"/>
  <c r="Q156" i="2"/>
  <c r="Q168" i="2"/>
  <c r="Q179" i="2"/>
  <c r="Q180" i="2"/>
  <c r="Q191" i="2"/>
  <c r="Q192" i="2"/>
  <c r="Q203" i="2"/>
  <c r="Q204" i="2"/>
  <c r="Q215" i="2"/>
  <c r="Q216" i="2"/>
  <c r="Q227" i="2"/>
  <c r="Q239" i="2"/>
  <c r="Q240" i="2"/>
  <c r="Q251" i="2"/>
  <c r="Q252" i="2"/>
  <c r="Q263" i="2"/>
  <c r="Q275" i="2"/>
  <c r="Q276" i="2"/>
  <c r="Q287" i="2"/>
  <c r="Q288" i="2"/>
  <c r="Q299" i="2"/>
  <c r="Q312" i="2"/>
  <c r="Q324" i="2"/>
  <c r="Q348" i="2"/>
  <c r="Q360" i="2"/>
  <c r="Q372" i="2"/>
  <c r="Q384" i="2"/>
  <c r="Q396" i="2"/>
  <c r="Q408" i="2"/>
  <c r="Q420" i="2"/>
  <c r="Q432" i="2"/>
  <c r="Q444" i="2"/>
  <c r="Q453" i="2"/>
  <c r="Q456" i="2"/>
  <c r="Q465" i="2"/>
  <c r="Q468" i="2"/>
  <c r="J474" i="2"/>
  <c r="H15" i="2"/>
  <c r="Q22" i="2"/>
  <c r="Q25" i="2"/>
  <c r="Q27" i="2"/>
  <c r="Q34" i="2"/>
  <c r="Q37" i="2"/>
  <c r="Q39" i="2"/>
  <c r="Q46" i="2"/>
  <c r="Q51" i="2"/>
  <c r="Q58" i="2"/>
  <c r="Q61" i="2"/>
  <c r="Q63" i="2"/>
  <c r="Q70" i="2"/>
  <c r="Q73" i="2"/>
  <c r="Q75" i="2"/>
  <c r="Q82" i="2"/>
  <c r="Q85" i="2"/>
  <c r="Q87" i="2"/>
  <c r="Q94" i="2"/>
  <c r="Q97" i="2"/>
  <c r="Q99" i="2"/>
  <c r="Q106" i="2"/>
  <c r="Q109" i="2"/>
  <c r="Q111" i="2"/>
  <c r="Q121" i="2"/>
  <c r="Q123" i="2"/>
  <c r="Q130" i="2"/>
  <c r="Q133" i="2"/>
  <c r="Q135" i="2"/>
  <c r="Q142" i="2"/>
  <c r="Q145" i="2"/>
  <c r="Q147" i="2"/>
  <c r="Q154" i="2"/>
  <c r="Q157" i="2"/>
  <c r="Q159" i="2"/>
  <c r="Q166" i="2"/>
  <c r="Q169" i="2"/>
  <c r="Q171" i="2"/>
  <c r="Q178" i="2"/>
  <c r="Q181" i="2"/>
  <c r="Q183" i="2"/>
  <c r="Q195" i="2"/>
  <c r="Q202" i="2"/>
  <c r="Q205" i="2"/>
  <c r="Q207" i="2"/>
  <c r="Q214" i="2"/>
  <c r="Q217" i="2"/>
  <c r="Q219" i="2"/>
  <c r="Q226" i="2"/>
  <c r="Q228" i="2"/>
  <c r="Q229" i="2"/>
  <c r="Q231" i="2"/>
  <c r="Q238" i="2"/>
  <c r="Q241" i="2"/>
  <c r="Q243" i="2"/>
  <c r="Q250" i="2"/>
  <c r="Q253" i="2"/>
  <c r="Q255" i="2"/>
  <c r="Q262" i="2"/>
  <c r="Q264" i="2"/>
  <c r="Q265" i="2"/>
  <c r="Q267" i="2"/>
  <c r="Q274" i="2"/>
  <c r="Q277" i="2"/>
  <c r="Q279" i="2"/>
  <c r="Q286" i="2"/>
  <c r="Q289" i="2"/>
  <c r="Q291" i="2"/>
  <c r="Q298" i="2"/>
  <c r="Q300" i="2"/>
  <c r="Q301" i="2"/>
  <c r="Q303" i="2"/>
  <c r="Q310" i="2"/>
  <c r="Q313" i="2"/>
  <c r="Q315" i="2"/>
  <c r="Q322" i="2"/>
  <c r="Q325" i="2"/>
  <c r="Q327" i="2"/>
  <c r="Q334" i="2"/>
  <c r="Q336" i="2"/>
  <c r="Q339" i="2"/>
  <c r="Q349" i="2"/>
  <c r="Q351" i="2"/>
  <c r="Q358" i="2"/>
  <c r="Q363" i="2"/>
  <c r="Q370" i="2"/>
  <c r="Q373" i="2"/>
  <c r="Q375" i="2"/>
  <c r="Q382" i="2"/>
  <c r="Q385" i="2"/>
  <c r="Q387" i="2"/>
  <c r="Q394" i="2"/>
  <c r="Q397" i="2"/>
  <c r="Q399" i="2"/>
  <c r="Q406" i="2"/>
  <c r="Q409" i="2"/>
  <c r="Q411" i="2"/>
  <c r="Q418" i="2"/>
  <c r="Q421" i="2"/>
  <c r="Q423" i="2"/>
  <c r="Q430" i="2"/>
  <c r="Q433" i="2"/>
  <c r="Q434" i="2"/>
  <c r="Q435" i="2"/>
  <c r="Q442" i="2"/>
  <c r="Q445" i="2"/>
  <c r="Q447" i="2"/>
  <c r="Q454" i="2"/>
  <c r="Q457" i="2"/>
  <c r="Q458" i="2"/>
  <c r="Q459" i="2"/>
  <c r="Q463" i="2"/>
  <c r="Q466" i="2"/>
  <c r="Q469" i="2"/>
  <c r="Q470" i="2"/>
  <c r="Q471" i="2"/>
  <c r="Q473" i="2"/>
  <c r="Q474" i="2"/>
  <c r="I8" i="14"/>
  <c r="H7" i="12"/>
  <c r="F6" i="12"/>
  <c r="H474" i="2"/>
  <c r="J473" i="2"/>
  <c r="H473" i="2"/>
  <c r="J472" i="2"/>
  <c r="H472" i="2"/>
  <c r="Q472" i="2"/>
  <c r="J471" i="2"/>
  <c r="H471" i="2"/>
  <c r="J470" i="2"/>
  <c r="H470" i="2"/>
  <c r="J469" i="2"/>
  <c r="H469" i="2"/>
  <c r="J468" i="2"/>
  <c r="H468" i="2"/>
  <c r="J467" i="2"/>
  <c r="H467" i="2"/>
  <c r="J466" i="2"/>
  <c r="H466" i="2"/>
  <c r="J465" i="2"/>
  <c r="H465" i="2"/>
  <c r="J464" i="2"/>
  <c r="H464" i="2"/>
  <c r="Q464" i="2"/>
  <c r="J463" i="2"/>
  <c r="H463" i="2"/>
  <c r="J462" i="2"/>
  <c r="H462" i="2"/>
  <c r="Q462" i="2"/>
  <c r="J461" i="2"/>
  <c r="H461" i="2"/>
  <c r="J460" i="2"/>
  <c r="H460" i="2"/>
  <c r="Q460" i="2"/>
  <c r="J459" i="2"/>
  <c r="H459" i="2"/>
  <c r="J458" i="2"/>
  <c r="H458" i="2"/>
  <c r="J457" i="2"/>
  <c r="H457" i="2"/>
  <c r="J456" i="2"/>
  <c r="H456" i="2"/>
  <c r="J455" i="2"/>
  <c r="H455" i="2"/>
  <c r="J454" i="2"/>
  <c r="H454" i="2"/>
  <c r="J453" i="2"/>
  <c r="H453" i="2"/>
  <c r="J452" i="2"/>
  <c r="H452" i="2"/>
  <c r="Q452" i="2"/>
  <c r="J451" i="2"/>
  <c r="H451" i="2"/>
  <c r="Q451" i="2"/>
  <c r="Q450" i="2"/>
  <c r="J450" i="2"/>
  <c r="H450" i="2"/>
  <c r="J449" i="2"/>
  <c r="H449" i="2"/>
  <c r="J448" i="2"/>
  <c r="H448" i="2"/>
  <c r="Q448" i="2"/>
  <c r="J447" i="2"/>
  <c r="H447" i="2"/>
  <c r="Q446" i="2"/>
  <c r="J446" i="2"/>
  <c r="H446" i="2"/>
  <c r="J445" i="2"/>
  <c r="H445" i="2"/>
  <c r="J444" i="2"/>
  <c r="H444" i="2"/>
  <c r="J443" i="2"/>
  <c r="H443" i="2"/>
  <c r="J442" i="2"/>
  <c r="H442" i="2"/>
  <c r="J441" i="2"/>
  <c r="H441" i="2"/>
  <c r="Q441" i="2"/>
  <c r="J440" i="2"/>
  <c r="H440" i="2"/>
  <c r="Q440" i="2"/>
  <c r="J439" i="2"/>
  <c r="H439" i="2"/>
  <c r="Q439" i="2"/>
  <c r="J438" i="2"/>
  <c r="H438" i="2"/>
  <c r="Q438" i="2"/>
  <c r="J437" i="2"/>
  <c r="H437" i="2"/>
  <c r="J436" i="2"/>
  <c r="H436" i="2"/>
  <c r="Q436" i="2"/>
  <c r="J435" i="2"/>
  <c r="H435" i="2"/>
  <c r="J434" i="2"/>
  <c r="H434" i="2"/>
  <c r="J433" i="2"/>
  <c r="H433" i="2"/>
  <c r="J432" i="2"/>
  <c r="H432" i="2"/>
  <c r="J431" i="2"/>
  <c r="H431" i="2"/>
  <c r="J430" i="2"/>
  <c r="H430" i="2"/>
  <c r="J429" i="2"/>
  <c r="H429" i="2"/>
  <c r="Q429" i="2"/>
  <c r="J428" i="2"/>
  <c r="H428" i="2"/>
  <c r="Q428" i="2"/>
  <c r="J427" i="2"/>
  <c r="H427" i="2"/>
  <c r="Q427" i="2"/>
  <c r="J426" i="2"/>
  <c r="H426" i="2"/>
  <c r="Q426" i="2"/>
  <c r="J425" i="2"/>
  <c r="H425" i="2"/>
  <c r="J424" i="2"/>
  <c r="H424" i="2"/>
  <c r="Q424" i="2"/>
  <c r="J423" i="2"/>
  <c r="H423" i="2"/>
  <c r="J422" i="2"/>
  <c r="H422" i="2"/>
  <c r="Q422" i="2"/>
  <c r="J421" i="2"/>
  <c r="H421" i="2"/>
  <c r="J420" i="2"/>
  <c r="H420" i="2"/>
  <c r="J419" i="2"/>
  <c r="H419" i="2"/>
  <c r="J418" i="2"/>
  <c r="H418" i="2"/>
  <c r="J417" i="2"/>
  <c r="H417" i="2"/>
  <c r="Q417" i="2"/>
  <c r="J416" i="2"/>
  <c r="H416" i="2"/>
  <c r="Q416" i="2"/>
  <c r="J415" i="2"/>
  <c r="H415" i="2"/>
  <c r="Q415" i="2"/>
  <c r="J414" i="2"/>
  <c r="H414" i="2"/>
  <c r="Q414" i="2"/>
  <c r="J413" i="2"/>
  <c r="H413" i="2"/>
  <c r="Q412" i="2"/>
  <c r="J412" i="2"/>
  <c r="H412" i="2"/>
  <c r="J411" i="2"/>
  <c r="H411" i="2"/>
  <c r="J410" i="2"/>
  <c r="H410" i="2"/>
  <c r="Q410" i="2"/>
  <c r="J409" i="2"/>
  <c r="H409" i="2"/>
  <c r="J408" i="2"/>
  <c r="H408" i="2"/>
  <c r="J407" i="2"/>
  <c r="H407" i="2"/>
  <c r="J406" i="2"/>
  <c r="H406" i="2"/>
  <c r="J405" i="2"/>
  <c r="H405" i="2"/>
  <c r="Q405" i="2"/>
  <c r="J404" i="2"/>
  <c r="H404" i="2"/>
  <c r="Q404" i="2"/>
  <c r="J403" i="2"/>
  <c r="H403" i="2"/>
  <c r="Q403" i="2"/>
  <c r="J402" i="2"/>
  <c r="H402" i="2"/>
  <c r="Q402" i="2"/>
  <c r="J401" i="2"/>
  <c r="H401" i="2"/>
  <c r="J400" i="2"/>
  <c r="H400" i="2"/>
  <c r="Q400" i="2"/>
  <c r="J399" i="2"/>
  <c r="H399" i="2"/>
  <c r="J398" i="2"/>
  <c r="H398" i="2"/>
  <c r="Q398" i="2"/>
  <c r="J397" i="2"/>
  <c r="H397" i="2"/>
  <c r="J396" i="2"/>
  <c r="H396" i="2"/>
  <c r="J395" i="2"/>
  <c r="H395" i="2"/>
  <c r="J394" i="2"/>
  <c r="H394" i="2"/>
  <c r="Q393" i="2"/>
  <c r="J393" i="2"/>
  <c r="H393" i="2"/>
  <c r="J392" i="2"/>
  <c r="H392" i="2"/>
  <c r="Q392" i="2"/>
  <c r="J391" i="2"/>
  <c r="H391" i="2"/>
  <c r="Q391" i="2"/>
  <c r="J390" i="2"/>
  <c r="H390" i="2"/>
  <c r="Q390" i="2"/>
  <c r="J389" i="2"/>
  <c r="H389" i="2"/>
  <c r="J388" i="2"/>
  <c r="H388" i="2"/>
  <c r="Q388" i="2"/>
  <c r="J387" i="2"/>
  <c r="H387" i="2"/>
  <c r="J386" i="2"/>
  <c r="H386" i="2"/>
  <c r="Q386" i="2"/>
  <c r="J385" i="2"/>
  <c r="H385" i="2"/>
  <c r="J384" i="2"/>
  <c r="H384" i="2"/>
  <c r="J383" i="2"/>
  <c r="H383" i="2"/>
  <c r="J382" i="2"/>
  <c r="H382" i="2"/>
  <c r="J381" i="2"/>
  <c r="H381" i="2"/>
  <c r="Q381" i="2"/>
  <c r="J380" i="2"/>
  <c r="H380" i="2"/>
  <c r="Q380" i="2"/>
  <c r="J379" i="2"/>
  <c r="H379" i="2"/>
  <c r="Q379" i="2"/>
  <c r="J378" i="2"/>
  <c r="H378" i="2"/>
  <c r="Q378" i="2"/>
  <c r="J377" i="2"/>
  <c r="H377" i="2"/>
  <c r="J376" i="2"/>
  <c r="H376" i="2"/>
  <c r="Q376" i="2"/>
  <c r="J375" i="2"/>
  <c r="H375" i="2"/>
  <c r="J374" i="2"/>
  <c r="H374" i="2"/>
  <c r="Q374" i="2"/>
  <c r="J373" i="2"/>
  <c r="H373" i="2"/>
  <c r="J372" i="2"/>
  <c r="H372" i="2"/>
  <c r="J371" i="2"/>
  <c r="H371" i="2"/>
  <c r="J370" i="2"/>
  <c r="H370" i="2"/>
  <c r="Q369" i="2"/>
  <c r="J369" i="2"/>
  <c r="H369" i="2"/>
  <c r="J368" i="2"/>
  <c r="H368" i="2"/>
  <c r="Q368" i="2"/>
  <c r="J367" i="2"/>
  <c r="H367" i="2"/>
  <c r="Q367" i="2"/>
  <c r="J366" i="2"/>
  <c r="H366" i="2"/>
  <c r="Q366" i="2"/>
  <c r="J365" i="2"/>
  <c r="H365" i="2"/>
  <c r="J364" i="2"/>
  <c r="H364" i="2"/>
  <c r="Q364" i="2"/>
  <c r="J363" i="2"/>
  <c r="H363" i="2"/>
  <c r="J362" i="2"/>
  <c r="H362" i="2"/>
  <c r="Q362" i="2"/>
  <c r="Q361" i="2"/>
  <c r="J361" i="2"/>
  <c r="H361" i="2"/>
  <c r="J360" i="2"/>
  <c r="H360" i="2"/>
  <c r="J359" i="2"/>
  <c r="H359" i="2"/>
  <c r="Q359" i="2"/>
  <c r="J358" i="2"/>
  <c r="H358" i="2"/>
  <c r="J357" i="2"/>
  <c r="H357" i="2"/>
  <c r="Q357" i="2"/>
  <c r="J356" i="2"/>
  <c r="H356" i="2"/>
  <c r="Q356" i="2"/>
  <c r="J355" i="2"/>
  <c r="H355" i="2"/>
  <c r="Q355" i="2"/>
  <c r="J354" i="2"/>
  <c r="H354" i="2"/>
  <c r="Q354" i="2"/>
  <c r="J353" i="2"/>
  <c r="H353" i="2"/>
  <c r="J352" i="2"/>
  <c r="H352" i="2"/>
  <c r="Q352" i="2"/>
  <c r="J351" i="2"/>
  <c r="H351" i="2"/>
  <c r="J350" i="2"/>
  <c r="H350" i="2"/>
  <c r="Q350" i="2"/>
  <c r="J349" i="2"/>
  <c r="H349" i="2"/>
  <c r="J348" i="2"/>
  <c r="H348" i="2"/>
  <c r="J347" i="2"/>
  <c r="H347" i="2"/>
  <c r="J346" i="2"/>
  <c r="H346" i="2"/>
  <c r="Q346" i="2"/>
  <c r="J345" i="2"/>
  <c r="H345" i="2"/>
  <c r="Q345" i="2"/>
  <c r="J344" i="2"/>
  <c r="H344" i="2"/>
  <c r="Q344" i="2"/>
  <c r="J343" i="2"/>
  <c r="H343" i="2"/>
  <c r="Q343" i="2"/>
  <c r="J342" i="2"/>
  <c r="H342" i="2"/>
  <c r="Q342" i="2"/>
  <c r="J341" i="2"/>
  <c r="H341" i="2"/>
  <c r="J340" i="2"/>
  <c r="H340" i="2"/>
  <c r="Q340" i="2"/>
  <c r="J339" i="2"/>
  <c r="H339" i="2"/>
  <c r="J338" i="2"/>
  <c r="H338" i="2"/>
  <c r="Q338" i="2"/>
  <c r="J337" i="2"/>
  <c r="H337" i="2"/>
  <c r="Q337" i="2"/>
  <c r="J336" i="2"/>
  <c r="H336" i="2"/>
  <c r="J335" i="2"/>
  <c r="H335" i="2"/>
  <c r="J334" i="2"/>
  <c r="H334" i="2"/>
  <c r="J333" i="2"/>
  <c r="H333" i="2"/>
  <c r="Q333" i="2"/>
  <c r="J332" i="2"/>
  <c r="H332" i="2"/>
  <c r="Q332" i="2"/>
  <c r="J331" i="2"/>
  <c r="H331" i="2"/>
  <c r="Q331" i="2"/>
  <c r="J330" i="2"/>
  <c r="H330" i="2"/>
  <c r="Q330" i="2"/>
  <c r="J329" i="2"/>
  <c r="H329" i="2"/>
  <c r="J328" i="2"/>
  <c r="H328" i="2"/>
  <c r="Q328" i="2"/>
  <c r="J327" i="2"/>
  <c r="H327" i="2"/>
  <c r="J326" i="2"/>
  <c r="H326" i="2"/>
  <c r="Q326" i="2"/>
  <c r="J325" i="2"/>
  <c r="H325" i="2"/>
  <c r="J324" i="2"/>
  <c r="H324" i="2"/>
  <c r="J323" i="2"/>
  <c r="H323" i="2"/>
  <c r="J322" i="2"/>
  <c r="H322" i="2"/>
  <c r="Q321" i="2"/>
  <c r="J321" i="2"/>
  <c r="H321" i="2"/>
  <c r="J320" i="2"/>
  <c r="H320" i="2"/>
  <c r="Q320" i="2"/>
  <c r="J319" i="2"/>
  <c r="H319" i="2"/>
  <c r="Q319" i="2"/>
  <c r="J318" i="2"/>
  <c r="H318" i="2"/>
  <c r="Q318" i="2"/>
  <c r="J317" i="2"/>
  <c r="H317" i="2"/>
  <c r="J316" i="2"/>
  <c r="H316" i="2"/>
  <c r="Q316" i="2"/>
  <c r="J315" i="2"/>
  <c r="H315" i="2"/>
  <c r="J314" i="2"/>
  <c r="H314" i="2"/>
  <c r="Q314" i="2"/>
  <c r="J313" i="2"/>
  <c r="H313" i="2"/>
  <c r="J312" i="2"/>
  <c r="H312" i="2"/>
  <c r="J311" i="2"/>
  <c r="H311" i="2"/>
  <c r="J310" i="2"/>
  <c r="H310" i="2"/>
  <c r="J309" i="2"/>
  <c r="H309" i="2"/>
  <c r="Q309" i="2"/>
  <c r="J308" i="2"/>
  <c r="H308" i="2"/>
  <c r="Q308" i="2"/>
  <c r="J307" i="2"/>
  <c r="H307" i="2"/>
  <c r="Q307" i="2"/>
  <c r="J306" i="2"/>
  <c r="H306" i="2"/>
  <c r="Q306" i="2"/>
  <c r="J305" i="2"/>
  <c r="H305" i="2"/>
  <c r="J304" i="2"/>
  <c r="H304" i="2"/>
  <c r="Q304" i="2"/>
  <c r="J303" i="2"/>
  <c r="H303" i="2"/>
  <c r="J302" i="2"/>
  <c r="H302" i="2"/>
  <c r="Q302" i="2"/>
  <c r="J301" i="2"/>
  <c r="H301" i="2"/>
  <c r="J300" i="2"/>
  <c r="H300" i="2"/>
  <c r="J299" i="2"/>
  <c r="H299" i="2"/>
  <c r="J298" i="2"/>
  <c r="H298" i="2"/>
  <c r="J297" i="2"/>
  <c r="H297" i="2"/>
  <c r="Q297" i="2"/>
  <c r="J296" i="2"/>
  <c r="H296" i="2"/>
  <c r="Q296" i="2"/>
  <c r="J295" i="2"/>
  <c r="H295" i="2"/>
  <c r="Q295" i="2"/>
  <c r="J294" i="2"/>
  <c r="H294" i="2"/>
  <c r="Q294" i="2"/>
  <c r="J293" i="2"/>
  <c r="H293" i="2"/>
  <c r="J292" i="2"/>
  <c r="H292" i="2"/>
  <c r="Q292" i="2"/>
  <c r="J291" i="2"/>
  <c r="H291" i="2"/>
  <c r="J290" i="2"/>
  <c r="H290" i="2"/>
  <c r="Q290" i="2"/>
  <c r="J289" i="2"/>
  <c r="H289" i="2"/>
  <c r="J288" i="2"/>
  <c r="H288" i="2"/>
  <c r="J287" i="2"/>
  <c r="H287" i="2"/>
  <c r="J286" i="2"/>
  <c r="H286" i="2"/>
  <c r="J285" i="2"/>
  <c r="H285" i="2"/>
  <c r="Q285" i="2"/>
  <c r="J284" i="2"/>
  <c r="H284" i="2"/>
  <c r="Q284" i="2"/>
  <c r="J283" i="2"/>
  <c r="H283" i="2"/>
  <c r="Q283" i="2"/>
  <c r="J282" i="2"/>
  <c r="H282" i="2"/>
  <c r="Q282" i="2"/>
  <c r="J281" i="2"/>
  <c r="H281" i="2"/>
  <c r="J280" i="2"/>
  <c r="H280" i="2"/>
  <c r="Q280" i="2"/>
  <c r="J279" i="2"/>
  <c r="H279" i="2"/>
  <c r="J278" i="2"/>
  <c r="H278" i="2"/>
  <c r="Q278" i="2"/>
  <c r="J277" i="2"/>
  <c r="H277" i="2"/>
  <c r="J276" i="2"/>
  <c r="H276" i="2"/>
  <c r="J275" i="2"/>
  <c r="H275" i="2"/>
  <c r="J274" i="2"/>
  <c r="H274" i="2"/>
  <c r="J273" i="2"/>
  <c r="H273" i="2"/>
  <c r="Q273" i="2"/>
  <c r="J272" i="2"/>
  <c r="H272" i="2"/>
  <c r="Q272" i="2"/>
  <c r="J271" i="2"/>
  <c r="H271" i="2"/>
  <c r="Q271" i="2"/>
  <c r="J270" i="2"/>
  <c r="H270" i="2"/>
  <c r="Q270" i="2"/>
  <c r="J269" i="2"/>
  <c r="H269" i="2"/>
  <c r="J268" i="2"/>
  <c r="H268" i="2"/>
  <c r="Q268" i="2"/>
  <c r="J267" i="2"/>
  <c r="H267" i="2"/>
  <c r="J266" i="2"/>
  <c r="H266" i="2"/>
  <c r="Q266" i="2"/>
  <c r="J265" i="2"/>
  <c r="H265" i="2"/>
  <c r="J264" i="2"/>
  <c r="H264" i="2"/>
  <c r="J263" i="2"/>
  <c r="H263" i="2"/>
  <c r="J262" i="2"/>
  <c r="H262" i="2"/>
  <c r="J261" i="2"/>
  <c r="H261" i="2"/>
  <c r="Q261" i="2"/>
  <c r="J260" i="2"/>
  <c r="H260" i="2"/>
  <c r="Q260" i="2"/>
  <c r="J259" i="2"/>
  <c r="H259" i="2"/>
  <c r="Q259" i="2"/>
  <c r="J258" i="2"/>
  <c r="H258" i="2"/>
  <c r="Q258" i="2"/>
  <c r="J257" i="2"/>
  <c r="H257" i="2"/>
  <c r="J256" i="2"/>
  <c r="H256" i="2"/>
  <c r="Q256" i="2"/>
  <c r="J255" i="2"/>
  <c r="H255" i="2"/>
  <c r="J254" i="2"/>
  <c r="H254" i="2"/>
  <c r="Q254" i="2"/>
  <c r="J253" i="2"/>
  <c r="H253" i="2"/>
  <c r="J252" i="2"/>
  <c r="H252" i="2"/>
  <c r="J251" i="2"/>
  <c r="H251" i="2"/>
  <c r="J250" i="2"/>
  <c r="H250" i="2"/>
  <c r="J249" i="2"/>
  <c r="H249" i="2"/>
  <c r="Q249" i="2"/>
  <c r="J248" i="2"/>
  <c r="H248" i="2"/>
  <c r="Q248" i="2"/>
  <c r="J247" i="2"/>
  <c r="H247" i="2"/>
  <c r="Q247" i="2"/>
  <c r="J246" i="2"/>
  <c r="H246" i="2"/>
  <c r="Q246" i="2"/>
  <c r="J245" i="2"/>
  <c r="H245" i="2"/>
  <c r="J244" i="2"/>
  <c r="H244" i="2"/>
  <c r="Q244" i="2"/>
  <c r="J243" i="2"/>
  <c r="H243" i="2"/>
  <c r="J242" i="2"/>
  <c r="H242" i="2"/>
  <c r="Q242" i="2"/>
  <c r="J241" i="2"/>
  <c r="H241" i="2"/>
  <c r="J240" i="2"/>
  <c r="H240" i="2"/>
  <c r="J239" i="2"/>
  <c r="H239" i="2"/>
  <c r="J238" i="2"/>
  <c r="H238" i="2"/>
  <c r="J237" i="2"/>
  <c r="H237" i="2"/>
  <c r="Q237" i="2"/>
  <c r="J236" i="2"/>
  <c r="H236" i="2"/>
  <c r="Q236" i="2"/>
  <c r="J235" i="2"/>
  <c r="H235" i="2"/>
  <c r="Q235" i="2"/>
  <c r="J234" i="2"/>
  <c r="H234" i="2"/>
  <c r="Q234" i="2"/>
  <c r="J233" i="2"/>
  <c r="H233" i="2"/>
  <c r="J232" i="2"/>
  <c r="H232" i="2"/>
  <c r="Q232" i="2"/>
  <c r="J231" i="2"/>
  <c r="H231" i="2"/>
  <c r="J230" i="2"/>
  <c r="H230" i="2"/>
  <c r="Q230" i="2"/>
  <c r="J229" i="2"/>
  <c r="H229" i="2"/>
  <c r="J228" i="2"/>
  <c r="H228" i="2"/>
  <c r="J227" i="2"/>
  <c r="H227" i="2"/>
  <c r="J226" i="2"/>
  <c r="H226" i="2"/>
  <c r="J225" i="2"/>
  <c r="H225" i="2"/>
  <c r="Q225" i="2"/>
  <c r="J224" i="2"/>
  <c r="H224" i="2"/>
  <c r="Q224" i="2"/>
  <c r="J223" i="2"/>
  <c r="H223" i="2"/>
  <c r="Q223" i="2"/>
  <c r="J222" i="2"/>
  <c r="H222" i="2"/>
  <c r="Q222" i="2"/>
  <c r="J221" i="2"/>
  <c r="H221" i="2"/>
  <c r="Q221" i="2"/>
  <c r="J220" i="2"/>
  <c r="H220" i="2"/>
  <c r="Q220" i="2"/>
  <c r="J219" i="2"/>
  <c r="H219" i="2"/>
  <c r="J218" i="2"/>
  <c r="H218" i="2"/>
  <c r="Q218" i="2"/>
  <c r="J217" i="2"/>
  <c r="H217" i="2"/>
  <c r="J216" i="2"/>
  <c r="H216" i="2"/>
  <c r="J215" i="2"/>
  <c r="H215" i="2"/>
  <c r="J214" i="2"/>
  <c r="H214" i="2"/>
  <c r="J213" i="2"/>
  <c r="H213" i="2"/>
  <c r="Q213" i="2"/>
  <c r="J212" i="2"/>
  <c r="H212" i="2"/>
  <c r="Q212" i="2"/>
  <c r="J211" i="2"/>
  <c r="H211" i="2"/>
  <c r="Q211" i="2"/>
  <c r="J210" i="2"/>
  <c r="H210" i="2"/>
  <c r="Q210" i="2"/>
  <c r="J209" i="2"/>
  <c r="H209" i="2"/>
  <c r="J208" i="2"/>
  <c r="H208" i="2"/>
  <c r="Q208" i="2"/>
  <c r="J207" i="2"/>
  <c r="H207" i="2"/>
  <c r="J206" i="2"/>
  <c r="H206" i="2"/>
  <c r="Q206" i="2"/>
  <c r="J205" i="2"/>
  <c r="H205" i="2"/>
  <c r="J204" i="2"/>
  <c r="H204" i="2"/>
  <c r="J203" i="2"/>
  <c r="H203" i="2"/>
  <c r="J202" i="2"/>
  <c r="H202" i="2"/>
  <c r="J201" i="2"/>
  <c r="H201" i="2"/>
  <c r="Q201" i="2"/>
  <c r="J200" i="2"/>
  <c r="H200" i="2"/>
  <c r="Q200" i="2"/>
  <c r="J199" i="2"/>
  <c r="H199" i="2"/>
  <c r="Q199" i="2"/>
  <c r="J198" i="2"/>
  <c r="H198" i="2"/>
  <c r="Q198" i="2"/>
  <c r="J197" i="2"/>
  <c r="H197" i="2"/>
  <c r="J196" i="2"/>
  <c r="H196" i="2"/>
  <c r="Q196" i="2"/>
  <c r="J195" i="2"/>
  <c r="H195" i="2"/>
  <c r="J194" i="2"/>
  <c r="H194" i="2"/>
  <c r="Q194" i="2"/>
  <c r="J193" i="2"/>
  <c r="H193" i="2"/>
  <c r="Q193" i="2"/>
  <c r="J192" i="2"/>
  <c r="H192" i="2"/>
  <c r="J191" i="2"/>
  <c r="H191" i="2"/>
  <c r="J190" i="2"/>
  <c r="H190" i="2"/>
  <c r="Q190" i="2"/>
  <c r="J189" i="2"/>
  <c r="H189" i="2"/>
  <c r="Q189" i="2"/>
  <c r="J188" i="2"/>
  <c r="H188" i="2"/>
  <c r="Q188" i="2"/>
  <c r="J187" i="2"/>
  <c r="H187" i="2"/>
  <c r="Q187" i="2"/>
  <c r="J186" i="2"/>
  <c r="H186" i="2"/>
  <c r="Q186" i="2"/>
  <c r="J185" i="2"/>
  <c r="H185" i="2"/>
  <c r="J184" i="2"/>
  <c r="H184" i="2"/>
  <c r="Q184" i="2"/>
  <c r="J183" i="2"/>
  <c r="H183" i="2"/>
  <c r="J182" i="2"/>
  <c r="H182" i="2"/>
  <c r="Q182" i="2"/>
  <c r="J181" i="2"/>
  <c r="H181" i="2"/>
  <c r="J180" i="2"/>
  <c r="H180" i="2"/>
  <c r="J179" i="2"/>
  <c r="H179" i="2"/>
  <c r="J178" i="2"/>
  <c r="H178" i="2"/>
  <c r="Q177" i="2"/>
  <c r="J177" i="2"/>
  <c r="H177" i="2"/>
  <c r="J176" i="2"/>
  <c r="H176" i="2"/>
  <c r="Q176" i="2"/>
  <c r="J175" i="2"/>
  <c r="H175" i="2"/>
  <c r="Q175" i="2"/>
  <c r="J174" i="2"/>
  <c r="H174" i="2"/>
  <c r="Q174" i="2"/>
  <c r="J173" i="2"/>
  <c r="H173" i="2"/>
  <c r="J172" i="2"/>
  <c r="H172" i="2"/>
  <c r="Q172" i="2"/>
  <c r="J171" i="2"/>
  <c r="H171" i="2"/>
  <c r="J170" i="2"/>
  <c r="H170" i="2"/>
  <c r="Q170" i="2"/>
  <c r="J169" i="2"/>
  <c r="H169" i="2"/>
  <c r="J168" i="2"/>
  <c r="H168" i="2"/>
  <c r="J167" i="2"/>
  <c r="H167" i="2"/>
  <c r="Q167" i="2"/>
  <c r="J166" i="2"/>
  <c r="H166" i="2"/>
  <c r="J165" i="2"/>
  <c r="H165" i="2"/>
  <c r="Q165" i="2"/>
  <c r="J164" i="2"/>
  <c r="H164" i="2"/>
  <c r="Q164" i="2"/>
  <c r="J163" i="2"/>
  <c r="H163" i="2"/>
  <c r="Q163" i="2"/>
  <c r="J162" i="2"/>
  <c r="H162" i="2"/>
  <c r="Q162" i="2"/>
  <c r="J161" i="2"/>
  <c r="H161" i="2"/>
  <c r="J160" i="2"/>
  <c r="H160" i="2"/>
  <c r="Q160" i="2"/>
  <c r="J159" i="2"/>
  <c r="H159" i="2"/>
  <c r="J158" i="2"/>
  <c r="H158" i="2"/>
  <c r="Q158" i="2"/>
  <c r="J157" i="2"/>
  <c r="H157" i="2"/>
  <c r="J156" i="2"/>
  <c r="H156" i="2"/>
  <c r="J155" i="2"/>
  <c r="H155" i="2"/>
  <c r="J154" i="2"/>
  <c r="H154" i="2"/>
  <c r="J153" i="2"/>
  <c r="H153" i="2"/>
  <c r="Q153" i="2"/>
  <c r="J152" i="2"/>
  <c r="H152" i="2"/>
  <c r="Q152" i="2"/>
  <c r="J151" i="2"/>
  <c r="H151" i="2"/>
  <c r="Q151" i="2"/>
  <c r="J150" i="2"/>
  <c r="H150" i="2"/>
  <c r="Q150" i="2"/>
  <c r="J149" i="2"/>
  <c r="H149" i="2"/>
  <c r="J148" i="2"/>
  <c r="H148" i="2"/>
  <c r="Q148" i="2"/>
  <c r="J147" i="2"/>
  <c r="H147" i="2"/>
  <c r="J146" i="2"/>
  <c r="H146" i="2"/>
  <c r="Q146" i="2"/>
  <c r="J145" i="2"/>
  <c r="H145" i="2"/>
  <c r="J144" i="2"/>
  <c r="H144" i="2"/>
  <c r="J143" i="2"/>
  <c r="H143" i="2"/>
  <c r="Q143" i="2"/>
  <c r="J142" i="2"/>
  <c r="H142" i="2"/>
  <c r="J141" i="2"/>
  <c r="H141" i="2"/>
  <c r="Q141" i="2"/>
  <c r="J140" i="2"/>
  <c r="H140" i="2"/>
  <c r="Q140" i="2"/>
  <c r="J139" i="2"/>
  <c r="H139" i="2"/>
  <c r="Q139" i="2"/>
  <c r="J138" i="2"/>
  <c r="H138" i="2"/>
  <c r="Q138" i="2"/>
  <c r="J137" i="2"/>
  <c r="H137" i="2"/>
  <c r="J136" i="2"/>
  <c r="H136" i="2"/>
  <c r="Q136" i="2"/>
  <c r="J135" i="2"/>
  <c r="H135" i="2"/>
  <c r="J134" i="2"/>
  <c r="H134" i="2"/>
  <c r="Q134" i="2"/>
  <c r="J133" i="2"/>
  <c r="H133" i="2"/>
  <c r="J132" i="2"/>
  <c r="H132" i="2"/>
  <c r="J131" i="2"/>
  <c r="H131" i="2"/>
  <c r="Q131" i="2"/>
  <c r="J130" i="2"/>
  <c r="H130" i="2"/>
  <c r="J129" i="2"/>
  <c r="H129" i="2"/>
  <c r="Q129" i="2"/>
  <c r="J128" i="2"/>
  <c r="H128" i="2"/>
  <c r="Q128" i="2"/>
  <c r="J127" i="2"/>
  <c r="H127" i="2"/>
  <c r="Q127" i="2"/>
  <c r="J126" i="2"/>
  <c r="H126" i="2"/>
  <c r="Q126" i="2"/>
  <c r="J125" i="2"/>
  <c r="H125" i="2"/>
  <c r="J124" i="2"/>
  <c r="H124" i="2"/>
  <c r="Q124" i="2"/>
  <c r="J123" i="2"/>
  <c r="H123" i="2"/>
  <c r="J122" i="2"/>
  <c r="H122" i="2"/>
  <c r="Q122" i="2"/>
  <c r="J121" i="2"/>
  <c r="H121" i="2"/>
  <c r="J120" i="2"/>
  <c r="H120" i="2"/>
  <c r="J119" i="2"/>
  <c r="H119" i="2"/>
  <c r="Q119" i="2"/>
  <c r="J118" i="2"/>
  <c r="H118" i="2"/>
  <c r="Q118" i="2"/>
  <c r="J117" i="2"/>
  <c r="H117" i="2"/>
  <c r="Q117" i="2"/>
  <c r="J116" i="2"/>
  <c r="H116" i="2"/>
  <c r="Q116" i="2"/>
  <c r="J115" i="2"/>
  <c r="H115" i="2"/>
  <c r="Q115" i="2"/>
  <c r="J114" i="2"/>
  <c r="H114" i="2"/>
  <c r="Q114" i="2"/>
  <c r="J113" i="2"/>
  <c r="H113" i="2"/>
  <c r="J112" i="2"/>
  <c r="H112" i="2"/>
  <c r="Q112" i="2"/>
  <c r="J111" i="2"/>
  <c r="H111" i="2"/>
  <c r="J110" i="2"/>
  <c r="H110" i="2"/>
  <c r="Q110" i="2"/>
  <c r="J109" i="2"/>
  <c r="H109" i="2"/>
  <c r="J108" i="2"/>
  <c r="H108" i="2"/>
  <c r="J107" i="2"/>
  <c r="H107" i="2"/>
  <c r="Q107" i="2"/>
  <c r="J106" i="2"/>
  <c r="H106" i="2"/>
  <c r="J105" i="2"/>
  <c r="H105" i="2"/>
  <c r="Q105" i="2"/>
  <c r="J104" i="2"/>
  <c r="H104" i="2"/>
  <c r="Q104" i="2"/>
  <c r="J103" i="2"/>
  <c r="H103" i="2"/>
  <c r="Q103" i="2"/>
  <c r="J102" i="2"/>
  <c r="H102" i="2"/>
  <c r="Q102" i="2"/>
  <c r="J101" i="2"/>
  <c r="H101" i="2"/>
  <c r="J100" i="2"/>
  <c r="H100" i="2"/>
  <c r="Q100" i="2"/>
  <c r="J99" i="2"/>
  <c r="H99" i="2"/>
  <c r="J98" i="2"/>
  <c r="H98" i="2"/>
  <c r="Q98" i="2"/>
  <c r="J97" i="2"/>
  <c r="H97" i="2"/>
  <c r="J96" i="2"/>
  <c r="H96" i="2"/>
  <c r="J95" i="2"/>
  <c r="H95" i="2"/>
  <c r="Q95" i="2"/>
  <c r="J94" i="2"/>
  <c r="H94" i="2"/>
  <c r="J93" i="2"/>
  <c r="H93" i="2"/>
  <c r="Q93" i="2"/>
  <c r="J92" i="2"/>
  <c r="H92" i="2"/>
  <c r="Q92" i="2"/>
  <c r="J91" i="2"/>
  <c r="H91" i="2"/>
  <c r="Q91" i="2"/>
  <c r="J90" i="2"/>
  <c r="H90" i="2"/>
  <c r="Q90" i="2"/>
  <c r="J89" i="2"/>
  <c r="H89" i="2"/>
  <c r="J88" i="2"/>
  <c r="H88" i="2"/>
  <c r="Q88" i="2"/>
  <c r="J87" i="2"/>
  <c r="H87" i="2"/>
  <c r="J86" i="2"/>
  <c r="H86" i="2"/>
  <c r="Q86" i="2"/>
  <c r="J85" i="2"/>
  <c r="H85" i="2"/>
  <c r="J84" i="2"/>
  <c r="H84" i="2"/>
  <c r="J83" i="2"/>
  <c r="H83" i="2"/>
  <c r="Q83" i="2"/>
  <c r="J82" i="2"/>
  <c r="H82" i="2"/>
  <c r="J81" i="2"/>
  <c r="H81" i="2"/>
  <c r="Q81" i="2"/>
  <c r="J80" i="2"/>
  <c r="H80" i="2"/>
  <c r="Q80" i="2"/>
  <c r="J79" i="2"/>
  <c r="H79" i="2"/>
  <c r="Q79" i="2"/>
  <c r="J78" i="2"/>
  <c r="H78" i="2"/>
  <c r="Q78" i="2"/>
  <c r="J77" i="2"/>
  <c r="H77" i="2"/>
  <c r="J76" i="2"/>
  <c r="H76" i="2"/>
  <c r="Q76" i="2"/>
  <c r="J75" i="2"/>
  <c r="H75" i="2"/>
  <c r="J74" i="2"/>
  <c r="H74" i="2"/>
  <c r="Q74" i="2"/>
  <c r="J73" i="2"/>
  <c r="H73" i="2"/>
  <c r="J72" i="2"/>
  <c r="H72" i="2"/>
  <c r="J71" i="2"/>
  <c r="H71" i="2"/>
  <c r="Q71" i="2"/>
  <c r="J70" i="2"/>
  <c r="H70" i="2"/>
  <c r="J69" i="2"/>
  <c r="H69" i="2"/>
  <c r="Q69" i="2"/>
  <c r="J68" i="2"/>
  <c r="H68" i="2"/>
  <c r="Q68" i="2"/>
  <c r="J67" i="2"/>
  <c r="H67" i="2"/>
  <c r="Q67" i="2"/>
  <c r="J66" i="2"/>
  <c r="H66" i="2"/>
  <c r="Q66" i="2"/>
  <c r="J65" i="2"/>
  <c r="H65" i="2"/>
  <c r="J64" i="2"/>
  <c r="H64" i="2"/>
  <c r="Q64" i="2"/>
  <c r="J63" i="2"/>
  <c r="H63" i="2"/>
  <c r="J62" i="2"/>
  <c r="H62" i="2"/>
  <c r="Q62" i="2"/>
  <c r="J61" i="2"/>
  <c r="H61" i="2"/>
  <c r="J60" i="2"/>
  <c r="H60" i="2"/>
  <c r="J59" i="2"/>
  <c r="H59" i="2"/>
  <c r="Q59" i="2"/>
  <c r="J58" i="2"/>
  <c r="H58" i="2"/>
  <c r="J57" i="2"/>
  <c r="H57" i="2"/>
  <c r="Q57" i="2"/>
  <c r="J56" i="2"/>
  <c r="H56" i="2"/>
  <c r="Q56" i="2"/>
  <c r="J55" i="2"/>
  <c r="H55" i="2"/>
  <c r="Q55" i="2"/>
  <c r="J54" i="2"/>
  <c r="H54" i="2"/>
  <c r="Q54" i="2"/>
  <c r="J53" i="2"/>
  <c r="H53" i="2"/>
  <c r="J52" i="2"/>
  <c r="H52" i="2"/>
  <c r="Q52" i="2"/>
  <c r="J51" i="2"/>
  <c r="H51" i="2"/>
  <c r="J50" i="2"/>
  <c r="H50" i="2"/>
  <c r="Q50" i="2"/>
  <c r="J49" i="2"/>
  <c r="H49" i="2"/>
  <c r="Q49" i="2"/>
  <c r="J48" i="2"/>
  <c r="H48" i="2"/>
  <c r="J47" i="2"/>
  <c r="H47" i="2"/>
  <c r="Q47" i="2"/>
  <c r="J46" i="2"/>
  <c r="H46" i="2"/>
  <c r="J45" i="2"/>
  <c r="H45" i="2"/>
  <c r="Q45" i="2"/>
  <c r="J44" i="2"/>
  <c r="H44" i="2"/>
  <c r="Q44" i="2"/>
  <c r="J43" i="2"/>
  <c r="H43" i="2"/>
  <c r="Q43" i="2"/>
  <c r="J42" i="2"/>
  <c r="H42" i="2"/>
  <c r="Q42" i="2"/>
  <c r="J41" i="2"/>
  <c r="H41" i="2"/>
  <c r="J40" i="2"/>
  <c r="H40" i="2"/>
  <c r="Q40" i="2"/>
  <c r="J39" i="2"/>
  <c r="H39" i="2"/>
  <c r="J38" i="2"/>
  <c r="H38" i="2"/>
  <c r="Q38" i="2"/>
  <c r="J37" i="2"/>
  <c r="H37" i="2"/>
  <c r="J36" i="2"/>
  <c r="H36" i="2"/>
  <c r="J35" i="2"/>
  <c r="H35" i="2"/>
  <c r="Q35" i="2"/>
  <c r="J34" i="2"/>
  <c r="H34" i="2"/>
  <c r="J33" i="2"/>
  <c r="H33" i="2"/>
  <c r="Q33" i="2"/>
  <c r="J32" i="2"/>
  <c r="H32" i="2"/>
  <c r="Q32" i="2"/>
  <c r="J31" i="2"/>
  <c r="H31" i="2"/>
  <c r="Q31" i="2"/>
  <c r="J30" i="2"/>
  <c r="H30" i="2"/>
  <c r="Q30" i="2"/>
  <c r="J29" i="2"/>
  <c r="H29" i="2"/>
  <c r="Q29" i="2"/>
  <c r="J28" i="2"/>
  <c r="H28" i="2"/>
  <c r="Q28" i="2"/>
  <c r="J27" i="2"/>
  <c r="H27" i="2"/>
  <c r="J26" i="2"/>
  <c r="H26" i="2"/>
  <c r="Q26" i="2"/>
  <c r="J25" i="2"/>
  <c r="H25" i="2"/>
  <c r="J24" i="2"/>
  <c r="H24" i="2"/>
  <c r="J23" i="2"/>
  <c r="H23" i="2"/>
  <c r="Q23" i="2"/>
  <c r="J22" i="2"/>
  <c r="H22" i="2"/>
  <c r="J21" i="2"/>
  <c r="H21" i="2"/>
  <c r="Q21" i="2"/>
  <c r="J20" i="2"/>
  <c r="H20" i="2"/>
  <c r="Q20" i="2"/>
  <c r="J19" i="2"/>
  <c r="H19" i="2"/>
  <c r="Q19" i="2"/>
  <c r="J18" i="2"/>
  <c r="H18" i="2"/>
  <c r="Q18" i="2"/>
  <c r="J17" i="2"/>
  <c r="H17" i="2"/>
  <c r="Q17" i="2"/>
  <c r="J16" i="2"/>
  <c r="H16" i="2"/>
  <c r="Q16" i="2"/>
  <c r="I3" i="2"/>
  <c r="F3" i="2" l="1"/>
  <c r="F2" i="2"/>
  <c r="B10" i="4" l="1"/>
  <c r="AC27" i="12" l="1"/>
  <c r="N7" i="2" l="1"/>
  <c r="AC26" i="12" s="1"/>
  <c r="I10" i="2" l="1"/>
  <c r="I7" i="2"/>
  <c r="U7" i="12"/>
  <c r="AC25" i="12"/>
  <c r="W26" i="12"/>
  <c r="M22" i="12"/>
  <c r="M23" i="12"/>
  <c r="N21" i="12"/>
  <c r="Y27" i="12"/>
  <c r="W25" i="12"/>
  <c r="F6" i="14"/>
  <c r="U6" i="14"/>
  <c r="AD6" i="14"/>
  <c r="H7" i="14"/>
  <c r="U7" i="14"/>
  <c r="AE7" i="14"/>
  <c r="U8" i="14"/>
  <c r="AA8" i="14"/>
  <c r="J9" i="14"/>
  <c r="Z12" i="12"/>
  <c r="I8" i="2"/>
  <c r="Z20" i="12" s="1"/>
  <c r="K2" i="2"/>
  <c r="O31" i="12" s="1"/>
  <c r="J15" i="2"/>
  <c r="F6" i="13"/>
  <c r="U6" i="13"/>
  <c r="AD6" i="13"/>
  <c r="H7" i="13"/>
  <c r="U7" i="13"/>
  <c r="AE7" i="13"/>
  <c r="I8" i="13"/>
  <c r="U8" i="13"/>
  <c r="AA8" i="13"/>
  <c r="J9" i="13"/>
  <c r="F10" i="4"/>
  <c r="AA8" i="12"/>
  <c r="U8" i="12"/>
  <c r="J9" i="12"/>
  <c r="AE7" i="12"/>
  <c r="AD6" i="12"/>
  <c r="U6" i="12"/>
  <c r="I8" i="12"/>
  <c r="H1" i="2"/>
  <c r="J14" i="2"/>
  <c r="H14" i="2"/>
  <c r="H11" i="2"/>
  <c r="I2" i="2" l="1"/>
  <c r="G7" i="2"/>
  <c r="O465" i="2"/>
  <c r="O463" i="2"/>
  <c r="O461" i="2"/>
  <c r="O428" i="2"/>
  <c r="O415" i="2"/>
  <c r="O432" i="2"/>
  <c r="O419" i="2"/>
  <c r="O408" i="2"/>
  <c r="O395" i="2"/>
  <c r="O384" i="2"/>
  <c r="O373" i="2"/>
  <c r="O272" i="2"/>
  <c r="O237" i="2"/>
  <c r="O456" i="2"/>
  <c r="O454" i="2"/>
  <c r="O452" i="2"/>
  <c r="O448" i="2"/>
  <c r="O444" i="2"/>
  <c r="O442" i="2"/>
  <c r="O438" i="2"/>
  <c r="O434" i="2"/>
  <c r="O412" i="2"/>
  <c r="O399" i="2"/>
  <c r="O388" i="2"/>
  <c r="O375" i="2"/>
  <c r="O288" i="2"/>
  <c r="O280" i="2"/>
  <c r="O278" i="2"/>
  <c r="O261" i="2"/>
  <c r="O259" i="2"/>
  <c r="O257" i="2"/>
  <c r="O255" i="2"/>
  <c r="O253" i="2"/>
  <c r="O241" i="2"/>
  <c r="O224" i="2"/>
  <c r="O458" i="2"/>
  <c r="O450" i="2"/>
  <c r="O446" i="2"/>
  <c r="O425" i="2"/>
  <c r="O423" i="2"/>
  <c r="O414" i="2"/>
  <c r="O401" i="2"/>
  <c r="O390" i="2"/>
  <c r="O377" i="2"/>
  <c r="O292" i="2"/>
  <c r="O290" i="2"/>
  <c r="O286" i="2"/>
  <c r="O284" i="2"/>
  <c r="O282" i="2"/>
  <c r="O265" i="2"/>
  <c r="O263" i="2"/>
  <c r="O251" i="2"/>
  <c r="O249" i="2"/>
  <c r="O247" i="2"/>
  <c r="O245" i="2"/>
  <c r="O243" i="2"/>
  <c r="O226" i="2"/>
  <c r="O213" i="2"/>
  <c r="O464" i="2"/>
  <c r="O462" i="2"/>
  <c r="O460" i="2"/>
  <c r="O427" i="2"/>
  <c r="O416" i="2"/>
  <c r="O403" i="2"/>
  <c r="O392" i="2"/>
  <c r="O379" i="2"/>
  <c r="O296" i="2"/>
  <c r="O294" i="2"/>
  <c r="O269" i="2"/>
  <c r="O267" i="2"/>
  <c r="O230" i="2"/>
  <c r="O228" i="2"/>
  <c r="O215" i="2"/>
  <c r="O474" i="2"/>
  <c r="O472" i="2"/>
  <c r="O470" i="2"/>
  <c r="O468" i="2"/>
  <c r="O466" i="2"/>
  <c r="O429" i="2"/>
  <c r="O418" i="2"/>
  <c r="O405" i="2"/>
  <c r="O394" i="2"/>
  <c r="O381" i="2"/>
  <c r="O370" i="2"/>
  <c r="O368" i="2"/>
  <c r="O366" i="2"/>
  <c r="O364" i="2"/>
  <c r="O362" i="2"/>
  <c r="O360" i="2"/>
  <c r="O358" i="2"/>
  <c r="O356" i="2"/>
  <c r="O354" i="2"/>
  <c r="O352" i="2"/>
  <c r="O350" i="2"/>
  <c r="O348" i="2"/>
  <c r="O346" i="2"/>
  <c r="O344" i="2"/>
  <c r="O342" i="2"/>
  <c r="O340" i="2"/>
  <c r="O338" i="2"/>
  <c r="O336" i="2"/>
  <c r="O334" i="2"/>
  <c r="O332" i="2"/>
  <c r="O330" i="2"/>
  <c r="O328" i="2"/>
  <c r="O326" i="2"/>
  <c r="O324" i="2"/>
  <c r="O322" i="2"/>
  <c r="O320" i="2"/>
  <c r="O318" i="2"/>
  <c r="O316" i="2"/>
  <c r="O314" i="2"/>
  <c r="O312" i="2"/>
  <c r="O310" i="2"/>
  <c r="O308" i="2"/>
  <c r="O306" i="2"/>
  <c r="O304" i="2"/>
  <c r="O300" i="2"/>
  <c r="O298" i="2"/>
  <c r="O234" i="2"/>
  <c r="O232" i="2"/>
  <c r="O219" i="2"/>
  <c r="O217" i="2"/>
  <c r="O431" i="2"/>
  <c r="O420" i="2"/>
  <c r="O407" i="2"/>
  <c r="O396" i="2"/>
  <c r="O383" i="2"/>
  <c r="O372" i="2"/>
  <c r="O302" i="2"/>
  <c r="O273" i="2"/>
  <c r="O271" i="2"/>
  <c r="O236" i="2"/>
  <c r="O443" i="2"/>
  <c r="O441" i="2"/>
  <c r="O439" i="2"/>
  <c r="O437" i="2"/>
  <c r="O435" i="2"/>
  <c r="O433" i="2"/>
  <c r="O409" i="2"/>
  <c r="O398" i="2"/>
  <c r="O385" i="2"/>
  <c r="O374" i="2"/>
  <c r="O277" i="2"/>
  <c r="O275" i="2"/>
  <c r="O238" i="2"/>
  <c r="O223" i="2"/>
  <c r="O221" i="2"/>
  <c r="O457" i="2"/>
  <c r="O455" i="2"/>
  <c r="O453" i="2"/>
  <c r="O451" i="2"/>
  <c r="O449" i="2"/>
  <c r="O447" i="2"/>
  <c r="O445" i="2"/>
  <c r="O422" i="2"/>
  <c r="O413" i="2"/>
  <c r="O411" i="2"/>
  <c r="O400" i="2"/>
  <c r="O387" i="2"/>
  <c r="O376" i="2"/>
  <c r="O289" i="2"/>
  <c r="O287" i="2"/>
  <c r="O281" i="2"/>
  <c r="O279" i="2"/>
  <c r="O260" i="2"/>
  <c r="O258" i="2"/>
  <c r="O254" i="2"/>
  <c r="O240" i="2"/>
  <c r="O225" i="2"/>
  <c r="O421" i="2"/>
  <c r="O389" i="2"/>
  <c r="O386" i="2"/>
  <c r="O270" i="2"/>
  <c r="O264" i="2"/>
  <c r="O252" i="2"/>
  <c r="O246" i="2"/>
  <c r="O227" i="2"/>
  <c r="O198" i="2"/>
  <c r="O183" i="2"/>
  <c r="O166" i="2"/>
  <c r="O151" i="2"/>
  <c r="O136" i="2"/>
  <c r="O134" i="2"/>
  <c r="O119" i="2"/>
  <c r="O104" i="2"/>
  <c r="O102" i="2"/>
  <c r="O75" i="2"/>
  <c r="O73" i="2"/>
  <c r="O54" i="2"/>
  <c r="O52" i="2"/>
  <c r="O27" i="2"/>
  <c r="O25" i="2"/>
  <c r="O28" i="2"/>
  <c r="O469" i="2"/>
  <c r="O459" i="2"/>
  <c r="O424" i="2"/>
  <c r="O367" i="2"/>
  <c r="O359" i="2"/>
  <c r="O351" i="2"/>
  <c r="O343" i="2"/>
  <c r="O335" i="2"/>
  <c r="O327" i="2"/>
  <c r="O319" i="2"/>
  <c r="O311" i="2"/>
  <c r="O303" i="2"/>
  <c r="O291" i="2"/>
  <c r="O285" i="2"/>
  <c r="O276" i="2"/>
  <c r="O218" i="2"/>
  <c r="O202" i="2"/>
  <c r="O200" i="2"/>
  <c r="O187" i="2"/>
  <c r="O185" i="2"/>
  <c r="O170" i="2"/>
  <c r="O168" i="2"/>
  <c r="O155" i="2"/>
  <c r="O153" i="2"/>
  <c r="O140" i="2"/>
  <c r="O138" i="2"/>
  <c r="O123" i="2"/>
  <c r="O121" i="2"/>
  <c r="O108" i="2"/>
  <c r="O106" i="2"/>
  <c r="O79" i="2"/>
  <c r="O77" i="2"/>
  <c r="O58" i="2"/>
  <c r="O56" i="2"/>
  <c r="O31" i="2"/>
  <c r="O29" i="2"/>
  <c r="O16" i="2"/>
  <c r="O32" i="2"/>
  <c r="O404" i="2"/>
  <c r="O382" i="2"/>
  <c r="O297" i="2"/>
  <c r="O233" i="2"/>
  <c r="O204" i="2"/>
  <c r="O172" i="2"/>
  <c r="O157" i="2"/>
  <c r="O142" i="2"/>
  <c r="O125" i="2"/>
  <c r="O110" i="2"/>
  <c r="O83" i="2"/>
  <c r="O81" i="2"/>
  <c r="O62" i="2"/>
  <c r="O60" i="2"/>
  <c r="O35" i="2"/>
  <c r="O33" i="2"/>
  <c r="O430" i="2"/>
  <c r="O417" i="2"/>
  <c r="O206" i="2"/>
  <c r="O191" i="2"/>
  <c r="O189" i="2"/>
  <c r="O174" i="2"/>
  <c r="O159" i="2"/>
  <c r="O144" i="2"/>
  <c r="O127" i="2"/>
  <c r="O112" i="2"/>
  <c r="O95" i="2"/>
  <c r="O91" i="2"/>
  <c r="O87" i="2"/>
  <c r="O85" i="2"/>
  <c r="O66" i="2"/>
  <c r="O64" i="2"/>
  <c r="O39" i="2"/>
  <c r="O37" i="2"/>
  <c r="O18" i="2"/>
  <c r="O471" i="2"/>
  <c r="O436" i="2"/>
  <c r="O410" i="2"/>
  <c r="O369" i="2"/>
  <c r="O361" i="2"/>
  <c r="O353" i="2"/>
  <c r="O345" i="2"/>
  <c r="O337" i="2"/>
  <c r="O329" i="2"/>
  <c r="O321" i="2"/>
  <c r="O313" i="2"/>
  <c r="O305" i="2"/>
  <c r="O248" i="2"/>
  <c r="O242" i="2"/>
  <c r="O239" i="2"/>
  <c r="O229" i="2"/>
  <c r="O210" i="2"/>
  <c r="O208" i="2"/>
  <c r="O195" i="2"/>
  <c r="O193" i="2"/>
  <c r="O178" i="2"/>
  <c r="O176" i="2"/>
  <c r="O163" i="2"/>
  <c r="O161" i="2"/>
  <c r="O148" i="2"/>
  <c r="O146" i="2"/>
  <c r="O131" i="2"/>
  <c r="O129" i="2"/>
  <c r="O116" i="2"/>
  <c r="O114" i="2"/>
  <c r="O99" i="2"/>
  <c r="O97" i="2"/>
  <c r="O93" i="2"/>
  <c r="O89" i="2"/>
  <c r="O70" i="2"/>
  <c r="O68" i="2"/>
  <c r="O43" i="2"/>
  <c r="O41" i="2"/>
  <c r="O22" i="2"/>
  <c r="O20" i="2"/>
  <c r="O30" i="2"/>
  <c r="O426" i="2"/>
  <c r="O397" i="2"/>
  <c r="O391" i="2"/>
  <c r="O378" i="2"/>
  <c r="O293" i="2"/>
  <c r="O266" i="2"/>
  <c r="O220" i="2"/>
  <c r="O212" i="2"/>
  <c r="O197" i="2"/>
  <c r="O180" i="2"/>
  <c r="O165" i="2"/>
  <c r="O133" i="2"/>
  <c r="O101" i="2"/>
  <c r="O74" i="2"/>
  <c r="O72" i="2"/>
  <c r="O47" i="2"/>
  <c r="O45" i="2"/>
  <c r="O26" i="2"/>
  <c r="O24" i="2"/>
  <c r="O406" i="2"/>
  <c r="O299" i="2"/>
  <c r="O235" i="2"/>
  <c r="O199" i="2"/>
  <c r="O182" i="2"/>
  <c r="O167" i="2"/>
  <c r="O152" i="2"/>
  <c r="O150" i="2"/>
  <c r="O135" i="2"/>
  <c r="O120" i="2"/>
  <c r="O118" i="2"/>
  <c r="O103" i="2"/>
  <c r="O78" i="2"/>
  <c r="O76" i="2"/>
  <c r="O51" i="2"/>
  <c r="O49" i="2"/>
  <c r="O473" i="2"/>
  <c r="O371" i="2"/>
  <c r="O363" i="2"/>
  <c r="O355" i="2"/>
  <c r="O347" i="2"/>
  <c r="O339" i="2"/>
  <c r="O331" i="2"/>
  <c r="O323" i="2"/>
  <c r="O315" i="2"/>
  <c r="O307" i="2"/>
  <c r="O214" i="2"/>
  <c r="O203" i="2"/>
  <c r="O201" i="2"/>
  <c r="O186" i="2"/>
  <c r="O184" i="2"/>
  <c r="O171" i="2"/>
  <c r="O169" i="2"/>
  <c r="O156" i="2"/>
  <c r="O154" i="2"/>
  <c r="O139" i="2"/>
  <c r="O137" i="2"/>
  <c r="O124" i="2"/>
  <c r="O122" i="2"/>
  <c r="O107" i="2"/>
  <c r="O105" i="2"/>
  <c r="O82" i="2"/>
  <c r="O80" i="2"/>
  <c r="O55" i="2"/>
  <c r="O53" i="2"/>
  <c r="O34" i="2"/>
  <c r="O393" i="2"/>
  <c r="O262" i="2"/>
  <c r="O256" i="2"/>
  <c r="O250" i="2"/>
  <c r="O244" i="2"/>
  <c r="O188" i="2"/>
  <c r="O158" i="2"/>
  <c r="O141" i="2"/>
  <c r="O126" i="2"/>
  <c r="O109" i="2"/>
  <c r="O86" i="2"/>
  <c r="O84" i="2"/>
  <c r="O59" i="2"/>
  <c r="O57" i="2"/>
  <c r="O38" i="2"/>
  <c r="O36" i="2"/>
  <c r="O440" i="2"/>
  <c r="O196" i="2"/>
  <c r="O181" i="2"/>
  <c r="O164" i="2"/>
  <c r="O149" i="2"/>
  <c r="O117" i="2"/>
  <c r="O71" i="2"/>
  <c r="O69" i="2"/>
  <c r="O50" i="2"/>
  <c r="O48" i="2"/>
  <c r="O23" i="2"/>
  <c r="O21" i="2"/>
  <c r="O190" i="2"/>
  <c r="O173" i="2"/>
  <c r="O132" i="2"/>
  <c r="O88" i="2"/>
  <c r="O44" i="2"/>
  <c r="O67" i="2"/>
  <c r="O61" i="2"/>
  <c r="O96" i="2"/>
  <c r="O65" i="2"/>
  <c r="O283" i="2"/>
  <c r="O179" i="2"/>
  <c r="O98" i="2"/>
  <c r="O301" i="2"/>
  <c r="O231" i="2"/>
  <c r="O162" i="2"/>
  <c r="O145" i="2"/>
  <c r="O111" i="2"/>
  <c r="O40" i="2"/>
  <c r="O17" i="2"/>
  <c r="O46" i="2"/>
  <c r="O19" i="2"/>
  <c r="O92" i="2"/>
  <c r="O349" i="2"/>
  <c r="O325" i="2"/>
  <c r="O216" i="2"/>
  <c r="O128" i="2"/>
  <c r="O94" i="2"/>
  <c r="O130" i="2"/>
  <c r="O160" i="2"/>
  <c r="O467" i="2"/>
  <c r="O268" i="2"/>
  <c r="O209" i="2"/>
  <c r="O175" i="2"/>
  <c r="O380" i="2"/>
  <c r="O192" i="2"/>
  <c r="O100" i="2"/>
  <c r="O90" i="2"/>
  <c r="O63" i="2"/>
  <c r="O402" i="2"/>
  <c r="O147" i="2"/>
  <c r="O113" i="2"/>
  <c r="O42" i="2"/>
  <c r="O365" i="2"/>
  <c r="O341" i="2"/>
  <c r="O317" i="2"/>
  <c r="O222" i="2"/>
  <c r="O205" i="2"/>
  <c r="O211" i="2"/>
  <c r="O295" i="2"/>
  <c r="O274" i="2"/>
  <c r="O194" i="2"/>
  <c r="O177" i="2"/>
  <c r="O143" i="2"/>
  <c r="O357" i="2"/>
  <c r="O333" i="2"/>
  <c r="O309" i="2"/>
  <c r="O207" i="2"/>
  <c r="O115" i="2"/>
  <c r="O15" i="2"/>
  <c r="V16" i="12"/>
  <c r="N24" i="12"/>
  <c r="I474" i="2"/>
  <c r="M6" i="2"/>
  <c r="O35" i="12" s="1"/>
  <c r="K10" i="2"/>
  <c r="N25" i="12"/>
  <c r="G5" i="2"/>
  <c r="G3" i="2" l="1"/>
  <c r="G2" i="2"/>
  <c r="K3" i="2"/>
  <c r="I457" i="2"/>
  <c r="P457" i="2" s="1"/>
  <c r="I455" i="2"/>
  <c r="P455" i="2" s="1"/>
  <c r="I453" i="2"/>
  <c r="P453" i="2" s="1"/>
  <c r="I451" i="2"/>
  <c r="P451" i="2" s="1"/>
  <c r="I449" i="2"/>
  <c r="P449" i="2" s="1"/>
  <c r="I447" i="2"/>
  <c r="P447" i="2" s="1"/>
  <c r="I445" i="2"/>
  <c r="P445" i="2" s="1"/>
  <c r="I422" i="2"/>
  <c r="P422" i="2" s="1"/>
  <c r="I413" i="2"/>
  <c r="P413" i="2" s="1"/>
  <c r="I411" i="2"/>
  <c r="P411" i="2" s="1"/>
  <c r="I465" i="2"/>
  <c r="P465" i="2" s="1"/>
  <c r="I463" i="2"/>
  <c r="P463" i="2" s="1"/>
  <c r="I461" i="2"/>
  <c r="P461" i="2" s="1"/>
  <c r="I428" i="2"/>
  <c r="P428" i="2" s="1"/>
  <c r="I415" i="2"/>
  <c r="P415" i="2" s="1"/>
  <c r="I404" i="2"/>
  <c r="P404" i="2" s="1"/>
  <c r="I391" i="2"/>
  <c r="P391" i="2" s="1"/>
  <c r="I380" i="2"/>
  <c r="P380" i="2" s="1"/>
  <c r="I297" i="2"/>
  <c r="P297" i="2" s="1"/>
  <c r="I295" i="2"/>
  <c r="P295" i="2" s="1"/>
  <c r="I268" i="2"/>
  <c r="P268" i="2" s="1"/>
  <c r="I266" i="2"/>
  <c r="P266" i="2" s="1"/>
  <c r="I233" i="2"/>
  <c r="P233" i="2" s="1"/>
  <c r="I231" i="2"/>
  <c r="P231" i="2" s="1"/>
  <c r="I432" i="2"/>
  <c r="P432" i="2" s="1"/>
  <c r="I419" i="2"/>
  <c r="P419" i="2" s="1"/>
  <c r="I408" i="2"/>
  <c r="P408" i="2" s="1"/>
  <c r="I395" i="2"/>
  <c r="P395" i="2" s="1"/>
  <c r="I384" i="2"/>
  <c r="P384" i="2" s="1"/>
  <c r="I373" i="2"/>
  <c r="P373" i="2" s="1"/>
  <c r="I272" i="2"/>
  <c r="P272" i="2" s="1"/>
  <c r="I237" i="2"/>
  <c r="P237" i="2" s="1"/>
  <c r="I220" i="2"/>
  <c r="P220" i="2" s="1"/>
  <c r="I440" i="2"/>
  <c r="P440" i="2" s="1"/>
  <c r="I436" i="2"/>
  <c r="P436" i="2" s="1"/>
  <c r="I421" i="2"/>
  <c r="P421" i="2" s="1"/>
  <c r="I410" i="2"/>
  <c r="P410" i="2" s="1"/>
  <c r="I397" i="2"/>
  <c r="P397" i="2" s="1"/>
  <c r="I386" i="2"/>
  <c r="P386" i="2" s="1"/>
  <c r="I276" i="2"/>
  <c r="P276" i="2" s="1"/>
  <c r="I274" i="2"/>
  <c r="P274" i="2" s="1"/>
  <c r="I239" i="2"/>
  <c r="P239" i="2" s="1"/>
  <c r="I222" i="2"/>
  <c r="P222" i="2" s="1"/>
  <c r="I456" i="2"/>
  <c r="P456" i="2" s="1"/>
  <c r="I454" i="2"/>
  <c r="P454" i="2" s="1"/>
  <c r="I452" i="2"/>
  <c r="P452" i="2" s="1"/>
  <c r="I448" i="2"/>
  <c r="P448" i="2" s="1"/>
  <c r="I444" i="2"/>
  <c r="P444" i="2" s="1"/>
  <c r="I442" i="2"/>
  <c r="P442" i="2" s="1"/>
  <c r="I438" i="2"/>
  <c r="P438" i="2" s="1"/>
  <c r="I434" i="2"/>
  <c r="P434" i="2" s="1"/>
  <c r="I412" i="2"/>
  <c r="P412" i="2" s="1"/>
  <c r="I399" i="2"/>
  <c r="P399" i="2" s="1"/>
  <c r="I388" i="2"/>
  <c r="P388" i="2" s="1"/>
  <c r="I375" i="2"/>
  <c r="P375" i="2" s="1"/>
  <c r="I288" i="2"/>
  <c r="P288" i="2" s="1"/>
  <c r="I280" i="2"/>
  <c r="P280" i="2" s="1"/>
  <c r="I278" i="2"/>
  <c r="P278" i="2" s="1"/>
  <c r="I261" i="2"/>
  <c r="P261" i="2" s="1"/>
  <c r="I259" i="2"/>
  <c r="P259" i="2" s="1"/>
  <c r="I257" i="2"/>
  <c r="P257" i="2" s="1"/>
  <c r="I255" i="2"/>
  <c r="P255" i="2" s="1"/>
  <c r="I253" i="2"/>
  <c r="P253" i="2" s="1"/>
  <c r="I241" i="2"/>
  <c r="P241" i="2" s="1"/>
  <c r="I224" i="2"/>
  <c r="P224" i="2" s="1"/>
  <c r="I458" i="2"/>
  <c r="P458" i="2" s="1"/>
  <c r="I450" i="2"/>
  <c r="P450" i="2" s="1"/>
  <c r="I446" i="2"/>
  <c r="P446" i="2" s="1"/>
  <c r="I425" i="2"/>
  <c r="P425" i="2" s="1"/>
  <c r="I423" i="2"/>
  <c r="P423" i="2" s="1"/>
  <c r="I414" i="2"/>
  <c r="P414" i="2" s="1"/>
  <c r="I401" i="2"/>
  <c r="P401" i="2" s="1"/>
  <c r="I390" i="2"/>
  <c r="P390" i="2" s="1"/>
  <c r="I377" i="2"/>
  <c r="P377" i="2" s="1"/>
  <c r="I292" i="2"/>
  <c r="P292" i="2" s="1"/>
  <c r="I290" i="2"/>
  <c r="P290" i="2" s="1"/>
  <c r="I286" i="2"/>
  <c r="P286" i="2" s="1"/>
  <c r="I284" i="2"/>
  <c r="P284" i="2" s="1"/>
  <c r="I282" i="2"/>
  <c r="P282" i="2" s="1"/>
  <c r="I265" i="2"/>
  <c r="P265" i="2" s="1"/>
  <c r="I263" i="2"/>
  <c r="P263" i="2" s="1"/>
  <c r="I251" i="2"/>
  <c r="P251" i="2" s="1"/>
  <c r="I249" i="2"/>
  <c r="P249" i="2" s="1"/>
  <c r="I247" i="2"/>
  <c r="P247" i="2" s="1"/>
  <c r="I245" i="2"/>
  <c r="P245" i="2" s="1"/>
  <c r="I243" i="2"/>
  <c r="P243" i="2" s="1"/>
  <c r="I226" i="2"/>
  <c r="P226" i="2" s="1"/>
  <c r="I464" i="2"/>
  <c r="P464" i="2" s="1"/>
  <c r="I462" i="2"/>
  <c r="P462" i="2" s="1"/>
  <c r="I460" i="2"/>
  <c r="P460" i="2" s="1"/>
  <c r="I427" i="2"/>
  <c r="P427" i="2" s="1"/>
  <c r="I416" i="2"/>
  <c r="P416" i="2" s="1"/>
  <c r="I403" i="2"/>
  <c r="P403" i="2" s="1"/>
  <c r="I392" i="2"/>
  <c r="P392" i="2" s="1"/>
  <c r="I379" i="2"/>
  <c r="P379" i="2" s="1"/>
  <c r="I296" i="2"/>
  <c r="P296" i="2" s="1"/>
  <c r="I294" i="2"/>
  <c r="P294" i="2" s="1"/>
  <c r="I269" i="2"/>
  <c r="P269" i="2" s="1"/>
  <c r="I267" i="2"/>
  <c r="P267" i="2" s="1"/>
  <c r="I230" i="2"/>
  <c r="P230" i="2" s="1"/>
  <c r="I228" i="2"/>
  <c r="P228" i="2" s="1"/>
  <c r="I215" i="2"/>
  <c r="P215" i="2" s="1"/>
  <c r="P474" i="2"/>
  <c r="I472" i="2"/>
  <c r="P472" i="2" s="1"/>
  <c r="I470" i="2"/>
  <c r="P470" i="2" s="1"/>
  <c r="I468" i="2"/>
  <c r="P468" i="2" s="1"/>
  <c r="I466" i="2"/>
  <c r="P466" i="2" s="1"/>
  <c r="I429" i="2"/>
  <c r="P429" i="2" s="1"/>
  <c r="I418" i="2"/>
  <c r="P418" i="2" s="1"/>
  <c r="I405" i="2"/>
  <c r="P405" i="2" s="1"/>
  <c r="I394" i="2"/>
  <c r="P394" i="2" s="1"/>
  <c r="I381" i="2"/>
  <c r="P381" i="2" s="1"/>
  <c r="I370" i="2"/>
  <c r="P370" i="2" s="1"/>
  <c r="I368" i="2"/>
  <c r="P368" i="2" s="1"/>
  <c r="I366" i="2"/>
  <c r="P366" i="2" s="1"/>
  <c r="I364" i="2"/>
  <c r="P364" i="2" s="1"/>
  <c r="I362" i="2"/>
  <c r="P362" i="2" s="1"/>
  <c r="I360" i="2"/>
  <c r="P360" i="2" s="1"/>
  <c r="I358" i="2"/>
  <c r="P358" i="2" s="1"/>
  <c r="I356" i="2"/>
  <c r="P356" i="2" s="1"/>
  <c r="I354" i="2"/>
  <c r="P354" i="2" s="1"/>
  <c r="I352" i="2"/>
  <c r="P352" i="2" s="1"/>
  <c r="I350" i="2"/>
  <c r="P350" i="2" s="1"/>
  <c r="I348" i="2"/>
  <c r="P348" i="2" s="1"/>
  <c r="I346" i="2"/>
  <c r="P346" i="2" s="1"/>
  <c r="I344" i="2"/>
  <c r="P344" i="2" s="1"/>
  <c r="I342" i="2"/>
  <c r="P342" i="2" s="1"/>
  <c r="I340" i="2"/>
  <c r="P340" i="2" s="1"/>
  <c r="I338" i="2"/>
  <c r="P338" i="2" s="1"/>
  <c r="I336" i="2"/>
  <c r="P336" i="2" s="1"/>
  <c r="I334" i="2"/>
  <c r="P334" i="2" s="1"/>
  <c r="I332" i="2"/>
  <c r="P332" i="2" s="1"/>
  <c r="I330" i="2"/>
  <c r="P330" i="2" s="1"/>
  <c r="I328" i="2"/>
  <c r="P328" i="2" s="1"/>
  <c r="I326" i="2"/>
  <c r="P326" i="2" s="1"/>
  <c r="I324" i="2"/>
  <c r="P324" i="2" s="1"/>
  <c r="I322" i="2"/>
  <c r="P322" i="2" s="1"/>
  <c r="I320" i="2"/>
  <c r="P320" i="2" s="1"/>
  <c r="I318" i="2"/>
  <c r="P318" i="2" s="1"/>
  <c r="I316" i="2"/>
  <c r="P316" i="2" s="1"/>
  <c r="I314" i="2"/>
  <c r="P314" i="2" s="1"/>
  <c r="I312" i="2"/>
  <c r="P312" i="2" s="1"/>
  <c r="I310" i="2"/>
  <c r="P310" i="2" s="1"/>
  <c r="I308" i="2"/>
  <c r="P308" i="2" s="1"/>
  <c r="I306" i="2"/>
  <c r="P306" i="2" s="1"/>
  <c r="I304" i="2"/>
  <c r="P304" i="2" s="1"/>
  <c r="I300" i="2"/>
  <c r="P300" i="2" s="1"/>
  <c r="I298" i="2"/>
  <c r="P298" i="2" s="1"/>
  <c r="I234" i="2"/>
  <c r="P234" i="2" s="1"/>
  <c r="I232" i="2"/>
  <c r="P232" i="2" s="1"/>
  <c r="I219" i="2"/>
  <c r="P219" i="2" s="1"/>
  <c r="I217" i="2"/>
  <c r="P217" i="2" s="1"/>
  <c r="I431" i="2"/>
  <c r="P431" i="2" s="1"/>
  <c r="I420" i="2"/>
  <c r="P420" i="2" s="1"/>
  <c r="I407" i="2"/>
  <c r="P407" i="2" s="1"/>
  <c r="I396" i="2"/>
  <c r="P396" i="2" s="1"/>
  <c r="I383" i="2"/>
  <c r="P383" i="2" s="1"/>
  <c r="I372" i="2"/>
  <c r="P372" i="2" s="1"/>
  <c r="I302" i="2"/>
  <c r="P302" i="2" s="1"/>
  <c r="I273" i="2"/>
  <c r="P273" i="2" s="1"/>
  <c r="I271" i="2"/>
  <c r="P271" i="2" s="1"/>
  <c r="I236" i="2"/>
  <c r="P236" i="2" s="1"/>
  <c r="I365" i="2"/>
  <c r="P365" i="2" s="1"/>
  <c r="I357" i="2"/>
  <c r="P357" i="2" s="1"/>
  <c r="I349" i="2"/>
  <c r="P349" i="2" s="1"/>
  <c r="I341" i="2"/>
  <c r="P341" i="2" s="1"/>
  <c r="I333" i="2"/>
  <c r="P333" i="2" s="1"/>
  <c r="I325" i="2"/>
  <c r="P325" i="2" s="1"/>
  <c r="I317" i="2"/>
  <c r="P317" i="2" s="1"/>
  <c r="I309" i="2"/>
  <c r="P309" i="2" s="1"/>
  <c r="I216" i="2"/>
  <c r="P216" i="2" s="1"/>
  <c r="I211" i="2"/>
  <c r="P211" i="2" s="1"/>
  <c r="I209" i="2"/>
  <c r="P209" i="2" s="1"/>
  <c r="I194" i="2"/>
  <c r="P194" i="2" s="1"/>
  <c r="I192" i="2"/>
  <c r="P192" i="2" s="1"/>
  <c r="I179" i="2"/>
  <c r="P179" i="2" s="1"/>
  <c r="I177" i="2"/>
  <c r="P177" i="2" s="1"/>
  <c r="I162" i="2"/>
  <c r="P162" i="2" s="1"/>
  <c r="I160" i="2"/>
  <c r="P160" i="2" s="1"/>
  <c r="I147" i="2"/>
  <c r="P147" i="2" s="1"/>
  <c r="I145" i="2"/>
  <c r="P145" i="2" s="1"/>
  <c r="I132" i="2"/>
  <c r="P132" i="2" s="1"/>
  <c r="I130" i="2"/>
  <c r="P130" i="2" s="1"/>
  <c r="I115" i="2"/>
  <c r="P115" i="2" s="1"/>
  <c r="I113" i="2"/>
  <c r="P113" i="2" s="1"/>
  <c r="I100" i="2"/>
  <c r="P100" i="2" s="1"/>
  <c r="I98" i="2"/>
  <c r="P98" i="2" s="1"/>
  <c r="I67" i="2"/>
  <c r="P67" i="2" s="1"/>
  <c r="I65" i="2"/>
  <c r="P65" i="2" s="1"/>
  <c r="I46" i="2"/>
  <c r="P46" i="2" s="1"/>
  <c r="I44" i="2"/>
  <c r="P44" i="2" s="1"/>
  <c r="I19" i="2"/>
  <c r="P19" i="2" s="1"/>
  <c r="I17" i="2"/>
  <c r="P17" i="2" s="1"/>
  <c r="I437" i="2"/>
  <c r="P437" i="2" s="1"/>
  <c r="I258" i="2"/>
  <c r="P258" i="2" s="1"/>
  <c r="I240" i="2"/>
  <c r="P240" i="2" s="1"/>
  <c r="I213" i="2"/>
  <c r="P213" i="2" s="1"/>
  <c r="I196" i="2"/>
  <c r="P196" i="2" s="1"/>
  <c r="I181" i="2"/>
  <c r="P181" i="2" s="1"/>
  <c r="I164" i="2"/>
  <c r="P164" i="2" s="1"/>
  <c r="I149" i="2"/>
  <c r="P149" i="2" s="1"/>
  <c r="I117" i="2"/>
  <c r="P117" i="2" s="1"/>
  <c r="I71" i="2"/>
  <c r="P71" i="2" s="1"/>
  <c r="I69" i="2"/>
  <c r="P69" i="2" s="1"/>
  <c r="I50" i="2"/>
  <c r="P50" i="2" s="1"/>
  <c r="I48" i="2"/>
  <c r="P48" i="2" s="1"/>
  <c r="I23" i="2"/>
  <c r="P23" i="2" s="1"/>
  <c r="I21" i="2"/>
  <c r="P21" i="2" s="1"/>
  <c r="I398" i="2"/>
  <c r="P398" i="2" s="1"/>
  <c r="I389" i="2"/>
  <c r="P389" i="2" s="1"/>
  <c r="I376" i="2"/>
  <c r="P376" i="2" s="1"/>
  <c r="I279" i="2"/>
  <c r="P279" i="2" s="1"/>
  <c r="I270" i="2"/>
  <c r="P270" i="2" s="1"/>
  <c r="I264" i="2"/>
  <c r="P264" i="2" s="1"/>
  <c r="I252" i="2"/>
  <c r="P252" i="2" s="1"/>
  <c r="I246" i="2"/>
  <c r="P246" i="2" s="1"/>
  <c r="I227" i="2"/>
  <c r="P227" i="2" s="1"/>
  <c r="I221" i="2"/>
  <c r="P221" i="2" s="1"/>
  <c r="I198" i="2"/>
  <c r="P198" i="2" s="1"/>
  <c r="I183" i="2"/>
  <c r="P183" i="2" s="1"/>
  <c r="I166" i="2"/>
  <c r="P166" i="2" s="1"/>
  <c r="I151" i="2"/>
  <c r="P151" i="2" s="1"/>
  <c r="I136" i="2"/>
  <c r="P136" i="2" s="1"/>
  <c r="I134" i="2"/>
  <c r="P134" i="2" s="1"/>
  <c r="I119" i="2"/>
  <c r="P119" i="2" s="1"/>
  <c r="I104" i="2"/>
  <c r="P104" i="2" s="1"/>
  <c r="I102" i="2"/>
  <c r="P102" i="2" s="1"/>
  <c r="I75" i="2"/>
  <c r="P75" i="2" s="1"/>
  <c r="I73" i="2"/>
  <c r="P73" i="2" s="1"/>
  <c r="I54" i="2"/>
  <c r="P54" i="2" s="1"/>
  <c r="I52" i="2"/>
  <c r="P52" i="2" s="1"/>
  <c r="I27" i="2"/>
  <c r="P27" i="2" s="1"/>
  <c r="I25" i="2"/>
  <c r="P25" i="2" s="1"/>
  <c r="I469" i="2"/>
  <c r="P469" i="2" s="1"/>
  <c r="I459" i="2"/>
  <c r="P459" i="2" s="1"/>
  <c r="I424" i="2"/>
  <c r="P424" i="2" s="1"/>
  <c r="I367" i="2"/>
  <c r="P367" i="2" s="1"/>
  <c r="I359" i="2"/>
  <c r="P359" i="2" s="1"/>
  <c r="I351" i="2"/>
  <c r="P351" i="2" s="1"/>
  <c r="I343" i="2"/>
  <c r="P343" i="2" s="1"/>
  <c r="I335" i="2"/>
  <c r="P335" i="2" s="1"/>
  <c r="I327" i="2"/>
  <c r="P327" i="2" s="1"/>
  <c r="I319" i="2"/>
  <c r="P319" i="2" s="1"/>
  <c r="I311" i="2"/>
  <c r="P311" i="2" s="1"/>
  <c r="I303" i="2"/>
  <c r="P303" i="2" s="1"/>
  <c r="I291" i="2"/>
  <c r="P291" i="2" s="1"/>
  <c r="I285" i="2"/>
  <c r="P285" i="2" s="1"/>
  <c r="I218" i="2"/>
  <c r="P218" i="2" s="1"/>
  <c r="I202" i="2"/>
  <c r="P202" i="2" s="1"/>
  <c r="I200" i="2"/>
  <c r="P200" i="2" s="1"/>
  <c r="I187" i="2"/>
  <c r="P187" i="2" s="1"/>
  <c r="I185" i="2"/>
  <c r="P185" i="2" s="1"/>
  <c r="I170" i="2"/>
  <c r="P170" i="2" s="1"/>
  <c r="I168" i="2"/>
  <c r="P168" i="2" s="1"/>
  <c r="I155" i="2"/>
  <c r="P155" i="2" s="1"/>
  <c r="I153" i="2"/>
  <c r="P153" i="2" s="1"/>
  <c r="I140" i="2"/>
  <c r="P140" i="2" s="1"/>
  <c r="I138" i="2"/>
  <c r="P138" i="2" s="1"/>
  <c r="I123" i="2"/>
  <c r="P123" i="2" s="1"/>
  <c r="I121" i="2"/>
  <c r="P121" i="2" s="1"/>
  <c r="I108" i="2"/>
  <c r="P108" i="2" s="1"/>
  <c r="I106" i="2"/>
  <c r="P106" i="2" s="1"/>
  <c r="I79" i="2"/>
  <c r="P79" i="2" s="1"/>
  <c r="I77" i="2"/>
  <c r="P77" i="2" s="1"/>
  <c r="I58" i="2"/>
  <c r="P58" i="2" s="1"/>
  <c r="I56" i="2"/>
  <c r="P56" i="2" s="1"/>
  <c r="I31" i="2"/>
  <c r="P31" i="2" s="1"/>
  <c r="I29" i="2"/>
  <c r="P29" i="2" s="1"/>
  <c r="I22" i="2"/>
  <c r="P22" i="2" s="1"/>
  <c r="I24" i="2"/>
  <c r="P24" i="2" s="1"/>
  <c r="I439" i="2"/>
  <c r="P439" i="2" s="1"/>
  <c r="I382" i="2"/>
  <c r="P382" i="2" s="1"/>
  <c r="I204" i="2"/>
  <c r="P204" i="2" s="1"/>
  <c r="I172" i="2"/>
  <c r="P172" i="2" s="1"/>
  <c r="I157" i="2"/>
  <c r="P157" i="2" s="1"/>
  <c r="I142" i="2"/>
  <c r="P142" i="2" s="1"/>
  <c r="I125" i="2"/>
  <c r="P125" i="2" s="1"/>
  <c r="I110" i="2"/>
  <c r="P110" i="2" s="1"/>
  <c r="I83" i="2"/>
  <c r="P83" i="2" s="1"/>
  <c r="I81" i="2"/>
  <c r="P81" i="2" s="1"/>
  <c r="I62" i="2"/>
  <c r="P62" i="2" s="1"/>
  <c r="I60" i="2"/>
  <c r="P60" i="2" s="1"/>
  <c r="I35" i="2"/>
  <c r="P35" i="2" s="1"/>
  <c r="I33" i="2"/>
  <c r="P33" i="2" s="1"/>
  <c r="I430" i="2"/>
  <c r="P430" i="2" s="1"/>
  <c r="I417" i="2"/>
  <c r="P417" i="2" s="1"/>
  <c r="I385" i="2"/>
  <c r="P385" i="2" s="1"/>
  <c r="I260" i="2"/>
  <c r="P260" i="2" s="1"/>
  <c r="I254" i="2"/>
  <c r="P254" i="2" s="1"/>
  <c r="I223" i="2"/>
  <c r="P223" i="2" s="1"/>
  <c r="I206" i="2"/>
  <c r="P206" i="2" s="1"/>
  <c r="I191" i="2"/>
  <c r="P191" i="2" s="1"/>
  <c r="I189" i="2"/>
  <c r="P189" i="2" s="1"/>
  <c r="I174" i="2"/>
  <c r="P174" i="2" s="1"/>
  <c r="I159" i="2"/>
  <c r="P159" i="2" s="1"/>
  <c r="I144" i="2"/>
  <c r="P144" i="2" s="1"/>
  <c r="I127" i="2"/>
  <c r="P127" i="2" s="1"/>
  <c r="I112" i="2"/>
  <c r="P112" i="2" s="1"/>
  <c r="I95" i="2"/>
  <c r="P95" i="2" s="1"/>
  <c r="I91" i="2"/>
  <c r="P91" i="2" s="1"/>
  <c r="I87" i="2"/>
  <c r="P87" i="2" s="1"/>
  <c r="I85" i="2"/>
  <c r="P85" i="2" s="1"/>
  <c r="I66" i="2"/>
  <c r="P66" i="2" s="1"/>
  <c r="I64" i="2"/>
  <c r="P64" i="2" s="1"/>
  <c r="I39" i="2"/>
  <c r="P39" i="2" s="1"/>
  <c r="I37" i="2"/>
  <c r="P37" i="2" s="1"/>
  <c r="I18" i="2"/>
  <c r="P18" i="2" s="1"/>
  <c r="I16" i="2"/>
  <c r="P16" i="2" s="1"/>
  <c r="I471" i="2"/>
  <c r="P471" i="2" s="1"/>
  <c r="I433" i="2"/>
  <c r="P433" i="2" s="1"/>
  <c r="I400" i="2"/>
  <c r="P400" i="2" s="1"/>
  <c r="I369" i="2"/>
  <c r="P369" i="2" s="1"/>
  <c r="I361" i="2"/>
  <c r="P361" i="2" s="1"/>
  <c r="I353" i="2"/>
  <c r="P353" i="2" s="1"/>
  <c r="I345" i="2"/>
  <c r="P345" i="2" s="1"/>
  <c r="I337" i="2"/>
  <c r="P337" i="2" s="1"/>
  <c r="I329" i="2"/>
  <c r="P329" i="2" s="1"/>
  <c r="I321" i="2"/>
  <c r="P321" i="2" s="1"/>
  <c r="I313" i="2"/>
  <c r="P313" i="2" s="1"/>
  <c r="I305" i="2"/>
  <c r="P305" i="2" s="1"/>
  <c r="I287" i="2"/>
  <c r="P287" i="2" s="1"/>
  <c r="I281" i="2"/>
  <c r="P281" i="2" s="1"/>
  <c r="I275" i="2"/>
  <c r="P275" i="2" s="1"/>
  <c r="I248" i="2"/>
  <c r="P248" i="2" s="1"/>
  <c r="I242" i="2"/>
  <c r="P242" i="2" s="1"/>
  <c r="I229" i="2"/>
  <c r="P229" i="2" s="1"/>
  <c r="I210" i="2"/>
  <c r="P210" i="2" s="1"/>
  <c r="I208" i="2"/>
  <c r="P208" i="2" s="1"/>
  <c r="I195" i="2"/>
  <c r="P195" i="2" s="1"/>
  <c r="I193" i="2"/>
  <c r="P193" i="2" s="1"/>
  <c r="I178" i="2"/>
  <c r="P178" i="2" s="1"/>
  <c r="I176" i="2"/>
  <c r="P176" i="2" s="1"/>
  <c r="I163" i="2"/>
  <c r="P163" i="2" s="1"/>
  <c r="I161" i="2"/>
  <c r="P161" i="2" s="1"/>
  <c r="I148" i="2"/>
  <c r="P148" i="2" s="1"/>
  <c r="I146" i="2"/>
  <c r="P146" i="2" s="1"/>
  <c r="I131" i="2"/>
  <c r="P131" i="2" s="1"/>
  <c r="I129" i="2"/>
  <c r="P129" i="2" s="1"/>
  <c r="I116" i="2"/>
  <c r="P116" i="2" s="1"/>
  <c r="I114" i="2"/>
  <c r="P114" i="2" s="1"/>
  <c r="I99" i="2"/>
  <c r="P99" i="2" s="1"/>
  <c r="I97" i="2"/>
  <c r="P97" i="2" s="1"/>
  <c r="I93" i="2"/>
  <c r="P93" i="2" s="1"/>
  <c r="I89" i="2"/>
  <c r="P89" i="2" s="1"/>
  <c r="I70" i="2"/>
  <c r="P70" i="2" s="1"/>
  <c r="I68" i="2"/>
  <c r="P68" i="2" s="1"/>
  <c r="I43" i="2"/>
  <c r="P43" i="2" s="1"/>
  <c r="I41" i="2"/>
  <c r="P41" i="2" s="1"/>
  <c r="I426" i="2"/>
  <c r="P426" i="2" s="1"/>
  <c r="I378" i="2"/>
  <c r="P378" i="2" s="1"/>
  <c r="I293" i="2"/>
  <c r="P293" i="2" s="1"/>
  <c r="I212" i="2"/>
  <c r="P212" i="2" s="1"/>
  <c r="I197" i="2"/>
  <c r="P197" i="2" s="1"/>
  <c r="I180" i="2"/>
  <c r="P180" i="2" s="1"/>
  <c r="I165" i="2"/>
  <c r="P165" i="2" s="1"/>
  <c r="I133" i="2"/>
  <c r="P133" i="2" s="1"/>
  <c r="I101" i="2"/>
  <c r="P101" i="2" s="1"/>
  <c r="I74" i="2"/>
  <c r="P74" i="2" s="1"/>
  <c r="I72" i="2"/>
  <c r="P72" i="2" s="1"/>
  <c r="I47" i="2"/>
  <c r="P47" i="2" s="1"/>
  <c r="I45" i="2"/>
  <c r="P45" i="2" s="1"/>
  <c r="I441" i="2"/>
  <c r="P441" i="2" s="1"/>
  <c r="I406" i="2"/>
  <c r="P406" i="2" s="1"/>
  <c r="I299" i="2"/>
  <c r="P299" i="2" s="1"/>
  <c r="I235" i="2"/>
  <c r="P235" i="2" s="1"/>
  <c r="I199" i="2"/>
  <c r="P199" i="2" s="1"/>
  <c r="I182" i="2"/>
  <c r="P182" i="2" s="1"/>
  <c r="I167" i="2"/>
  <c r="P167" i="2" s="1"/>
  <c r="I152" i="2"/>
  <c r="P152" i="2" s="1"/>
  <c r="I150" i="2"/>
  <c r="P150" i="2" s="1"/>
  <c r="I135" i="2"/>
  <c r="P135" i="2" s="1"/>
  <c r="I120" i="2"/>
  <c r="P120" i="2" s="1"/>
  <c r="I118" i="2"/>
  <c r="P118" i="2" s="1"/>
  <c r="I103" i="2"/>
  <c r="P103" i="2" s="1"/>
  <c r="I78" i="2"/>
  <c r="P78" i="2" s="1"/>
  <c r="I76" i="2"/>
  <c r="P76" i="2" s="1"/>
  <c r="I51" i="2"/>
  <c r="P51" i="2" s="1"/>
  <c r="I49" i="2"/>
  <c r="P49" i="2" s="1"/>
  <c r="I467" i="2"/>
  <c r="P467" i="2" s="1"/>
  <c r="I443" i="2"/>
  <c r="P443" i="2" s="1"/>
  <c r="I402" i="2"/>
  <c r="P402" i="2" s="1"/>
  <c r="I301" i="2"/>
  <c r="P301" i="2" s="1"/>
  <c r="I283" i="2"/>
  <c r="P283" i="2" s="1"/>
  <c r="I207" i="2"/>
  <c r="P207" i="2" s="1"/>
  <c r="I205" i="2"/>
  <c r="P205" i="2" s="1"/>
  <c r="I190" i="2"/>
  <c r="P190" i="2" s="1"/>
  <c r="I175" i="2"/>
  <c r="P175" i="2" s="1"/>
  <c r="I173" i="2"/>
  <c r="P173" i="2" s="1"/>
  <c r="I143" i="2"/>
  <c r="P143" i="2" s="1"/>
  <c r="I128" i="2"/>
  <c r="P128" i="2" s="1"/>
  <c r="I111" i="2"/>
  <c r="P111" i="2" s="1"/>
  <c r="I96" i="2"/>
  <c r="P96" i="2" s="1"/>
  <c r="I94" i="2"/>
  <c r="P94" i="2" s="1"/>
  <c r="I92" i="2"/>
  <c r="P92" i="2" s="1"/>
  <c r="I90" i="2"/>
  <c r="P90" i="2" s="1"/>
  <c r="I88" i="2"/>
  <c r="P88" i="2" s="1"/>
  <c r="I63" i="2"/>
  <c r="P63" i="2" s="1"/>
  <c r="I61" i="2"/>
  <c r="P61" i="2" s="1"/>
  <c r="I42" i="2"/>
  <c r="P42" i="2" s="1"/>
  <c r="I40" i="2"/>
  <c r="P40" i="2" s="1"/>
  <c r="I20" i="2"/>
  <c r="P20" i="2" s="1"/>
  <c r="I26" i="2"/>
  <c r="P26" i="2" s="1"/>
  <c r="I55" i="2"/>
  <c r="P55" i="2" s="1"/>
  <c r="I34" i="2"/>
  <c r="P34" i="2" s="1"/>
  <c r="I244" i="2"/>
  <c r="P244" i="2" s="1"/>
  <c r="I393" i="2"/>
  <c r="P393" i="2" s="1"/>
  <c r="I374" i="2"/>
  <c r="P374" i="2" s="1"/>
  <c r="I262" i="2"/>
  <c r="P262" i="2" s="1"/>
  <c r="I156" i="2"/>
  <c r="P156" i="2" s="1"/>
  <c r="I139" i="2"/>
  <c r="P139" i="2" s="1"/>
  <c r="I122" i="2"/>
  <c r="P122" i="2" s="1"/>
  <c r="I105" i="2"/>
  <c r="P105" i="2" s="1"/>
  <c r="I80" i="2"/>
  <c r="P80" i="2" s="1"/>
  <c r="I30" i="2"/>
  <c r="P30" i="2" s="1"/>
  <c r="I36" i="2"/>
  <c r="P36" i="2" s="1"/>
  <c r="I38" i="2"/>
  <c r="P38" i="2" s="1"/>
  <c r="I363" i="2"/>
  <c r="P363" i="2" s="1"/>
  <c r="I339" i="2"/>
  <c r="P339" i="2" s="1"/>
  <c r="I315" i="2"/>
  <c r="P315" i="2" s="1"/>
  <c r="I250" i="2"/>
  <c r="P250" i="2" s="1"/>
  <c r="I203" i="2"/>
  <c r="P203" i="2" s="1"/>
  <c r="I186" i="2"/>
  <c r="P186" i="2" s="1"/>
  <c r="I169" i="2"/>
  <c r="P169" i="2" s="1"/>
  <c r="I84" i="2"/>
  <c r="P84" i="2" s="1"/>
  <c r="I57" i="2"/>
  <c r="P57" i="2" s="1"/>
  <c r="I154" i="2"/>
  <c r="P154" i="2" s="1"/>
  <c r="I225" i="2"/>
  <c r="P225" i="2" s="1"/>
  <c r="I473" i="2"/>
  <c r="P473" i="2" s="1"/>
  <c r="I238" i="2"/>
  <c r="P238" i="2" s="1"/>
  <c r="I171" i="2"/>
  <c r="P171" i="2" s="1"/>
  <c r="I86" i="2"/>
  <c r="P86" i="2" s="1"/>
  <c r="I53" i="2"/>
  <c r="P53" i="2" s="1"/>
  <c r="I184" i="2"/>
  <c r="P184" i="2" s="1"/>
  <c r="I289" i="2"/>
  <c r="P289" i="2" s="1"/>
  <c r="I158" i="2"/>
  <c r="P158" i="2" s="1"/>
  <c r="I141" i="2"/>
  <c r="P141" i="2" s="1"/>
  <c r="I124" i="2"/>
  <c r="P124" i="2" s="1"/>
  <c r="I107" i="2"/>
  <c r="P107" i="2" s="1"/>
  <c r="I32" i="2"/>
  <c r="P32" i="2" s="1"/>
  <c r="I387" i="2"/>
  <c r="P387" i="2" s="1"/>
  <c r="I256" i="2"/>
  <c r="P256" i="2" s="1"/>
  <c r="I188" i="2"/>
  <c r="P188" i="2" s="1"/>
  <c r="I137" i="2"/>
  <c r="P137" i="2" s="1"/>
  <c r="I201" i="2"/>
  <c r="P201" i="2" s="1"/>
  <c r="I82" i="2"/>
  <c r="P82" i="2" s="1"/>
  <c r="I355" i="2"/>
  <c r="P355" i="2" s="1"/>
  <c r="I331" i="2"/>
  <c r="P331" i="2" s="1"/>
  <c r="I307" i="2"/>
  <c r="P307" i="2" s="1"/>
  <c r="I409" i="2"/>
  <c r="P409" i="2" s="1"/>
  <c r="I59" i="2"/>
  <c r="P59" i="2" s="1"/>
  <c r="I28" i="2"/>
  <c r="P28" i="2" s="1"/>
  <c r="I435" i="2"/>
  <c r="P435" i="2" s="1"/>
  <c r="I371" i="2"/>
  <c r="P371" i="2" s="1"/>
  <c r="I347" i="2"/>
  <c r="P347" i="2" s="1"/>
  <c r="I323" i="2"/>
  <c r="P323" i="2" s="1"/>
  <c r="I277" i="2"/>
  <c r="P277" i="2" s="1"/>
  <c r="I214" i="2"/>
  <c r="P214" i="2" s="1"/>
  <c r="I126" i="2"/>
  <c r="P126" i="2" s="1"/>
  <c r="I109" i="2"/>
  <c r="P109" i="2" s="1"/>
  <c r="G9" i="2"/>
  <c r="G4" i="2"/>
  <c r="O32" i="12" l="1"/>
  <c r="B11" i="4"/>
  <c r="D10" i="4"/>
  <c r="I9" i="2" s="1"/>
  <c r="K474" i="2" s="1"/>
  <c r="K463" i="2" l="1"/>
  <c r="K447" i="2"/>
  <c r="K467" i="2"/>
  <c r="K451" i="2"/>
  <c r="K435" i="2"/>
  <c r="K411" i="2"/>
  <c r="K407" i="2"/>
  <c r="K403" i="2"/>
  <c r="K399" i="2"/>
  <c r="K391" i="2"/>
  <c r="K379" i="2"/>
  <c r="K375" i="2"/>
  <c r="K373" i="2"/>
  <c r="K368" i="2"/>
  <c r="K364" i="2"/>
  <c r="K360" i="2"/>
  <c r="K356" i="2"/>
  <c r="K352" i="2"/>
  <c r="K348" i="2"/>
  <c r="K344" i="2"/>
  <c r="K340" i="2"/>
  <c r="K336" i="2"/>
  <c r="K332" i="2"/>
  <c r="K328" i="2"/>
  <c r="K395" i="2"/>
  <c r="K372" i="2"/>
  <c r="K320" i="2"/>
  <c r="K312" i="2"/>
  <c r="K296" i="2"/>
  <c r="K258" i="2"/>
  <c r="K254" i="2"/>
  <c r="K250" i="2"/>
  <c r="K324" i="2"/>
  <c r="K316" i="2"/>
  <c r="K311" i="2"/>
  <c r="K308" i="2"/>
  <c r="K295" i="2"/>
  <c r="K292" i="2"/>
  <c r="K280" i="2"/>
  <c r="K276" i="2"/>
  <c r="K272" i="2"/>
  <c r="K268" i="2"/>
  <c r="K264" i="2"/>
  <c r="K260" i="2"/>
  <c r="K253" i="2"/>
  <c r="K257" i="2"/>
  <c r="K166" i="2"/>
  <c r="K162" i="2"/>
  <c r="K94" i="2"/>
  <c r="K90" i="2"/>
  <c r="K17" i="2"/>
  <c r="K37" i="2"/>
  <c r="K59" i="2"/>
  <c r="K65" i="2"/>
  <c r="K75" i="2"/>
  <c r="K81" i="2"/>
  <c r="K95" i="2"/>
  <c r="K27" i="2"/>
  <c r="K38" i="2"/>
  <c r="K47" i="2"/>
  <c r="K57" i="2"/>
  <c r="K143" i="2"/>
  <c r="K139" i="2"/>
  <c r="K93" i="2"/>
  <c r="K151" i="2"/>
  <c r="K131" i="2"/>
  <c r="K198" i="2"/>
  <c r="K226" i="2"/>
  <c r="K242" i="2"/>
  <c r="K178" i="2"/>
  <c r="K246" i="2"/>
  <c r="K174" i="2"/>
  <c r="K186" i="2"/>
  <c r="K304" i="2"/>
  <c r="K279" i="2"/>
  <c r="K228" i="2"/>
  <c r="K236" i="2"/>
  <c r="K248" i="2"/>
  <c r="K275" i="2"/>
  <c r="K299" i="2"/>
  <c r="K271" i="2"/>
  <c r="K307" i="2"/>
  <c r="K286" i="2"/>
  <c r="K321" i="2"/>
  <c r="K323" i="2"/>
  <c r="K339" i="2"/>
  <c r="K355" i="2"/>
  <c r="K423" i="2"/>
  <c r="K419" i="2"/>
  <c r="K440" i="2"/>
  <c r="K470" i="2"/>
  <c r="K450" i="2"/>
  <c r="K444" i="2"/>
  <c r="K460" i="2"/>
  <c r="K19" i="2"/>
  <c r="K41" i="2"/>
  <c r="K53" i="2"/>
  <c r="K61" i="2"/>
  <c r="K71" i="2"/>
  <c r="K77" i="2"/>
  <c r="K87" i="2"/>
  <c r="K29" i="2"/>
  <c r="K39" i="2"/>
  <c r="K49" i="2"/>
  <c r="K16" i="2"/>
  <c r="K91" i="2"/>
  <c r="K155" i="2"/>
  <c r="K103" i="2"/>
  <c r="K170" i="2"/>
  <c r="K147" i="2"/>
  <c r="K214" i="2"/>
  <c r="K245" i="2"/>
  <c r="K194" i="2"/>
  <c r="K238" i="2"/>
  <c r="K190" i="2"/>
  <c r="K234" i="2"/>
  <c r="K202" i="2"/>
  <c r="K230" i="2"/>
  <c r="K23" i="2"/>
  <c r="K35" i="2"/>
  <c r="K63" i="2"/>
  <c r="K69" i="2"/>
  <c r="K79" i="2"/>
  <c r="K85" i="2"/>
  <c r="K25" i="2"/>
  <c r="K33" i="2"/>
  <c r="K45" i="2"/>
  <c r="K127" i="2"/>
  <c r="K123" i="2"/>
  <c r="K135" i="2"/>
  <c r="K115" i="2"/>
  <c r="K182" i="2"/>
  <c r="K241" i="2"/>
  <c r="K222" i="2"/>
  <c r="K244" i="2"/>
  <c r="K252" i="2"/>
  <c r="K21" i="2"/>
  <c r="K83" i="2"/>
  <c r="K107" i="2"/>
  <c r="K89" i="2"/>
  <c r="K99" i="2"/>
  <c r="K206" i="2"/>
  <c r="K218" i="2"/>
  <c r="K232" i="2"/>
  <c r="K287" i="2"/>
  <c r="K303" i="2"/>
  <c r="K341" i="2"/>
  <c r="K353" i="2"/>
  <c r="K383" i="2"/>
  <c r="K387" i="2"/>
  <c r="K343" i="2"/>
  <c r="K363" i="2"/>
  <c r="K431" i="2"/>
  <c r="K456" i="2"/>
  <c r="K436" i="2"/>
  <c r="K454" i="2"/>
  <c r="K464" i="2"/>
  <c r="K462" i="2"/>
  <c r="K240" i="2"/>
  <c r="K284" i="2"/>
  <c r="K361" i="2"/>
  <c r="K319" i="2"/>
  <c r="K315" i="2"/>
  <c r="K415" i="2"/>
  <c r="K452" i="2"/>
  <c r="K67" i="2"/>
  <c r="K51" i="2"/>
  <c r="K111" i="2"/>
  <c r="K249" i="2"/>
  <c r="K210" i="2"/>
  <c r="K263" i="2"/>
  <c r="K224" i="2"/>
  <c r="K259" i="2"/>
  <c r="K291" i="2"/>
  <c r="K333" i="2"/>
  <c r="K345" i="2"/>
  <c r="K365" i="2"/>
  <c r="K317" i="2"/>
  <c r="K327" i="2"/>
  <c r="K347" i="2"/>
  <c r="K367" i="2"/>
  <c r="K425" i="2"/>
  <c r="K421" i="2"/>
  <c r="K442" i="2"/>
  <c r="K458" i="2"/>
  <c r="K438" i="2"/>
  <c r="K434" i="2"/>
  <c r="K448" i="2"/>
  <c r="K466" i="2"/>
  <c r="K31" i="2"/>
  <c r="K300" i="2"/>
  <c r="K302" i="2"/>
  <c r="K335" i="2"/>
  <c r="K472" i="2"/>
  <c r="K43" i="2"/>
  <c r="K73" i="2"/>
  <c r="K22" i="2"/>
  <c r="K256" i="2"/>
  <c r="K283" i="2"/>
  <c r="K288" i="2"/>
  <c r="K337" i="2"/>
  <c r="K357" i="2"/>
  <c r="K369" i="2"/>
  <c r="K325" i="2"/>
  <c r="K331" i="2"/>
  <c r="K351" i="2"/>
  <c r="K427" i="2"/>
  <c r="K417" i="2"/>
  <c r="K468" i="2"/>
  <c r="K446" i="2"/>
  <c r="K55" i="2"/>
  <c r="K119" i="2"/>
  <c r="K267" i="2"/>
  <c r="K329" i="2"/>
  <c r="K349" i="2"/>
  <c r="K359" i="2"/>
  <c r="K429" i="2"/>
  <c r="K398" i="2"/>
  <c r="K294" i="2"/>
  <c r="K225" i="2"/>
  <c r="K100" i="2"/>
  <c r="K397" i="2"/>
  <c r="K374" i="2"/>
  <c r="K334" i="2"/>
  <c r="K281" i="2"/>
  <c r="K205" i="2"/>
  <c r="K195" i="2"/>
  <c r="K60" i="2"/>
  <c r="K441" i="2"/>
  <c r="K386" i="2"/>
  <c r="K424" i="2"/>
  <c r="K413" i="2"/>
  <c r="K290" i="2"/>
  <c r="K213" i="2"/>
  <c r="K167" i="2"/>
  <c r="K88" i="2"/>
  <c r="K394" i="2"/>
  <c r="K457" i="2"/>
  <c r="K378" i="2"/>
  <c r="K338" i="2"/>
  <c r="K266" i="2"/>
  <c r="K209" i="2"/>
  <c r="K211" i="2"/>
  <c r="K98" i="2"/>
  <c r="K44" i="2"/>
  <c r="K177" i="2"/>
  <c r="K227" i="2"/>
  <c r="K196" i="2"/>
  <c r="K191" i="2"/>
  <c r="K142" i="2"/>
  <c r="K137" i="2"/>
  <c r="K144" i="2"/>
  <c r="K82" i="2"/>
  <c r="K50" i="2"/>
  <c r="K40" i="2"/>
  <c r="K215" i="2"/>
  <c r="K150" i="2"/>
  <c r="K149" i="2"/>
  <c r="K113" i="2"/>
  <c r="K161" i="2"/>
  <c r="K104" i="2"/>
  <c r="K62" i="2"/>
  <c r="K92" i="2"/>
  <c r="K32" i="2"/>
  <c r="K455" i="2"/>
  <c r="K449" i="2"/>
  <c r="K400" i="2"/>
  <c r="K384" i="2"/>
  <c r="K381" i="2"/>
  <c r="K326" i="2"/>
  <c r="K278" i="2"/>
  <c r="K180" i="2"/>
  <c r="K138" i="2"/>
  <c r="K102" i="2"/>
  <c r="K140" i="2"/>
  <c r="K26" i="2"/>
  <c r="K36" i="2"/>
  <c r="K432" i="2"/>
  <c r="K390" i="2"/>
  <c r="K306" i="2"/>
  <c r="K171" i="2"/>
  <c r="K459" i="2"/>
  <c r="K377" i="2"/>
  <c r="K366" i="2"/>
  <c r="K310" i="2"/>
  <c r="K273" i="2"/>
  <c r="K229" i="2"/>
  <c r="K146" i="2"/>
  <c r="K28" i="2"/>
  <c r="K445" i="2"/>
  <c r="K318" i="2"/>
  <c r="K416" i="2"/>
  <c r="K371" i="2"/>
  <c r="K322" i="2"/>
  <c r="K181" i="2"/>
  <c r="K159" i="2"/>
  <c r="K437" i="2"/>
  <c r="K376" i="2"/>
  <c r="K418" i="2"/>
  <c r="K370" i="2"/>
  <c r="K330" i="2"/>
  <c r="K277" i="2"/>
  <c r="K189" i="2"/>
  <c r="K179" i="2"/>
  <c r="K164" i="2"/>
  <c r="K201" i="2"/>
  <c r="K239" i="2"/>
  <c r="K223" i="2"/>
  <c r="K184" i="2"/>
  <c r="K175" i="2"/>
  <c r="K160" i="2"/>
  <c r="K129" i="2"/>
  <c r="K128" i="2"/>
  <c r="K74" i="2"/>
  <c r="K42" i="2"/>
  <c r="K24" i="2"/>
  <c r="K199" i="2"/>
  <c r="K134" i="2"/>
  <c r="K141" i="2"/>
  <c r="K97" i="2"/>
  <c r="K152" i="2"/>
  <c r="K86" i="2"/>
  <c r="K54" i="2"/>
  <c r="K80" i="2"/>
  <c r="K212" i="2"/>
  <c r="K439" i="2"/>
  <c r="K430" i="2"/>
  <c r="K396" i="2"/>
  <c r="K422" i="2"/>
  <c r="K389" i="2"/>
  <c r="K314" i="2"/>
  <c r="K262" i="2"/>
  <c r="K219" i="2"/>
  <c r="K126" i="2"/>
  <c r="K117" i="2"/>
  <c r="K124" i="2"/>
  <c r="K84" i="2"/>
  <c r="K20" i="2"/>
  <c r="K465" i="2"/>
  <c r="K385" i="2"/>
  <c r="K251" i="2"/>
  <c r="K163" i="2"/>
  <c r="K461" i="2"/>
  <c r="K393" i="2"/>
  <c r="K354" i="2"/>
  <c r="K282" i="2"/>
  <c r="K261" i="2"/>
  <c r="K200" i="2"/>
  <c r="K122" i="2"/>
  <c r="K469" i="2"/>
  <c r="K433" i="2"/>
  <c r="K217" i="2"/>
  <c r="K414" i="2"/>
  <c r="K298" i="2"/>
  <c r="K309" i="2"/>
  <c r="K233" i="2"/>
  <c r="K148" i="2"/>
  <c r="K420" i="2"/>
  <c r="K197" i="2"/>
  <c r="K412" i="2"/>
  <c r="K362" i="2"/>
  <c r="K289" i="2"/>
  <c r="K265" i="2"/>
  <c r="K237" i="2"/>
  <c r="K130" i="2"/>
  <c r="K30" i="2"/>
  <c r="K193" i="2"/>
  <c r="K235" i="2"/>
  <c r="K216" i="2"/>
  <c r="K247" i="2"/>
  <c r="K173" i="2"/>
  <c r="K153" i="2"/>
  <c r="K121" i="2"/>
  <c r="K112" i="2"/>
  <c r="K66" i="2"/>
  <c r="K72" i="2"/>
  <c r="K204" i="2"/>
  <c r="K183" i="2"/>
  <c r="K168" i="2"/>
  <c r="K133" i="2"/>
  <c r="K169" i="2"/>
  <c r="K136" i="2"/>
  <c r="K78" i="2"/>
  <c r="K46" i="2"/>
  <c r="K64" i="2"/>
  <c r="K192" i="2"/>
  <c r="K443" i="2"/>
  <c r="K408" i="2"/>
  <c r="K392" i="2"/>
  <c r="K426" i="2"/>
  <c r="K358" i="2"/>
  <c r="K301" i="2"/>
  <c r="K297" i="2"/>
  <c r="K203" i="2"/>
  <c r="K118" i="2"/>
  <c r="K101" i="2"/>
  <c r="K108" i="2"/>
  <c r="K68" i="2"/>
  <c r="K410" i="2"/>
  <c r="K305" i="2"/>
  <c r="K255" i="2"/>
  <c r="K132" i="2"/>
  <c r="K409" i="2"/>
  <c r="K382" i="2"/>
  <c r="K346" i="2"/>
  <c r="K270" i="2"/>
  <c r="K243" i="2"/>
  <c r="K188" i="2"/>
  <c r="K106" i="2"/>
  <c r="K473" i="2"/>
  <c r="K402" i="2"/>
  <c r="K453" i="2"/>
  <c r="K380" i="2"/>
  <c r="K313" i="2"/>
  <c r="K293" i="2"/>
  <c r="K220" i="2"/>
  <c r="K116" i="2"/>
  <c r="K406" i="2"/>
  <c r="K109" i="2"/>
  <c r="K401" i="2"/>
  <c r="K350" i="2"/>
  <c r="K274" i="2"/>
  <c r="K221" i="2"/>
  <c r="K172" i="2"/>
  <c r="K114" i="2"/>
  <c r="K76" i="2"/>
  <c r="K185" i="2"/>
  <c r="K231" i="2"/>
  <c r="K208" i="2"/>
  <c r="K207" i="2"/>
  <c r="K154" i="2"/>
  <c r="K145" i="2"/>
  <c r="K105" i="2"/>
  <c r="K96" i="2"/>
  <c r="K58" i="2"/>
  <c r="K56" i="2"/>
  <c r="K176" i="2"/>
  <c r="K158" i="2"/>
  <c r="K157" i="2"/>
  <c r="K125" i="2"/>
  <c r="K165" i="2"/>
  <c r="K120" i="2"/>
  <c r="K70" i="2"/>
  <c r="K18" i="2"/>
  <c r="K48" i="2"/>
  <c r="K471" i="2"/>
  <c r="K428" i="2"/>
  <c r="K404" i="2"/>
  <c r="K388" i="2"/>
  <c r="K405" i="2"/>
  <c r="K342" i="2"/>
  <c r="K285" i="2"/>
  <c r="K269" i="2"/>
  <c r="K187" i="2"/>
  <c r="K110" i="2"/>
  <c r="K156" i="2"/>
  <c r="K34" i="2"/>
  <c r="K52" i="2"/>
  <c r="J9" i="4"/>
  <c r="A31" i="4"/>
  <c r="O36" i="12"/>
  <c r="A11" i="4"/>
  <c r="A10" i="4"/>
  <c r="S428" i="2" l="1"/>
  <c r="R428" i="2"/>
  <c r="R109" i="2"/>
  <c r="S109" i="2"/>
  <c r="R410" i="2"/>
  <c r="S410" i="2"/>
  <c r="S66" i="2"/>
  <c r="R66" i="2"/>
  <c r="S197" i="2"/>
  <c r="R197" i="2"/>
  <c r="S309" i="2"/>
  <c r="R309" i="2"/>
  <c r="S261" i="2"/>
  <c r="R261" i="2"/>
  <c r="R117" i="2"/>
  <c r="S117" i="2"/>
  <c r="S314" i="2"/>
  <c r="R314" i="2"/>
  <c r="R430" i="2"/>
  <c r="S430" i="2"/>
  <c r="S54" i="2"/>
  <c r="R54" i="2"/>
  <c r="R141" i="2"/>
  <c r="S141" i="2"/>
  <c r="S42" i="2"/>
  <c r="R42" i="2"/>
  <c r="S160" i="2"/>
  <c r="R160" i="2"/>
  <c r="S239" i="2"/>
  <c r="R239" i="2"/>
  <c r="S189" i="2"/>
  <c r="R189" i="2"/>
  <c r="R418" i="2"/>
  <c r="S418" i="2"/>
  <c r="S181" i="2"/>
  <c r="R181" i="2"/>
  <c r="S318" i="2"/>
  <c r="R318" i="2"/>
  <c r="R229" i="2"/>
  <c r="S229" i="2"/>
  <c r="S377" i="2"/>
  <c r="R377" i="2"/>
  <c r="R390" i="2"/>
  <c r="S390" i="2"/>
  <c r="S140" i="2"/>
  <c r="R140" i="2"/>
  <c r="S278" i="2"/>
  <c r="R278" i="2"/>
  <c r="S400" i="2"/>
  <c r="R400" i="2"/>
  <c r="S92" i="2"/>
  <c r="R92" i="2"/>
  <c r="R113" i="2"/>
  <c r="S113" i="2"/>
  <c r="S40" i="2"/>
  <c r="R40" i="2"/>
  <c r="R137" i="2"/>
  <c r="S137" i="2"/>
  <c r="S227" i="2"/>
  <c r="R227" i="2"/>
  <c r="S211" i="2"/>
  <c r="R211" i="2"/>
  <c r="R378" i="2"/>
  <c r="S378" i="2"/>
  <c r="R167" i="2"/>
  <c r="S167" i="2"/>
  <c r="S424" i="2"/>
  <c r="R424" i="2"/>
  <c r="S195" i="2"/>
  <c r="R195" i="2"/>
  <c r="R374" i="2"/>
  <c r="S374" i="2"/>
  <c r="S294" i="2"/>
  <c r="R294" i="2"/>
  <c r="R359" i="2"/>
  <c r="S359" i="2"/>
  <c r="S119" i="2"/>
  <c r="R119" i="2"/>
  <c r="S417" i="2"/>
  <c r="R417" i="2"/>
  <c r="S325" i="2"/>
  <c r="R325" i="2"/>
  <c r="R288" i="2"/>
  <c r="S288" i="2"/>
  <c r="R73" i="2"/>
  <c r="S73" i="2"/>
  <c r="S302" i="2"/>
  <c r="R302" i="2"/>
  <c r="S448" i="2"/>
  <c r="R448" i="2"/>
  <c r="S442" i="2"/>
  <c r="R442" i="2"/>
  <c r="R347" i="2"/>
  <c r="S347" i="2"/>
  <c r="S345" i="2"/>
  <c r="R345" i="2"/>
  <c r="S224" i="2"/>
  <c r="R224" i="2"/>
  <c r="S111" i="2"/>
  <c r="R111" i="2"/>
  <c r="S415" i="2"/>
  <c r="R415" i="2"/>
  <c r="S284" i="2"/>
  <c r="R284" i="2"/>
  <c r="S454" i="2"/>
  <c r="R454" i="2"/>
  <c r="R363" i="2"/>
  <c r="S363" i="2"/>
  <c r="S353" i="2"/>
  <c r="R353" i="2"/>
  <c r="S232" i="2"/>
  <c r="R232" i="2"/>
  <c r="S89" i="2"/>
  <c r="R89" i="2"/>
  <c r="S252" i="2"/>
  <c r="R252" i="2"/>
  <c r="S182" i="2"/>
  <c r="R182" i="2"/>
  <c r="S127" i="2"/>
  <c r="R127" i="2"/>
  <c r="R85" i="2"/>
  <c r="S85" i="2"/>
  <c r="S35" i="2"/>
  <c r="R35" i="2"/>
  <c r="S234" i="2"/>
  <c r="R234" i="2"/>
  <c r="R245" i="2"/>
  <c r="S245" i="2"/>
  <c r="S103" i="2"/>
  <c r="R103" i="2"/>
  <c r="R49" i="2"/>
  <c r="S49" i="2"/>
  <c r="R77" i="2"/>
  <c r="S77" i="2"/>
  <c r="R41" i="2"/>
  <c r="S41" i="2"/>
  <c r="S450" i="2"/>
  <c r="R450" i="2"/>
  <c r="S423" i="2"/>
  <c r="R423" i="2"/>
  <c r="S321" i="2"/>
  <c r="R321" i="2"/>
  <c r="R299" i="2"/>
  <c r="S299" i="2"/>
  <c r="S228" i="2"/>
  <c r="R228" i="2"/>
  <c r="S174" i="2"/>
  <c r="R174" i="2"/>
  <c r="S226" i="2"/>
  <c r="R226" i="2"/>
  <c r="S93" i="2"/>
  <c r="R93" i="2"/>
  <c r="S47" i="2"/>
  <c r="R47" i="2"/>
  <c r="R81" i="2"/>
  <c r="S81" i="2"/>
  <c r="R37" i="2"/>
  <c r="S37" i="2"/>
  <c r="S162" i="2"/>
  <c r="R162" i="2"/>
  <c r="S260" i="2"/>
  <c r="R260" i="2"/>
  <c r="S276" i="2"/>
  <c r="R276" i="2"/>
  <c r="S308" i="2"/>
  <c r="R308" i="2"/>
  <c r="S250" i="2"/>
  <c r="R250" i="2"/>
  <c r="S312" i="2"/>
  <c r="R312" i="2"/>
  <c r="S328" i="2"/>
  <c r="R328" i="2"/>
  <c r="S344" i="2"/>
  <c r="R344" i="2"/>
  <c r="S360" i="2"/>
  <c r="R360" i="2"/>
  <c r="R375" i="2"/>
  <c r="S375" i="2"/>
  <c r="R403" i="2"/>
  <c r="S403" i="2"/>
  <c r="R451" i="2"/>
  <c r="S451" i="2"/>
  <c r="S110" i="2"/>
  <c r="R110" i="2"/>
  <c r="R157" i="2"/>
  <c r="S157" i="2"/>
  <c r="S185" i="2"/>
  <c r="R185" i="2"/>
  <c r="R402" i="2"/>
  <c r="S402" i="2"/>
  <c r="S118" i="2"/>
  <c r="R118" i="2"/>
  <c r="S78" i="2"/>
  <c r="R78" i="2"/>
  <c r="S265" i="2"/>
  <c r="R265" i="2"/>
  <c r="R433" i="2"/>
  <c r="S433" i="2"/>
  <c r="S187" i="2"/>
  <c r="R187" i="2"/>
  <c r="S158" i="2"/>
  <c r="R158" i="2"/>
  <c r="S76" i="2"/>
  <c r="R76" i="2"/>
  <c r="S473" i="2"/>
  <c r="R473" i="2"/>
  <c r="S203" i="2"/>
  <c r="R203" i="2"/>
  <c r="S183" i="2"/>
  <c r="R183" i="2"/>
  <c r="S289" i="2"/>
  <c r="R289" i="2"/>
  <c r="S282" i="2"/>
  <c r="R282" i="2"/>
  <c r="S389" i="2"/>
  <c r="R389" i="2"/>
  <c r="S74" i="2"/>
  <c r="R74" i="2"/>
  <c r="S322" i="2"/>
  <c r="R322" i="2"/>
  <c r="S432" i="2"/>
  <c r="R432" i="2"/>
  <c r="S62" i="2"/>
  <c r="R62" i="2"/>
  <c r="S177" i="2"/>
  <c r="R177" i="2"/>
  <c r="S213" i="2"/>
  <c r="R213" i="2"/>
  <c r="S397" i="2"/>
  <c r="R397" i="2"/>
  <c r="S349" i="2"/>
  <c r="R349" i="2"/>
  <c r="S427" i="2"/>
  <c r="R427" i="2"/>
  <c r="R283" i="2"/>
  <c r="S283" i="2"/>
  <c r="S43" i="2"/>
  <c r="R43" i="2"/>
  <c r="S300" i="2"/>
  <c r="R300" i="2"/>
  <c r="S434" i="2"/>
  <c r="R434" i="2"/>
  <c r="S421" i="2"/>
  <c r="R421" i="2"/>
  <c r="R327" i="2"/>
  <c r="S327" i="2"/>
  <c r="S333" i="2"/>
  <c r="R333" i="2"/>
  <c r="R315" i="2"/>
  <c r="S315" i="2"/>
  <c r="S240" i="2"/>
  <c r="R240" i="2"/>
  <c r="R436" i="2"/>
  <c r="S436" i="2"/>
  <c r="R343" i="2"/>
  <c r="S343" i="2"/>
  <c r="S341" i="2"/>
  <c r="R341" i="2"/>
  <c r="S218" i="2"/>
  <c r="R218" i="2"/>
  <c r="S107" i="2"/>
  <c r="R107" i="2"/>
  <c r="S244" i="2"/>
  <c r="R244" i="2"/>
  <c r="S115" i="2"/>
  <c r="R115" i="2"/>
  <c r="R45" i="2"/>
  <c r="S45" i="2"/>
  <c r="S79" i="2"/>
  <c r="R79" i="2"/>
  <c r="S23" i="2"/>
  <c r="R23" i="2"/>
  <c r="S190" i="2"/>
  <c r="R190" i="2"/>
  <c r="S214" i="2"/>
  <c r="R214" i="2"/>
  <c r="S155" i="2"/>
  <c r="R155" i="2"/>
  <c r="S39" i="2"/>
  <c r="R39" i="2"/>
  <c r="S71" i="2"/>
  <c r="R71" i="2"/>
  <c r="S19" i="2"/>
  <c r="R19" i="2"/>
  <c r="S470" i="2"/>
  <c r="R470" i="2"/>
  <c r="R355" i="2"/>
  <c r="S355" i="2"/>
  <c r="S286" i="2"/>
  <c r="R286" i="2"/>
  <c r="R275" i="2"/>
  <c r="S275" i="2"/>
  <c r="R279" i="2"/>
  <c r="S279" i="2"/>
  <c r="S246" i="2"/>
  <c r="R246" i="2"/>
  <c r="S198" i="2"/>
  <c r="R198" i="2"/>
  <c r="S139" i="2"/>
  <c r="R139" i="2"/>
  <c r="S38" i="2"/>
  <c r="R38" i="2"/>
  <c r="S75" i="2"/>
  <c r="R75" i="2"/>
  <c r="R17" i="2"/>
  <c r="S17" i="2"/>
  <c r="S166" i="2"/>
  <c r="R166" i="2"/>
  <c r="S264" i="2"/>
  <c r="R264" i="2"/>
  <c r="S280" i="2"/>
  <c r="R280" i="2"/>
  <c r="R311" i="2"/>
  <c r="S311" i="2"/>
  <c r="S254" i="2"/>
  <c r="R254" i="2"/>
  <c r="R320" i="2"/>
  <c r="S320" i="2"/>
  <c r="S332" i="2"/>
  <c r="R332" i="2"/>
  <c r="S348" i="2"/>
  <c r="R348" i="2"/>
  <c r="S364" i="2"/>
  <c r="R364" i="2"/>
  <c r="R379" i="2"/>
  <c r="S379" i="2"/>
  <c r="R407" i="2"/>
  <c r="S407" i="2"/>
  <c r="R467" i="2"/>
  <c r="S467" i="2"/>
  <c r="S70" i="2"/>
  <c r="R70" i="2"/>
  <c r="S154" i="2"/>
  <c r="R154" i="2"/>
  <c r="S293" i="2"/>
  <c r="R293" i="2"/>
  <c r="S409" i="2"/>
  <c r="R409" i="2"/>
  <c r="R443" i="2"/>
  <c r="S443" i="2"/>
  <c r="S173" i="2"/>
  <c r="R173" i="2"/>
  <c r="R465" i="2"/>
  <c r="S465" i="2"/>
  <c r="S405" i="2"/>
  <c r="R405" i="2"/>
  <c r="S120" i="2"/>
  <c r="R120" i="2"/>
  <c r="S207" i="2"/>
  <c r="R207" i="2"/>
  <c r="R406" i="2"/>
  <c r="S406" i="2"/>
  <c r="S270" i="2"/>
  <c r="R270" i="2"/>
  <c r="S68" i="2"/>
  <c r="R68" i="2"/>
  <c r="R192" i="2"/>
  <c r="S192" i="2"/>
  <c r="S112" i="2"/>
  <c r="R112" i="2"/>
  <c r="S30" i="2"/>
  <c r="R30" i="2"/>
  <c r="S298" i="2"/>
  <c r="R298" i="2"/>
  <c r="R163" i="2"/>
  <c r="S163" i="2"/>
  <c r="S126" i="2"/>
  <c r="R126" i="2"/>
  <c r="S86" i="2"/>
  <c r="R86" i="2"/>
  <c r="S175" i="2"/>
  <c r="R175" i="2"/>
  <c r="S277" i="2"/>
  <c r="R277" i="2"/>
  <c r="R445" i="2"/>
  <c r="S445" i="2"/>
  <c r="R459" i="2"/>
  <c r="S459" i="2"/>
  <c r="S326" i="2"/>
  <c r="R326" i="2"/>
  <c r="R149" i="2"/>
  <c r="S149" i="2"/>
  <c r="S142" i="2"/>
  <c r="R142" i="2"/>
  <c r="R457" i="2"/>
  <c r="S457" i="2"/>
  <c r="R386" i="2"/>
  <c r="S386" i="2"/>
  <c r="R398" i="2"/>
  <c r="S398" i="2"/>
  <c r="S55" i="2"/>
  <c r="R55" i="2"/>
  <c r="S369" i="2"/>
  <c r="R369" i="2"/>
  <c r="R263" i="2"/>
  <c r="S263" i="2"/>
  <c r="S34" i="2"/>
  <c r="R34" i="2"/>
  <c r="S48" i="2"/>
  <c r="R48" i="2"/>
  <c r="R105" i="2"/>
  <c r="S105" i="2"/>
  <c r="S350" i="2"/>
  <c r="R350" i="2"/>
  <c r="S380" i="2"/>
  <c r="R380" i="2"/>
  <c r="S255" i="2"/>
  <c r="R255" i="2"/>
  <c r="S392" i="2"/>
  <c r="R392" i="2"/>
  <c r="R169" i="2"/>
  <c r="S169" i="2"/>
  <c r="R216" i="2"/>
  <c r="S216" i="2"/>
  <c r="S362" i="2"/>
  <c r="R362" i="2"/>
  <c r="S122" i="2"/>
  <c r="R122" i="2"/>
  <c r="S251" i="2"/>
  <c r="R251" i="2"/>
  <c r="R422" i="2"/>
  <c r="S422" i="2"/>
  <c r="S152" i="2"/>
  <c r="R152" i="2"/>
  <c r="R184" i="2"/>
  <c r="S184" i="2"/>
  <c r="S330" i="2"/>
  <c r="R330" i="2"/>
  <c r="R371" i="2"/>
  <c r="S371" i="2"/>
  <c r="S28" i="2"/>
  <c r="R28" i="2"/>
  <c r="R171" i="2"/>
  <c r="S171" i="2"/>
  <c r="R36" i="2"/>
  <c r="S36" i="2"/>
  <c r="S138" i="2"/>
  <c r="R138" i="2"/>
  <c r="S381" i="2"/>
  <c r="R381" i="2"/>
  <c r="R455" i="2"/>
  <c r="S455" i="2"/>
  <c r="S104" i="2"/>
  <c r="R104" i="2"/>
  <c r="S150" i="2"/>
  <c r="R150" i="2"/>
  <c r="S82" i="2"/>
  <c r="R82" i="2"/>
  <c r="S191" i="2"/>
  <c r="R191" i="2"/>
  <c r="S44" i="2"/>
  <c r="R44" i="2"/>
  <c r="S266" i="2"/>
  <c r="R266" i="2"/>
  <c r="R394" i="2"/>
  <c r="S394" i="2"/>
  <c r="S290" i="2"/>
  <c r="R290" i="2"/>
  <c r="R441" i="2"/>
  <c r="S441" i="2"/>
  <c r="S281" i="2"/>
  <c r="R281" i="2"/>
  <c r="S100" i="2"/>
  <c r="R100" i="2"/>
  <c r="S474" i="2"/>
  <c r="R474" i="2"/>
  <c r="S329" i="2"/>
  <c r="R329" i="2"/>
  <c r="S446" i="2"/>
  <c r="R446" i="2"/>
  <c r="R351" i="2"/>
  <c r="S351" i="2"/>
  <c r="S357" i="2"/>
  <c r="R357" i="2"/>
  <c r="S256" i="2"/>
  <c r="R256" i="2"/>
  <c r="S472" i="2"/>
  <c r="R472" i="2"/>
  <c r="S31" i="2"/>
  <c r="R31" i="2"/>
  <c r="S438" i="2"/>
  <c r="R438" i="2"/>
  <c r="S425" i="2"/>
  <c r="R425" i="2"/>
  <c r="S317" i="2"/>
  <c r="R317" i="2"/>
  <c r="R291" i="2"/>
  <c r="S291" i="2"/>
  <c r="S210" i="2"/>
  <c r="R210" i="2"/>
  <c r="S67" i="2"/>
  <c r="R67" i="2"/>
  <c r="R319" i="2"/>
  <c r="S319" i="2"/>
  <c r="S462" i="2"/>
  <c r="R462" i="2"/>
  <c r="S456" i="2"/>
  <c r="R456" i="2"/>
  <c r="R387" i="2"/>
  <c r="S387" i="2"/>
  <c r="R303" i="2"/>
  <c r="S303" i="2"/>
  <c r="S206" i="2"/>
  <c r="R206" i="2"/>
  <c r="S83" i="2"/>
  <c r="R83" i="2"/>
  <c r="S222" i="2"/>
  <c r="R222" i="2"/>
  <c r="S135" i="2"/>
  <c r="R135" i="2"/>
  <c r="R33" i="2"/>
  <c r="S33" i="2"/>
  <c r="R69" i="2"/>
  <c r="S69" i="2"/>
  <c r="S230" i="2"/>
  <c r="R230" i="2"/>
  <c r="S238" i="2"/>
  <c r="R238" i="2"/>
  <c r="S147" i="2"/>
  <c r="R147" i="2"/>
  <c r="S91" i="2"/>
  <c r="R91" i="2"/>
  <c r="R29" i="2"/>
  <c r="S29" i="2"/>
  <c r="R61" i="2"/>
  <c r="S61" i="2"/>
  <c r="S460" i="2"/>
  <c r="R460" i="2"/>
  <c r="S440" i="2"/>
  <c r="R440" i="2"/>
  <c r="R339" i="2"/>
  <c r="S339" i="2"/>
  <c r="R307" i="2"/>
  <c r="S307" i="2"/>
  <c r="S248" i="2"/>
  <c r="R248" i="2"/>
  <c r="R304" i="2"/>
  <c r="S304" i="2"/>
  <c r="S178" i="2"/>
  <c r="R178" i="2"/>
  <c r="S131" i="2"/>
  <c r="R131" i="2"/>
  <c r="S143" i="2"/>
  <c r="R143" i="2"/>
  <c r="S27" i="2"/>
  <c r="R27" i="2"/>
  <c r="R65" i="2"/>
  <c r="S65" i="2"/>
  <c r="R90" i="2"/>
  <c r="S90" i="2"/>
  <c r="R257" i="2"/>
  <c r="S257" i="2"/>
  <c r="S268" i="2"/>
  <c r="R268" i="2"/>
  <c r="S292" i="2"/>
  <c r="R292" i="2"/>
  <c r="R316" i="2"/>
  <c r="S316" i="2"/>
  <c r="S258" i="2"/>
  <c r="R258" i="2"/>
  <c r="R372" i="2"/>
  <c r="S372" i="2"/>
  <c r="S336" i="2"/>
  <c r="R336" i="2"/>
  <c r="S352" i="2"/>
  <c r="R352" i="2"/>
  <c r="S368" i="2"/>
  <c r="R368" i="2"/>
  <c r="R391" i="2"/>
  <c r="S391" i="2"/>
  <c r="S411" i="2"/>
  <c r="R411" i="2"/>
  <c r="R447" i="2"/>
  <c r="S447" i="2"/>
  <c r="S342" i="2"/>
  <c r="R342" i="2"/>
  <c r="S58" i="2"/>
  <c r="R58" i="2"/>
  <c r="S221" i="2"/>
  <c r="R221" i="2"/>
  <c r="S243" i="2"/>
  <c r="R243" i="2"/>
  <c r="S358" i="2"/>
  <c r="R358" i="2"/>
  <c r="S168" i="2"/>
  <c r="R168" i="2"/>
  <c r="S193" i="2"/>
  <c r="R193" i="2"/>
  <c r="R461" i="2"/>
  <c r="S461" i="2"/>
  <c r="S52" i="2"/>
  <c r="R52" i="2"/>
  <c r="R471" i="2"/>
  <c r="S471" i="2"/>
  <c r="S96" i="2"/>
  <c r="R96" i="2"/>
  <c r="S274" i="2"/>
  <c r="R274" i="2"/>
  <c r="S313" i="2"/>
  <c r="R313" i="2"/>
  <c r="S132" i="2"/>
  <c r="R132" i="2"/>
  <c r="R426" i="2"/>
  <c r="S426" i="2"/>
  <c r="S136" i="2"/>
  <c r="R136" i="2"/>
  <c r="S247" i="2"/>
  <c r="R247" i="2"/>
  <c r="S420" i="2"/>
  <c r="R420" i="2"/>
  <c r="R469" i="2"/>
  <c r="S469" i="2"/>
  <c r="R20" i="2"/>
  <c r="S20" i="2"/>
  <c r="R439" i="2"/>
  <c r="S439" i="2"/>
  <c r="S134" i="2"/>
  <c r="R134" i="2"/>
  <c r="S201" i="2"/>
  <c r="R201" i="2"/>
  <c r="S376" i="2"/>
  <c r="R376" i="2"/>
  <c r="S273" i="2"/>
  <c r="R273" i="2"/>
  <c r="S102" i="2"/>
  <c r="R102" i="2"/>
  <c r="R449" i="2"/>
  <c r="S449" i="2"/>
  <c r="S50" i="2"/>
  <c r="R50" i="2"/>
  <c r="S209" i="2"/>
  <c r="R209" i="2"/>
  <c r="S205" i="2"/>
  <c r="R205" i="2"/>
  <c r="S51" i="2"/>
  <c r="R51" i="2"/>
  <c r="S269" i="2"/>
  <c r="R269" i="2"/>
  <c r="S388" i="2"/>
  <c r="R388" i="2"/>
  <c r="R165" i="2"/>
  <c r="S165" i="2"/>
  <c r="R176" i="2"/>
  <c r="S176" i="2"/>
  <c r="R208" i="2"/>
  <c r="S208" i="2"/>
  <c r="S114" i="2"/>
  <c r="R114" i="2"/>
  <c r="S116" i="2"/>
  <c r="R116" i="2"/>
  <c r="S106" i="2"/>
  <c r="R106" i="2"/>
  <c r="S346" i="2"/>
  <c r="R346" i="2"/>
  <c r="S108" i="2"/>
  <c r="R108" i="2"/>
  <c r="S297" i="2"/>
  <c r="R297" i="2"/>
  <c r="S64" i="2"/>
  <c r="R64" i="2"/>
  <c r="R204" i="2"/>
  <c r="S204" i="2"/>
  <c r="R121" i="2"/>
  <c r="S121" i="2"/>
  <c r="S130" i="2"/>
  <c r="R130" i="2"/>
  <c r="S148" i="2"/>
  <c r="R148" i="2"/>
  <c r="R414" i="2"/>
  <c r="S414" i="2"/>
  <c r="S354" i="2"/>
  <c r="R354" i="2"/>
  <c r="S84" i="2"/>
  <c r="R84" i="2"/>
  <c r="S219" i="2"/>
  <c r="R219" i="2"/>
  <c r="R212" i="2"/>
  <c r="S212" i="2"/>
  <c r="S199" i="2"/>
  <c r="R199" i="2"/>
  <c r="S128" i="2"/>
  <c r="R128" i="2"/>
  <c r="S164" i="2"/>
  <c r="R164" i="2"/>
  <c r="R437" i="2"/>
  <c r="S437" i="2"/>
  <c r="S310" i="2"/>
  <c r="R310" i="2"/>
  <c r="S156" i="2"/>
  <c r="R156" i="2"/>
  <c r="S285" i="2"/>
  <c r="R285" i="2"/>
  <c r="S404" i="2"/>
  <c r="R404" i="2"/>
  <c r="S18" i="2"/>
  <c r="R18" i="2"/>
  <c r="R125" i="2"/>
  <c r="S125" i="2"/>
  <c r="S56" i="2"/>
  <c r="R56" i="2"/>
  <c r="R145" i="2"/>
  <c r="S145" i="2"/>
  <c r="S231" i="2"/>
  <c r="R231" i="2"/>
  <c r="S172" i="2"/>
  <c r="R172" i="2"/>
  <c r="S401" i="2"/>
  <c r="R401" i="2"/>
  <c r="R220" i="2"/>
  <c r="S220" i="2"/>
  <c r="R453" i="2"/>
  <c r="S453" i="2"/>
  <c r="R188" i="2"/>
  <c r="S188" i="2"/>
  <c r="R382" i="2"/>
  <c r="S382" i="2"/>
  <c r="S305" i="2"/>
  <c r="R305" i="2"/>
  <c r="R101" i="2"/>
  <c r="S101" i="2"/>
  <c r="S301" i="2"/>
  <c r="R301" i="2"/>
  <c r="S408" i="2"/>
  <c r="R408" i="2"/>
  <c r="S46" i="2"/>
  <c r="R46" i="2"/>
  <c r="R133" i="2"/>
  <c r="S133" i="2"/>
  <c r="S72" i="2"/>
  <c r="R72" i="2"/>
  <c r="R153" i="2"/>
  <c r="S153" i="2"/>
  <c r="S235" i="2"/>
  <c r="R235" i="2"/>
  <c r="R237" i="2"/>
  <c r="S237" i="2"/>
  <c r="S412" i="2"/>
  <c r="R412" i="2"/>
  <c r="R233" i="2"/>
  <c r="S233" i="2"/>
  <c r="S217" i="2"/>
  <c r="R217" i="2"/>
  <c r="R200" i="2"/>
  <c r="S200" i="2"/>
  <c r="S393" i="2"/>
  <c r="R393" i="2"/>
  <c r="S385" i="2"/>
  <c r="R385" i="2"/>
  <c r="S124" i="2"/>
  <c r="R124" i="2"/>
  <c r="S262" i="2"/>
  <c r="R262" i="2"/>
  <c r="S396" i="2"/>
  <c r="R396" i="2"/>
  <c r="S80" i="2"/>
  <c r="R80" i="2"/>
  <c r="R97" i="2"/>
  <c r="S97" i="2"/>
  <c r="S24" i="2"/>
  <c r="R24" i="2"/>
  <c r="R129" i="2"/>
  <c r="S129" i="2"/>
  <c r="S223" i="2"/>
  <c r="R223" i="2"/>
  <c r="S179" i="2"/>
  <c r="R179" i="2"/>
  <c r="S370" i="2"/>
  <c r="R370" i="2"/>
  <c r="R159" i="2"/>
  <c r="S159" i="2"/>
  <c r="S416" i="2"/>
  <c r="R416" i="2"/>
  <c r="S146" i="2"/>
  <c r="R146" i="2"/>
  <c r="S366" i="2"/>
  <c r="R366" i="2"/>
  <c r="S306" i="2"/>
  <c r="R306" i="2"/>
  <c r="S26" i="2"/>
  <c r="R26" i="2"/>
  <c r="R180" i="2"/>
  <c r="S180" i="2"/>
  <c r="S384" i="2"/>
  <c r="R384" i="2"/>
  <c r="R32" i="2"/>
  <c r="S32" i="2"/>
  <c r="R161" i="2"/>
  <c r="S161" i="2"/>
  <c r="S215" i="2"/>
  <c r="R215" i="2"/>
  <c r="S144" i="2"/>
  <c r="R144" i="2"/>
  <c r="R196" i="2"/>
  <c r="S196" i="2"/>
  <c r="S98" i="2"/>
  <c r="R98" i="2"/>
  <c r="S338" i="2"/>
  <c r="R338" i="2"/>
  <c r="S88" i="2"/>
  <c r="R88" i="2"/>
  <c r="S413" i="2"/>
  <c r="R413" i="2"/>
  <c r="S60" i="2"/>
  <c r="R60" i="2"/>
  <c r="S334" i="2"/>
  <c r="R334" i="2"/>
  <c r="R225" i="2"/>
  <c r="S225" i="2"/>
  <c r="S429" i="2"/>
  <c r="R429" i="2"/>
  <c r="R267" i="2"/>
  <c r="S267" i="2"/>
  <c r="R468" i="2"/>
  <c r="S468" i="2"/>
  <c r="R331" i="2"/>
  <c r="S331" i="2"/>
  <c r="S337" i="2"/>
  <c r="R337" i="2"/>
  <c r="S22" i="2"/>
  <c r="R22" i="2"/>
  <c r="R335" i="2"/>
  <c r="S335" i="2"/>
  <c r="S466" i="2"/>
  <c r="R466" i="2"/>
  <c r="S458" i="2"/>
  <c r="R458" i="2"/>
  <c r="R367" i="2"/>
  <c r="S367" i="2"/>
  <c r="S365" i="2"/>
  <c r="R365" i="2"/>
  <c r="R259" i="2"/>
  <c r="S259" i="2"/>
  <c r="R249" i="2"/>
  <c r="S249" i="2"/>
  <c r="R452" i="2"/>
  <c r="S452" i="2"/>
  <c r="S361" i="2"/>
  <c r="R361" i="2"/>
  <c r="S464" i="2"/>
  <c r="R464" i="2"/>
  <c r="S431" i="2"/>
  <c r="R431" i="2"/>
  <c r="R383" i="2"/>
  <c r="S383" i="2"/>
  <c r="R287" i="2"/>
  <c r="S287" i="2"/>
  <c r="S99" i="2"/>
  <c r="R99" i="2"/>
  <c r="S21" i="2"/>
  <c r="R21" i="2"/>
  <c r="R241" i="2"/>
  <c r="S241" i="2"/>
  <c r="S123" i="2"/>
  <c r="R123" i="2"/>
  <c r="R25" i="2"/>
  <c r="S25" i="2"/>
  <c r="S63" i="2"/>
  <c r="R63" i="2"/>
  <c r="S202" i="2"/>
  <c r="R202" i="2"/>
  <c r="S194" i="2"/>
  <c r="R194" i="2"/>
  <c r="S170" i="2"/>
  <c r="R170" i="2"/>
  <c r="R16" i="2"/>
  <c r="S16" i="2"/>
  <c r="S87" i="2"/>
  <c r="R87" i="2"/>
  <c r="R53" i="2"/>
  <c r="S53" i="2"/>
  <c r="S444" i="2"/>
  <c r="R444" i="2"/>
  <c r="S419" i="2"/>
  <c r="R419" i="2"/>
  <c r="R323" i="2"/>
  <c r="S323" i="2"/>
  <c r="R271" i="2"/>
  <c r="S271" i="2"/>
  <c r="S236" i="2"/>
  <c r="R236" i="2"/>
  <c r="S186" i="2"/>
  <c r="R186" i="2"/>
  <c r="R242" i="2"/>
  <c r="S242" i="2"/>
  <c r="S151" i="2"/>
  <c r="R151" i="2"/>
  <c r="R57" i="2"/>
  <c r="S57" i="2"/>
  <c r="S95" i="2"/>
  <c r="R95" i="2"/>
  <c r="S59" i="2"/>
  <c r="R59" i="2"/>
  <c r="R94" i="2"/>
  <c r="S94" i="2"/>
  <c r="R253" i="2"/>
  <c r="S253" i="2"/>
  <c r="S272" i="2"/>
  <c r="R272" i="2"/>
  <c r="R295" i="2"/>
  <c r="S295" i="2"/>
  <c r="R324" i="2"/>
  <c r="S324" i="2"/>
  <c r="S296" i="2"/>
  <c r="R296" i="2"/>
  <c r="R395" i="2"/>
  <c r="S395" i="2"/>
  <c r="S340" i="2"/>
  <c r="R340" i="2"/>
  <c r="S356" i="2"/>
  <c r="R356" i="2"/>
  <c r="S373" i="2"/>
  <c r="R373" i="2"/>
  <c r="R399" i="2"/>
  <c r="S399" i="2"/>
  <c r="R435" i="2"/>
  <c r="S435" i="2"/>
  <c r="R463" i="2"/>
  <c r="S463" i="2"/>
  <c r="I15" i="2"/>
  <c r="I5" i="2"/>
  <c r="L473" i="2" l="1"/>
  <c r="L474" i="2"/>
  <c r="M474" i="2"/>
  <c r="L15" i="2"/>
  <c r="L16" i="2"/>
  <c r="N472" i="2"/>
  <c r="M470" i="2"/>
  <c r="L468" i="2"/>
  <c r="L466" i="2"/>
  <c r="N456" i="2"/>
  <c r="M454" i="2"/>
  <c r="L452" i="2"/>
  <c r="L450" i="2"/>
  <c r="N440" i="2"/>
  <c r="M438" i="2"/>
  <c r="L436" i="2"/>
  <c r="L434" i="2"/>
  <c r="N431" i="2"/>
  <c r="N427" i="2"/>
  <c r="N423" i="2"/>
  <c r="N419" i="2"/>
  <c r="N415" i="2"/>
  <c r="N411" i="2"/>
  <c r="L472" i="2"/>
  <c r="L470" i="2"/>
  <c r="L463" i="2"/>
  <c r="N460" i="2"/>
  <c r="M458" i="2"/>
  <c r="L456" i="2"/>
  <c r="L454" i="2"/>
  <c r="N453" i="2"/>
  <c r="L447" i="2"/>
  <c r="N444" i="2"/>
  <c r="M442" i="2"/>
  <c r="L440" i="2"/>
  <c r="L438" i="2"/>
  <c r="L431" i="2"/>
  <c r="L427" i="2"/>
  <c r="L423" i="2"/>
  <c r="L419" i="2"/>
  <c r="L415" i="2"/>
  <c r="L467" i="2"/>
  <c r="N464" i="2"/>
  <c r="M462" i="2"/>
  <c r="L460" i="2"/>
  <c r="L458" i="2"/>
  <c r="L451" i="2"/>
  <c r="N448" i="2"/>
  <c r="M446" i="2"/>
  <c r="L444" i="2"/>
  <c r="L442" i="2"/>
  <c r="L435" i="2"/>
  <c r="M424" i="2"/>
  <c r="M420" i="2"/>
  <c r="M416" i="2"/>
  <c r="M473" i="2"/>
  <c r="L471" i="2"/>
  <c r="N468" i="2"/>
  <c r="M466" i="2"/>
  <c r="L464" i="2"/>
  <c r="L462" i="2"/>
  <c r="N461" i="2"/>
  <c r="L455" i="2"/>
  <c r="N452" i="2"/>
  <c r="M450" i="2"/>
  <c r="L448" i="2"/>
  <c r="L446" i="2"/>
  <c r="N445" i="2"/>
  <c r="L439" i="2"/>
  <c r="N436" i="2"/>
  <c r="M434" i="2"/>
  <c r="M425" i="2"/>
  <c r="L411" i="2"/>
  <c r="L407" i="2"/>
  <c r="L403" i="2"/>
  <c r="L399" i="2"/>
  <c r="L395" i="2"/>
  <c r="L391" i="2"/>
  <c r="L387" i="2"/>
  <c r="L383" i="2"/>
  <c r="L379" i="2"/>
  <c r="L375" i="2"/>
  <c r="M429" i="2"/>
  <c r="M426" i="2"/>
  <c r="M408" i="2"/>
  <c r="M404" i="2"/>
  <c r="M400" i="2"/>
  <c r="M396" i="2"/>
  <c r="M430" i="2"/>
  <c r="M417" i="2"/>
  <c r="M414" i="2"/>
  <c r="M421" i="2"/>
  <c r="N407" i="2"/>
  <c r="N403" i="2"/>
  <c r="N399" i="2"/>
  <c r="N395" i="2"/>
  <c r="N391" i="2"/>
  <c r="N387" i="2"/>
  <c r="N383" i="2"/>
  <c r="N379" i="2"/>
  <c r="N375" i="2"/>
  <c r="M384" i="2"/>
  <c r="N381" i="2"/>
  <c r="N377" i="2"/>
  <c r="N373" i="2"/>
  <c r="L368" i="2"/>
  <c r="L364" i="2"/>
  <c r="L360" i="2"/>
  <c r="L356" i="2"/>
  <c r="L352" i="2"/>
  <c r="L348" i="2"/>
  <c r="L344" i="2"/>
  <c r="L340" i="2"/>
  <c r="L336" i="2"/>
  <c r="L332" i="2"/>
  <c r="L328" i="2"/>
  <c r="L324" i="2"/>
  <c r="L320" i="2"/>
  <c r="L316" i="2"/>
  <c r="L312" i="2"/>
  <c r="L308" i="2"/>
  <c r="L304" i="2"/>
  <c r="L300" i="2"/>
  <c r="L296" i="2"/>
  <c r="L292" i="2"/>
  <c r="L288" i="2"/>
  <c r="L284" i="2"/>
  <c r="M388" i="2"/>
  <c r="N385" i="2"/>
  <c r="M381" i="2"/>
  <c r="M380" i="2"/>
  <c r="M377" i="2"/>
  <c r="M376" i="2"/>
  <c r="L372" i="2"/>
  <c r="N369" i="2"/>
  <c r="L367" i="2"/>
  <c r="N365" i="2"/>
  <c r="L363" i="2"/>
  <c r="N361" i="2"/>
  <c r="L359" i="2"/>
  <c r="N357" i="2"/>
  <c r="L355" i="2"/>
  <c r="N353" i="2"/>
  <c r="L351" i="2"/>
  <c r="N349" i="2"/>
  <c r="L347" i="2"/>
  <c r="N345" i="2"/>
  <c r="L343" i="2"/>
  <c r="N341" i="2"/>
  <c r="L339" i="2"/>
  <c r="N337" i="2"/>
  <c r="L335" i="2"/>
  <c r="N333" i="2"/>
  <c r="L331" i="2"/>
  <c r="N329" i="2"/>
  <c r="L327" i="2"/>
  <c r="M392" i="2"/>
  <c r="N389" i="2"/>
  <c r="N368" i="2"/>
  <c r="N364" i="2"/>
  <c r="N360" i="2"/>
  <c r="N356" i="2"/>
  <c r="N352" i="2"/>
  <c r="N348" i="2"/>
  <c r="N344" i="2"/>
  <c r="N340" i="2"/>
  <c r="N336" i="2"/>
  <c r="N332" i="2"/>
  <c r="N328" i="2"/>
  <c r="N324" i="2"/>
  <c r="N320" i="2"/>
  <c r="N316" i="2"/>
  <c r="L319" i="2"/>
  <c r="L303" i="2"/>
  <c r="N300" i="2"/>
  <c r="L287" i="2"/>
  <c r="N284" i="2"/>
  <c r="N321" i="2"/>
  <c r="N312" i="2"/>
  <c r="N305" i="2"/>
  <c r="M302" i="2"/>
  <c r="L299" i="2"/>
  <c r="N296" i="2"/>
  <c r="N289" i="2"/>
  <c r="M286" i="2"/>
  <c r="L283" i="2"/>
  <c r="N280" i="2"/>
  <c r="L279" i="2"/>
  <c r="N276" i="2"/>
  <c r="L275" i="2"/>
  <c r="N272" i="2"/>
  <c r="L271" i="2"/>
  <c r="N268" i="2"/>
  <c r="L267" i="2"/>
  <c r="N264" i="2"/>
  <c r="L263" i="2"/>
  <c r="N260" i="2"/>
  <c r="L259" i="2"/>
  <c r="L258" i="2"/>
  <c r="L254" i="2"/>
  <c r="L250" i="2"/>
  <c r="L246" i="2"/>
  <c r="L242" i="2"/>
  <c r="L323" i="2"/>
  <c r="L315" i="2"/>
  <c r="M314" i="2"/>
  <c r="L311" i="2"/>
  <c r="N308" i="2"/>
  <c r="M305" i="2"/>
  <c r="L302" i="2"/>
  <c r="N301" i="2"/>
  <c r="M298" i="2"/>
  <c r="L295" i="2"/>
  <c r="N292" i="2"/>
  <c r="M289" i="2"/>
  <c r="L286" i="2"/>
  <c r="N285" i="2"/>
  <c r="L280" i="2"/>
  <c r="L276" i="2"/>
  <c r="L272" i="2"/>
  <c r="L268" i="2"/>
  <c r="L264" i="2"/>
  <c r="L260" i="2"/>
  <c r="L257" i="2"/>
  <c r="L253" i="2"/>
  <c r="L249" i="2"/>
  <c r="N325" i="2"/>
  <c r="M318" i="2"/>
  <c r="N317" i="2"/>
  <c r="L314" i="2"/>
  <c r="N313" i="2"/>
  <c r="M310" i="2"/>
  <c r="L307" i="2"/>
  <c r="N304" i="2"/>
  <c r="M301" i="2"/>
  <c r="L298" i="2"/>
  <c r="N297" i="2"/>
  <c r="M294" i="2"/>
  <c r="L291" i="2"/>
  <c r="N288" i="2"/>
  <c r="M285" i="2"/>
  <c r="M281" i="2"/>
  <c r="M277" i="2"/>
  <c r="M273" i="2"/>
  <c r="M269" i="2"/>
  <c r="M265" i="2"/>
  <c r="M261" i="2"/>
  <c r="N254" i="2"/>
  <c r="L252" i="2"/>
  <c r="N247" i="2"/>
  <c r="M244" i="2"/>
  <c r="M240" i="2"/>
  <c r="M236" i="2"/>
  <c r="M232" i="2"/>
  <c r="M228" i="2"/>
  <c r="M224" i="2"/>
  <c r="L222" i="2"/>
  <c r="N220" i="2"/>
  <c r="L218" i="2"/>
  <c r="N216" i="2"/>
  <c r="L214" i="2"/>
  <c r="N212" i="2"/>
  <c r="L210" i="2"/>
  <c r="N208" i="2"/>
  <c r="L206" i="2"/>
  <c r="N204" i="2"/>
  <c r="L202" i="2"/>
  <c r="N200" i="2"/>
  <c r="L198" i="2"/>
  <c r="N196" i="2"/>
  <c r="L194" i="2"/>
  <c r="N192" i="2"/>
  <c r="L190" i="2"/>
  <c r="N188" i="2"/>
  <c r="L186" i="2"/>
  <c r="N184" i="2"/>
  <c r="L182" i="2"/>
  <c r="N180" i="2"/>
  <c r="L178" i="2"/>
  <c r="N176" i="2"/>
  <c r="N258" i="2"/>
  <c r="L256" i="2"/>
  <c r="M247" i="2"/>
  <c r="L244" i="2"/>
  <c r="N243" i="2"/>
  <c r="L241" i="2"/>
  <c r="L240" i="2"/>
  <c r="N238" i="2"/>
  <c r="L236" i="2"/>
  <c r="N234" i="2"/>
  <c r="L232" i="2"/>
  <c r="N230" i="2"/>
  <c r="L228" i="2"/>
  <c r="N226" i="2"/>
  <c r="L224" i="2"/>
  <c r="N246" i="2"/>
  <c r="M243" i="2"/>
  <c r="L238" i="2"/>
  <c r="L234" i="2"/>
  <c r="L230" i="2"/>
  <c r="L226" i="2"/>
  <c r="N222" i="2"/>
  <c r="N218" i="2"/>
  <c r="L216" i="2"/>
  <c r="N214" i="2"/>
  <c r="L212" i="2"/>
  <c r="N210" i="2"/>
  <c r="L208" i="2"/>
  <c r="N206" i="2"/>
  <c r="N202" i="2"/>
  <c r="N198" i="2"/>
  <c r="L196" i="2"/>
  <c r="N194" i="2"/>
  <c r="N190" i="2"/>
  <c r="N186" i="2"/>
  <c r="N182" i="2"/>
  <c r="N178" i="2"/>
  <c r="N174" i="2"/>
  <c r="N250" i="2"/>
  <c r="L245" i="2"/>
  <c r="N242" i="2"/>
  <c r="M171" i="2"/>
  <c r="M167" i="2"/>
  <c r="M163" i="2"/>
  <c r="M159" i="2"/>
  <c r="N157" i="2"/>
  <c r="L155" i="2"/>
  <c r="N153" i="2"/>
  <c r="L151" i="2"/>
  <c r="L147" i="2"/>
  <c r="L143" i="2"/>
  <c r="L139" i="2"/>
  <c r="L135" i="2"/>
  <c r="L131" i="2"/>
  <c r="N129" i="2"/>
  <c r="L127" i="2"/>
  <c r="N125" i="2"/>
  <c r="L123" i="2"/>
  <c r="N121" i="2"/>
  <c r="L119" i="2"/>
  <c r="N117" i="2"/>
  <c r="L115" i="2"/>
  <c r="N113" i="2"/>
  <c r="L111" i="2"/>
  <c r="N109" i="2"/>
  <c r="L107" i="2"/>
  <c r="N105" i="2"/>
  <c r="L103" i="2"/>
  <c r="N101" i="2"/>
  <c r="L99" i="2"/>
  <c r="N97" i="2"/>
  <c r="N156" i="2"/>
  <c r="N152" i="2"/>
  <c r="N148" i="2"/>
  <c r="N144" i="2"/>
  <c r="N140" i="2"/>
  <c r="N136" i="2"/>
  <c r="N132" i="2"/>
  <c r="N128" i="2"/>
  <c r="N124" i="2"/>
  <c r="M173" i="2"/>
  <c r="N172" i="2"/>
  <c r="N170" i="2"/>
  <c r="N166" i="2"/>
  <c r="N162" i="2"/>
  <c r="N155" i="2"/>
  <c r="N151" i="2"/>
  <c r="N147" i="2"/>
  <c r="N143" i="2"/>
  <c r="N139" i="2"/>
  <c r="N135" i="2"/>
  <c r="N131" i="2"/>
  <c r="N127" i="2"/>
  <c r="N123" i="2"/>
  <c r="N119" i="2"/>
  <c r="N115" i="2"/>
  <c r="N111" i="2"/>
  <c r="N107" i="2"/>
  <c r="N103" i="2"/>
  <c r="N99" i="2"/>
  <c r="N95" i="2"/>
  <c r="L174" i="2"/>
  <c r="L170" i="2"/>
  <c r="L166" i="2"/>
  <c r="L162" i="2"/>
  <c r="M93" i="2"/>
  <c r="M89" i="2"/>
  <c r="L87" i="2"/>
  <c r="N85" i="2"/>
  <c r="L83" i="2"/>
  <c r="N81" i="2"/>
  <c r="L79" i="2"/>
  <c r="N77" i="2"/>
  <c r="L75" i="2"/>
  <c r="N73" i="2"/>
  <c r="L71" i="2"/>
  <c r="N69" i="2"/>
  <c r="L67" i="2"/>
  <c r="N65" i="2"/>
  <c r="L63" i="2"/>
  <c r="N61" i="2"/>
  <c r="L59" i="2"/>
  <c r="N57" i="2"/>
  <c r="L55" i="2"/>
  <c r="N53" i="2"/>
  <c r="L51" i="2"/>
  <c r="N49" i="2"/>
  <c r="L47" i="2"/>
  <c r="N45" i="2"/>
  <c r="L43" i="2"/>
  <c r="N41" i="2"/>
  <c r="L39" i="2"/>
  <c r="N37" i="2"/>
  <c r="N29" i="2"/>
  <c r="N25" i="2"/>
  <c r="L23" i="2"/>
  <c r="L19" i="2"/>
  <c r="M24" i="2"/>
  <c r="L93" i="2"/>
  <c r="N91" i="2"/>
  <c r="L89" i="2"/>
  <c r="L21" i="2"/>
  <c r="N19" i="2"/>
  <c r="L17" i="2"/>
  <c r="L95" i="2"/>
  <c r="L91" i="2"/>
  <c r="N87" i="2"/>
  <c r="L85" i="2"/>
  <c r="N83" i="2"/>
  <c r="L81" i="2"/>
  <c r="N79" i="2"/>
  <c r="L77" i="2"/>
  <c r="N75" i="2"/>
  <c r="L73" i="2"/>
  <c r="N71" i="2"/>
  <c r="L69" i="2"/>
  <c r="N67" i="2"/>
  <c r="L65" i="2"/>
  <c r="N63" i="2"/>
  <c r="L61" i="2"/>
  <c r="N59" i="2"/>
  <c r="L57" i="2"/>
  <c r="N55" i="2"/>
  <c r="L53" i="2"/>
  <c r="N51" i="2"/>
  <c r="L49" i="2"/>
  <c r="N47" i="2"/>
  <c r="L45" i="2"/>
  <c r="N43" i="2"/>
  <c r="L41" i="2"/>
  <c r="N39" i="2"/>
  <c r="L37" i="2"/>
  <c r="N35" i="2"/>
  <c r="L33" i="2"/>
  <c r="N31" i="2"/>
  <c r="L29" i="2"/>
  <c r="N27" i="2"/>
  <c r="L25" i="2"/>
  <c r="N23" i="2"/>
  <c r="M38" i="2"/>
  <c r="L35" i="2"/>
  <c r="N33" i="2"/>
  <c r="L31" i="2"/>
  <c r="L27" i="2"/>
  <c r="N21" i="2"/>
  <c r="M26" i="2"/>
  <c r="M50" i="2"/>
  <c r="M70" i="2"/>
  <c r="M86" i="2"/>
  <c r="M23" i="2"/>
  <c r="M31" i="2"/>
  <c r="M39" i="2"/>
  <c r="M47" i="2"/>
  <c r="M55" i="2"/>
  <c r="M63" i="2"/>
  <c r="M71" i="2"/>
  <c r="M79" i="2"/>
  <c r="M87" i="2"/>
  <c r="N28" i="2"/>
  <c r="N44" i="2"/>
  <c r="N60" i="2"/>
  <c r="N76" i="2"/>
  <c r="L90" i="2"/>
  <c r="M16" i="2"/>
  <c r="M22" i="2"/>
  <c r="N26" i="2"/>
  <c r="L32" i="2"/>
  <c r="N42" i="2"/>
  <c r="L48" i="2"/>
  <c r="N58" i="2"/>
  <c r="L64" i="2"/>
  <c r="N74" i="2"/>
  <c r="L80" i="2"/>
  <c r="M106" i="2"/>
  <c r="M115" i="2"/>
  <c r="M129" i="2"/>
  <c r="M156" i="2"/>
  <c r="M32" i="2"/>
  <c r="M48" i="2"/>
  <c r="M64" i="2"/>
  <c r="M80" i="2"/>
  <c r="N88" i="2"/>
  <c r="M102" i="2"/>
  <c r="M111" i="2"/>
  <c r="M125" i="2"/>
  <c r="M152" i="2"/>
  <c r="L18" i="2"/>
  <c r="L46" i="2"/>
  <c r="L54" i="2"/>
  <c r="L62" i="2"/>
  <c r="L70" i="2"/>
  <c r="L78" i="2"/>
  <c r="L86" i="2"/>
  <c r="N100" i="2"/>
  <c r="M114" i="2"/>
  <c r="M123" i="2"/>
  <c r="N137" i="2"/>
  <c r="L169" i="2"/>
  <c r="N94" i="2"/>
  <c r="M103" i="2"/>
  <c r="M117" i="2"/>
  <c r="M144" i="2"/>
  <c r="M158" i="2"/>
  <c r="N98" i="2"/>
  <c r="L104" i="2"/>
  <c r="N114" i="2"/>
  <c r="L120" i="2"/>
  <c r="N130" i="2"/>
  <c r="L136" i="2"/>
  <c r="N146" i="2"/>
  <c r="L152" i="2"/>
  <c r="N159" i="2"/>
  <c r="N163" i="2"/>
  <c r="N167" i="2"/>
  <c r="N171" i="2"/>
  <c r="M184" i="2"/>
  <c r="N211" i="2"/>
  <c r="L97" i="2"/>
  <c r="M108" i="2"/>
  <c r="L113" i="2"/>
  <c r="L125" i="2"/>
  <c r="L133" i="2"/>
  <c r="L141" i="2"/>
  <c r="L149" i="2"/>
  <c r="L157" i="2"/>
  <c r="M162" i="2"/>
  <c r="L168" i="2"/>
  <c r="N191" i="2"/>
  <c r="M205" i="2"/>
  <c r="M214" i="2"/>
  <c r="N228" i="2"/>
  <c r="L134" i="2"/>
  <c r="M145" i="2"/>
  <c r="L150" i="2"/>
  <c r="L158" i="2"/>
  <c r="M161" i="2"/>
  <c r="M168" i="2"/>
  <c r="N187" i="2"/>
  <c r="M201" i="2"/>
  <c r="M210" i="2"/>
  <c r="N224" i="2"/>
  <c r="N240" i="2"/>
  <c r="L173" i="2"/>
  <c r="N199" i="2"/>
  <c r="M213" i="2"/>
  <c r="M222" i="2"/>
  <c r="N236" i="2"/>
  <c r="N177" i="2"/>
  <c r="L183" i="2"/>
  <c r="N193" i="2"/>
  <c r="L199" i="2"/>
  <c r="N209" i="2"/>
  <c r="L215" i="2"/>
  <c r="L247" i="2"/>
  <c r="M258" i="2"/>
  <c r="L176" i="2"/>
  <c r="M187" i="2"/>
  <c r="L192" i="2"/>
  <c r="M199" i="2"/>
  <c r="L204" i="2"/>
  <c r="M211" i="2"/>
  <c r="M219" i="2"/>
  <c r="L223" i="2"/>
  <c r="L227" i="2"/>
  <c r="L231" i="2"/>
  <c r="L235" i="2"/>
  <c r="L239" i="2"/>
  <c r="N245" i="2"/>
  <c r="N253" i="2"/>
  <c r="N255" i="2"/>
  <c r="L181" i="2"/>
  <c r="L189" i="2"/>
  <c r="L197" i="2"/>
  <c r="L205" i="2"/>
  <c r="L213" i="2"/>
  <c r="L221" i="2"/>
  <c r="L251" i="2"/>
  <c r="M229" i="2"/>
  <c r="M237" i="2"/>
  <c r="L243" i="2"/>
  <c r="N274" i="2"/>
  <c r="L293" i="2"/>
  <c r="N306" i="2"/>
  <c r="N327" i="2"/>
  <c r="N335" i="2"/>
  <c r="N343" i="2"/>
  <c r="N351" i="2"/>
  <c r="N359" i="2"/>
  <c r="N367" i="2"/>
  <c r="M252" i="2"/>
  <c r="N261" i="2"/>
  <c r="L273" i="2"/>
  <c r="N277" i="2"/>
  <c r="M288" i="2"/>
  <c r="N307" i="2"/>
  <c r="N319" i="2"/>
  <c r="M253" i="2"/>
  <c r="M268" i="2"/>
  <c r="L274" i="2"/>
  <c r="M293" i="2"/>
  <c r="M309" i="2"/>
  <c r="M316" i="2"/>
  <c r="L318" i="2"/>
  <c r="N326" i="2"/>
  <c r="N334" i="2"/>
  <c r="N342" i="2"/>
  <c r="N350" i="2"/>
  <c r="N358" i="2"/>
  <c r="N366" i="2"/>
  <c r="N259" i="2"/>
  <c r="N267" i="2"/>
  <c r="N275" i="2"/>
  <c r="N283" i="2"/>
  <c r="L289" i="2"/>
  <c r="M296" i="2"/>
  <c r="N302" i="2"/>
  <c r="N309" i="2"/>
  <c r="M317" i="2"/>
  <c r="M333" i="2"/>
  <c r="L338" i="2"/>
  <c r="M349" i="2"/>
  <c r="L354" i="2"/>
  <c r="M365" i="2"/>
  <c r="L370" i="2"/>
  <c r="L374" i="2"/>
  <c r="N382" i="2"/>
  <c r="L398" i="2"/>
  <c r="M326" i="2"/>
  <c r="M342" i="2"/>
  <c r="M358" i="2"/>
  <c r="N371" i="2"/>
  <c r="L394" i="2"/>
  <c r="M295" i="2"/>
  <c r="M311" i="2"/>
  <c r="M327" i="2"/>
  <c r="M343" i="2"/>
  <c r="M359" i="2"/>
  <c r="M372" i="2"/>
  <c r="L402" i="2"/>
  <c r="L321" i="2"/>
  <c r="L337" i="2"/>
  <c r="L353" i="2"/>
  <c r="L369" i="2"/>
  <c r="L385" i="2"/>
  <c r="M418" i="2"/>
  <c r="M379" i="2"/>
  <c r="M395" i="2"/>
  <c r="L401" i="2"/>
  <c r="M413" i="2"/>
  <c r="N441" i="2"/>
  <c r="M390" i="2"/>
  <c r="N398" i="2"/>
  <c r="M402" i="2"/>
  <c r="M409" i="2"/>
  <c r="L412" i="2"/>
  <c r="N457" i="2"/>
  <c r="N418" i="2"/>
  <c r="N376" i="2"/>
  <c r="N414" i="2"/>
  <c r="N433" i="2"/>
  <c r="M456" i="2"/>
  <c r="M459" i="2"/>
  <c r="N470" i="2"/>
  <c r="N421" i="2"/>
  <c r="M436" i="2"/>
  <c r="M439" i="2"/>
  <c r="N450" i="2"/>
  <c r="N455" i="2"/>
  <c r="M461" i="2"/>
  <c r="L416" i="2"/>
  <c r="N420" i="2"/>
  <c r="L432" i="2"/>
  <c r="M435" i="2"/>
  <c r="L457" i="2"/>
  <c r="M464" i="2"/>
  <c r="M467" i="2"/>
  <c r="N474" i="2"/>
  <c r="M415" i="2"/>
  <c r="M423" i="2"/>
  <c r="M431" i="2"/>
  <c r="N449" i="2"/>
  <c r="N465" i="2"/>
  <c r="M188" i="2"/>
  <c r="N221" i="2"/>
  <c r="M266" i="2"/>
  <c r="L172" i="2"/>
  <c r="M183" i="2"/>
  <c r="L188" i="2"/>
  <c r="N223" i="2"/>
  <c r="M30" i="2"/>
  <c r="M66" i="2"/>
  <c r="M82" i="2"/>
  <c r="M18" i="2"/>
  <c r="M17" i="2"/>
  <c r="M25" i="2"/>
  <c r="M33" i="2"/>
  <c r="M41" i="2"/>
  <c r="M49" i="2"/>
  <c r="M57" i="2"/>
  <c r="M65" i="2"/>
  <c r="M73" i="2"/>
  <c r="M81" i="2"/>
  <c r="N32" i="2"/>
  <c r="N48" i="2"/>
  <c r="N64" i="2"/>
  <c r="N80" i="2"/>
  <c r="M20" i="2"/>
  <c r="N22" i="2"/>
  <c r="L28" i="2"/>
  <c r="N38" i="2"/>
  <c r="L44" i="2"/>
  <c r="N54" i="2"/>
  <c r="L60" i="2"/>
  <c r="N70" i="2"/>
  <c r="L76" i="2"/>
  <c r="N86" i="2"/>
  <c r="N108" i="2"/>
  <c r="M122" i="2"/>
  <c r="M131" i="2"/>
  <c r="N145" i="2"/>
  <c r="L161" i="2"/>
  <c r="M36" i="2"/>
  <c r="M52" i="2"/>
  <c r="M68" i="2"/>
  <c r="M84" i="2"/>
  <c r="N104" i="2"/>
  <c r="M118" i="2"/>
  <c r="M127" i="2"/>
  <c r="N141" i="2"/>
  <c r="L30" i="2"/>
  <c r="L38" i="2"/>
  <c r="M95" i="2"/>
  <c r="N116" i="2"/>
  <c r="M130" i="2"/>
  <c r="M139" i="2"/>
  <c r="M153" i="2"/>
  <c r="M94" i="2"/>
  <c r="M110" i="2"/>
  <c r="M119" i="2"/>
  <c r="N133" i="2"/>
  <c r="L165" i="2"/>
  <c r="L100" i="2"/>
  <c r="N110" i="2"/>
  <c r="L116" i="2"/>
  <c r="N126" i="2"/>
  <c r="L132" i="2"/>
  <c r="N142" i="2"/>
  <c r="L148" i="2"/>
  <c r="N158" i="2"/>
  <c r="M177" i="2"/>
  <c r="M186" i="2"/>
  <c r="M200" i="2"/>
  <c r="M227" i="2"/>
  <c r="M104" i="2"/>
  <c r="L109" i="2"/>
  <c r="M120" i="2"/>
  <c r="L164" i="2"/>
  <c r="M180" i="2"/>
  <c r="N207" i="2"/>
  <c r="M221" i="2"/>
  <c r="L98" i="2"/>
  <c r="L106" i="2"/>
  <c r="L114" i="2"/>
  <c r="L122" i="2"/>
  <c r="L130" i="2"/>
  <c r="M141" i="2"/>
  <c r="L146" i="2"/>
  <c r="M164" i="2"/>
  <c r="N169" i="2"/>
  <c r="M176" i="2"/>
  <c r="N203" i="2"/>
  <c r="M217" i="2"/>
  <c r="M251" i="2"/>
  <c r="N173" i="2"/>
  <c r="N215" i="2"/>
  <c r="M248" i="2"/>
  <c r="L179" i="2"/>
  <c r="N189" i="2"/>
  <c r="L195" i="2"/>
  <c r="N205" i="2"/>
  <c r="L211" i="2"/>
  <c r="N256" i="2"/>
  <c r="L200" i="2"/>
  <c r="L220" i="2"/>
  <c r="M46" i="2"/>
  <c r="M58" i="2"/>
  <c r="M74" i="2"/>
  <c r="N93" i="2"/>
  <c r="M54" i="2"/>
  <c r="M21" i="2"/>
  <c r="M29" i="2"/>
  <c r="M37" i="2"/>
  <c r="M45" i="2"/>
  <c r="M53" i="2"/>
  <c r="M61" i="2"/>
  <c r="M69" i="2"/>
  <c r="M77" i="2"/>
  <c r="M85" i="2"/>
  <c r="N24" i="2"/>
  <c r="N40" i="2"/>
  <c r="N56" i="2"/>
  <c r="N72" i="2"/>
  <c r="M88" i="2"/>
  <c r="L94" i="2"/>
  <c r="N17" i="2"/>
  <c r="L20" i="2"/>
  <c r="N30" i="2"/>
  <c r="L36" i="2"/>
  <c r="N46" i="2"/>
  <c r="L52" i="2"/>
  <c r="N62" i="2"/>
  <c r="L68" i="2"/>
  <c r="N78" i="2"/>
  <c r="L84" i="2"/>
  <c r="M99" i="2"/>
  <c r="M113" i="2"/>
  <c r="M140" i="2"/>
  <c r="M154" i="2"/>
  <c r="M28" i="2"/>
  <c r="M44" i="2"/>
  <c r="M60" i="2"/>
  <c r="M76" i="2"/>
  <c r="L88" i="2"/>
  <c r="N92" i="2"/>
  <c r="M109" i="2"/>
  <c r="M136" i="2"/>
  <c r="M150" i="2"/>
  <c r="N164" i="2"/>
  <c r="L26" i="2"/>
  <c r="L34" i="2"/>
  <c r="M91" i="2"/>
  <c r="M98" i="2"/>
  <c r="M107" i="2"/>
  <c r="M121" i="2"/>
  <c r="M148" i="2"/>
  <c r="N160" i="2"/>
  <c r="M90" i="2"/>
  <c r="M101" i="2"/>
  <c r="M128" i="2"/>
  <c r="M142" i="2"/>
  <c r="M151" i="2"/>
  <c r="N102" i="2"/>
  <c r="L108" i="2"/>
  <c r="N118" i="2"/>
  <c r="L124" i="2"/>
  <c r="N134" i="2"/>
  <c r="L140" i="2"/>
  <c r="N150" i="2"/>
  <c r="L156" i="2"/>
  <c r="L159" i="2"/>
  <c r="L163" i="2"/>
  <c r="L167" i="2"/>
  <c r="L171" i="2"/>
  <c r="N195" i="2"/>
  <c r="M209" i="2"/>
  <c r="M218" i="2"/>
  <c r="N232" i="2"/>
  <c r="M96" i="2"/>
  <c r="L101" i="2"/>
  <c r="M112" i="2"/>
  <c r="L117" i="2"/>
  <c r="M166" i="2"/>
  <c r="N175" i="2"/>
  <c r="M189" i="2"/>
  <c r="M198" i="2"/>
  <c r="M212" i="2"/>
  <c r="L225" i="2"/>
  <c r="L102" i="2"/>
  <c r="L110" i="2"/>
  <c r="L118" i="2"/>
  <c r="L126" i="2"/>
  <c r="M133" i="2"/>
  <c r="L138" i="2"/>
  <c r="M149" i="2"/>
  <c r="N161" i="2"/>
  <c r="M165" i="2"/>
  <c r="M174" i="2"/>
  <c r="M185" i="2"/>
  <c r="M194" i="2"/>
  <c r="M208" i="2"/>
  <c r="L237" i="2"/>
  <c r="N183" i="2"/>
  <c r="M197" i="2"/>
  <c r="M206" i="2"/>
  <c r="M220" i="2"/>
  <c r="L233" i="2"/>
  <c r="N181" i="2"/>
  <c r="L187" i="2"/>
  <c r="N197" i="2"/>
  <c r="L203" i="2"/>
  <c r="N213" i="2"/>
  <c r="L219" i="2"/>
  <c r="N257" i="2"/>
  <c r="M282" i="2"/>
  <c r="M175" i="2"/>
  <c r="L180" i="2"/>
  <c r="M191" i="2"/>
  <c r="M203" i="2"/>
  <c r="L255" i="2"/>
  <c r="M278" i="2"/>
  <c r="M62" i="2"/>
  <c r="M42" i="2"/>
  <c r="M35" i="2"/>
  <c r="M67" i="2"/>
  <c r="N36" i="2"/>
  <c r="M92" i="2"/>
  <c r="L24" i="2"/>
  <c r="N34" i="2"/>
  <c r="L56" i="2"/>
  <c r="N66" i="2"/>
  <c r="M97" i="2"/>
  <c r="M147" i="2"/>
  <c r="M72" i="2"/>
  <c r="M157" i="2"/>
  <c r="L58" i="2"/>
  <c r="M132" i="2"/>
  <c r="N149" i="2"/>
  <c r="N179" i="2"/>
  <c r="L229" i="2"/>
  <c r="L145" i="2"/>
  <c r="M196" i="2"/>
  <c r="L142" i="2"/>
  <c r="L154" i="2"/>
  <c r="N165" i="2"/>
  <c r="L191" i="2"/>
  <c r="N201" i="2"/>
  <c r="N244" i="2"/>
  <c r="L184" i="2"/>
  <c r="M195" i="2"/>
  <c r="M207" i="2"/>
  <c r="N231" i="2"/>
  <c r="N248" i="2"/>
  <c r="M262" i="2"/>
  <c r="L201" i="2"/>
  <c r="M246" i="2"/>
  <c r="N251" i="2"/>
  <c r="N229" i="2"/>
  <c r="N241" i="2"/>
  <c r="M255" i="2"/>
  <c r="N278" i="2"/>
  <c r="N290" i="2"/>
  <c r="N303" i="2"/>
  <c r="N322" i="2"/>
  <c r="N331" i="2"/>
  <c r="N363" i="2"/>
  <c r="L269" i="2"/>
  <c r="N281" i="2"/>
  <c r="N310" i="2"/>
  <c r="M245" i="2"/>
  <c r="L262" i="2"/>
  <c r="M280" i="2"/>
  <c r="L285" i="2"/>
  <c r="N295" i="2"/>
  <c r="L306" i="2"/>
  <c r="N314" i="2"/>
  <c r="M322" i="2"/>
  <c r="N330" i="2"/>
  <c r="M340" i="2"/>
  <c r="M352" i="2"/>
  <c r="N362" i="2"/>
  <c r="M267" i="2"/>
  <c r="N279" i="2"/>
  <c r="M297" i="2"/>
  <c r="L305" i="2"/>
  <c r="M313" i="2"/>
  <c r="N323" i="2"/>
  <c r="L326" i="2"/>
  <c r="M345" i="2"/>
  <c r="L358" i="2"/>
  <c r="L382" i="2"/>
  <c r="M330" i="2"/>
  <c r="M350" i="2"/>
  <c r="M370" i="2"/>
  <c r="M412" i="2"/>
  <c r="M303" i="2"/>
  <c r="M323" i="2"/>
  <c r="M347" i="2"/>
  <c r="M367" i="2"/>
  <c r="M389" i="2"/>
  <c r="N397" i="2"/>
  <c r="L325" i="2"/>
  <c r="L345" i="2"/>
  <c r="L365" i="2"/>
  <c r="L386" i="2"/>
  <c r="M373" i="2"/>
  <c r="M391" i="2"/>
  <c r="M407" i="2"/>
  <c r="N426" i="2"/>
  <c r="N390" i="2"/>
  <c r="M398" i="2"/>
  <c r="N406" i="2"/>
  <c r="N469" i="2"/>
  <c r="L376" i="2"/>
  <c r="L414" i="2"/>
  <c r="N430" i="2"/>
  <c r="L433" i="2"/>
  <c r="M440" i="2"/>
  <c r="L465" i="2"/>
  <c r="N417" i="2"/>
  <c r="L445" i="2"/>
  <c r="N466" i="2"/>
  <c r="M471" i="2"/>
  <c r="L420" i="2"/>
  <c r="N432" i="2"/>
  <c r="L441" i="2"/>
  <c r="M448" i="2"/>
  <c r="M411" i="2"/>
  <c r="L425" i="2"/>
  <c r="L437" i="2"/>
  <c r="L443" i="2"/>
  <c r="M447" i="2"/>
  <c r="L469" i="2"/>
  <c r="M78" i="2"/>
  <c r="M192" i="2"/>
  <c r="M204" i="2"/>
  <c r="M215" i="2"/>
  <c r="N235" i="2"/>
  <c r="M242" i="2"/>
  <c r="N237" i="2"/>
  <c r="N270" i="2"/>
  <c r="M320" i="2"/>
  <c r="N294" i="2"/>
  <c r="M272" i="2"/>
  <c r="N311" i="2"/>
  <c r="M328" i="2"/>
  <c r="M348" i="2"/>
  <c r="M263" i="2"/>
  <c r="L294" i="2"/>
  <c r="M325" i="2"/>
  <c r="M337" i="2"/>
  <c r="M369" i="2"/>
  <c r="N409" i="2"/>
  <c r="L393" i="2"/>
  <c r="M363" i="2"/>
  <c r="L341" i="2"/>
  <c r="N372" i="2"/>
  <c r="M397" i="2"/>
  <c r="L422" i="2"/>
  <c r="N438" i="2"/>
  <c r="N454" i="2"/>
  <c r="N434" i="2"/>
  <c r="N446" i="2"/>
  <c r="N462" i="2"/>
  <c r="L421" i="2"/>
  <c r="M460" i="2"/>
  <c r="M34" i="2"/>
  <c r="N89" i="2"/>
  <c r="M43" i="2"/>
  <c r="M75" i="2"/>
  <c r="N52" i="2"/>
  <c r="N16" i="2"/>
  <c r="N168" i="2"/>
  <c r="N120" i="2"/>
  <c r="L50" i="2"/>
  <c r="L82" i="2"/>
  <c r="N96" i="2"/>
  <c r="M146" i="2"/>
  <c r="N112" i="2"/>
  <c r="L96" i="2"/>
  <c r="N106" i="2"/>
  <c r="L128" i="2"/>
  <c r="N138" i="2"/>
  <c r="M193" i="2"/>
  <c r="L105" i="2"/>
  <c r="M116" i="2"/>
  <c r="L137" i="2"/>
  <c r="M169" i="2"/>
  <c r="N219" i="2"/>
  <c r="M181" i="2"/>
  <c r="M231" i="2"/>
  <c r="N227" i="2"/>
  <c r="N252" i="2"/>
  <c r="L193" i="2"/>
  <c r="M234" i="2"/>
  <c r="N249" i="2"/>
  <c r="N233" i="2"/>
  <c r="M241" i="2"/>
  <c r="M270" i="2"/>
  <c r="N262" i="2"/>
  <c r="N282" i="2"/>
  <c r="N355" i="2"/>
  <c r="M256" i="2"/>
  <c r="L265" i="2"/>
  <c r="N269" i="2"/>
  <c r="L277" i="2"/>
  <c r="L297" i="2"/>
  <c r="M249" i="2"/>
  <c r="L270" i="2"/>
  <c r="M276" i="2"/>
  <c r="L282" i="2"/>
  <c r="L290" i="2"/>
  <c r="N298" i="2"/>
  <c r="M308" i="2"/>
  <c r="M324" i="2"/>
  <c r="M332" i="2"/>
  <c r="M344" i="2"/>
  <c r="N354" i="2"/>
  <c r="M364" i="2"/>
  <c r="M259" i="2"/>
  <c r="N271" i="2"/>
  <c r="M279" i="2"/>
  <c r="M290" i="2"/>
  <c r="M306" i="2"/>
  <c r="L334" i="2"/>
  <c r="M341" i="2"/>
  <c r="L346" i="2"/>
  <c r="M353" i="2"/>
  <c r="L366" i="2"/>
  <c r="N374" i="2"/>
  <c r="L378" i="2"/>
  <c r="N401" i="2"/>
  <c r="M334" i="2"/>
  <c r="M354" i="2"/>
  <c r="M393" i="2"/>
  <c r="M287" i="2"/>
  <c r="M307" i="2"/>
  <c r="M331" i="2"/>
  <c r="M351" i="2"/>
  <c r="N405" i="2"/>
  <c r="L329" i="2"/>
  <c r="L349" i="2"/>
  <c r="L371" i="2"/>
  <c r="L381" i="2"/>
  <c r="N393" i="2"/>
  <c r="M375" i="2"/>
  <c r="L397" i="2"/>
  <c r="M403" i="2"/>
  <c r="L409" i="2"/>
  <c r="L426" i="2"/>
  <c r="M432" i="2"/>
  <c r="N394" i="2"/>
  <c r="M401" i="2"/>
  <c r="M406" i="2"/>
  <c r="N412" i="2"/>
  <c r="L384" i="2"/>
  <c r="L388" i="2"/>
  <c r="L392" i="2"/>
  <c r="L396" i="2"/>
  <c r="L400" i="2"/>
  <c r="L404" i="2"/>
  <c r="L408" i="2"/>
  <c r="L430" i="2"/>
  <c r="M433" i="2"/>
  <c r="L449" i="2"/>
  <c r="M465" i="2"/>
  <c r="N425" i="2"/>
  <c r="M445" i="2"/>
  <c r="M455" i="2"/>
  <c r="M468" i="2"/>
  <c r="L428" i="2"/>
  <c r="M441" i="2"/>
  <c r="M457" i="2"/>
  <c r="N473" i="2"/>
  <c r="L417" i="2"/>
  <c r="M427" i="2"/>
  <c r="M437" i="2"/>
  <c r="M444" i="2"/>
  <c r="N458" i="2"/>
  <c r="N463" i="2"/>
  <c r="M469" i="2"/>
  <c r="L177" i="2"/>
  <c r="M225" i="2"/>
  <c r="N339" i="2"/>
  <c r="M371" i="2"/>
  <c r="L281" i="2"/>
  <c r="M260" i="2"/>
  <c r="L266" i="2"/>
  <c r="L301" i="2"/>
  <c r="N370" i="2"/>
  <c r="N286" i="2"/>
  <c r="M312" i="2"/>
  <c r="L330" i="2"/>
  <c r="M357" i="2"/>
  <c r="N378" i="2"/>
  <c r="M346" i="2"/>
  <c r="M319" i="2"/>
  <c r="M378" i="2"/>
  <c r="L317" i="2"/>
  <c r="L377" i="2"/>
  <c r="M387" i="2"/>
  <c r="M399" i="2"/>
  <c r="M386" i="2"/>
  <c r="M405" i="2"/>
  <c r="L418" i="2"/>
  <c r="M422" i="2"/>
  <c r="N424" i="2"/>
  <c r="N447" i="2"/>
  <c r="M19" i="2"/>
  <c r="M51" i="2"/>
  <c r="M83" i="2"/>
  <c r="N68" i="2"/>
  <c r="N18" i="2"/>
  <c r="L40" i="2"/>
  <c r="N50" i="2"/>
  <c r="L72" i="2"/>
  <c r="N82" i="2"/>
  <c r="M124" i="2"/>
  <c r="M40" i="2"/>
  <c r="M134" i="2"/>
  <c r="L22" i="2"/>
  <c r="L42" i="2"/>
  <c r="L74" i="2"/>
  <c r="M105" i="2"/>
  <c r="M155" i="2"/>
  <c r="M126" i="2"/>
  <c r="M202" i="2"/>
  <c r="L129" i="2"/>
  <c r="L160" i="2"/>
  <c r="M170" i="2"/>
  <c r="M223" i="2"/>
  <c r="M137" i="2"/>
  <c r="M178" i="2"/>
  <c r="M235" i="2"/>
  <c r="M190" i="2"/>
  <c r="L175" i="2"/>
  <c r="N185" i="2"/>
  <c r="L207" i="2"/>
  <c r="N217" i="2"/>
  <c r="M179" i="2"/>
  <c r="N239" i="2"/>
  <c r="M254" i="2"/>
  <c r="L185" i="2"/>
  <c r="L217" i="2"/>
  <c r="M226" i="2"/>
  <c r="M238" i="2"/>
  <c r="M250" i="2"/>
  <c r="M274" i="2"/>
  <c r="N225" i="2"/>
  <c r="M233" i="2"/>
  <c r="N266" i="2"/>
  <c r="M284" i="2"/>
  <c r="M300" i="2"/>
  <c r="L309" i="2"/>
  <c r="L322" i="2"/>
  <c r="N347" i="2"/>
  <c r="N265" i="2"/>
  <c r="N291" i="2"/>
  <c r="M304" i="2"/>
  <c r="L313" i="2"/>
  <c r="M257" i="2"/>
  <c r="M264" i="2"/>
  <c r="L278" i="2"/>
  <c r="M292" i="2"/>
  <c r="N318" i="2"/>
  <c r="M336" i="2"/>
  <c r="N346" i="2"/>
  <c r="M356" i="2"/>
  <c r="M368" i="2"/>
  <c r="N263" i="2"/>
  <c r="M271" i="2"/>
  <c r="M283" i="2"/>
  <c r="N293" i="2"/>
  <c r="N299" i="2"/>
  <c r="L310" i="2"/>
  <c r="N315" i="2"/>
  <c r="M321" i="2"/>
  <c r="M329" i="2"/>
  <c r="L342" i="2"/>
  <c r="M361" i="2"/>
  <c r="L406" i="2"/>
  <c r="M338" i="2"/>
  <c r="M362" i="2"/>
  <c r="M291" i="2"/>
  <c r="M315" i="2"/>
  <c r="M335" i="2"/>
  <c r="M355" i="2"/>
  <c r="M374" i="2"/>
  <c r="L389" i="2"/>
  <c r="L410" i="2"/>
  <c r="L333" i="2"/>
  <c r="L357" i="2"/>
  <c r="M385" i="2"/>
  <c r="N413" i="2"/>
  <c r="M383" i="2"/>
  <c r="L405" i="2"/>
  <c r="N386" i="2"/>
  <c r="M394" i="2"/>
  <c r="N402" i="2"/>
  <c r="N410" i="2"/>
  <c r="N422" i="2"/>
  <c r="L413" i="2"/>
  <c r="L373" i="2"/>
  <c r="L380" i="2"/>
  <c r="N384" i="2"/>
  <c r="N388" i="2"/>
  <c r="N392" i="2"/>
  <c r="N396" i="2"/>
  <c r="N400" i="2"/>
  <c r="N404" i="2"/>
  <c r="N408" i="2"/>
  <c r="N437" i="2"/>
  <c r="N443" i="2"/>
  <c r="M449" i="2"/>
  <c r="N459" i="2"/>
  <c r="M472" i="2"/>
  <c r="N429" i="2"/>
  <c r="N439" i="2"/>
  <c r="M452" i="2"/>
  <c r="N416" i="2"/>
  <c r="L424" i="2"/>
  <c r="N428" i="2"/>
  <c r="N435" i="2"/>
  <c r="N451" i="2"/>
  <c r="N467" i="2"/>
  <c r="M419" i="2"/>
  <c r="L429" i="2"/>
  <c r="L453" i="2"/>
  <c r="L459" i="2"/>
  <c r="M463" i="2"/>
  <c r="M27" i="2"/>
  <c r="M59" i="2"/>
  <c r="N20" i="2"/>
  <c r="N84" i="2"/>
  <c r="M138" i="2"/>
  <c r="M56" i="2"/>
  <c r="L92" i="2"/>
  <c r="M143" i="2"/>
  <c r="L66" i="2"/>
  <c r="N90" i="2"/>
  <c r="M135" i="2"/>
  <c r="L112" i="2"/>
  <c r="N122" i="2"/>
  <c r="L144" i="2"/>
  <c r="N154" i="2"/>
  <c r="M216" i="2"/>
  <c r="M100" i="2"/>
  <c r="L121" i="2"/>
  <c r="L153" i="2"/>
  <c r="M182" i="2"/>
  <c r="M239" i="2"/>
  <c r="M160" i="2"/>
  <c r="M172" i="2"/>
  <c r="L209" i="2"/>
  <c r="M230" i="2"/>
  <c r="L248" i="2"/>
  <c r="N287" i="2"/>
  <c r="L261" i="2"/>
  <c r="N273" i="2"/>
  <c r="N338" i="2"/>
  <c r="M360" i="2"/>
  <c r="M275" i="2"/>
  <c r="L350" i="2"/>
  <c r="L362" i="2"/>
  <c r="M382" i="2"/>
  <c r="M366" i="2"/>
  <c r="M299" i="2"/>
  <c r="M339" i="2"/>
  <c r="L390" i="2"/>
  <c r="L361" i="2"/>
  <c r="M410" i="2"/>
  <c r="M428" i="2"/>
  <c r="N380" i="2"/>
  <c r="M443" i="2"/>
  <c r="L461" i="2"/>
  <c r="N471" i="2"/>
  <c r="M451" i="2"/>
  <c r="N442" i="2"/>
  <c r="M453" i="2"/>
  <c r="P15" i="2"/>
  <c r="O2" i="2"/>
  <c r="M10" i="2"/>
  <c r="M9" i="2"/>
  <c r="K8" i="2"/>
  <c r="K5" i="2"/>
  <c r="I9" i="4" l="1"/>
  <c r="I8" i="4" s="1"/>
  <c r="M2" i="2" s="1"/>
  <c r="O34" i="12" s="1"/>
  <c r="K6" i="2"/>
  <c r="E9" i="4" s="1"/>
  <c r="M3" i="2"/>
  <c r="N15" i="2"/>
  <c r="M15" i="2"/>
  <c r="K15" i="2"/>
  <c r="O9" i="2" l="1"/>
  <c r="P3" i="2" s="1"/>
  <c r="O8" i="2"/>
  <c r="S15" i="2"/>
  <c r="P2" i="2" l="1"/>
  <c r="Q15" i="2" l="1"/>
  <c r="R15" i="2" s="1"/>
  <c r="O6" i="2"/>
  <c r="O3" i="2"/>
  <c r="O7" i="2"/>
  <c r="Q2" i="2" a="1"/>
  <c r="O5" i="2"/>
  <c r="O4" i="2"/>
  <c r="Z25" i="12" l="1"/>
  <c r="AF25" i="12"/>
  <c r="Z27" i="12"/>
  <c r="Z26" i="12"/>
  <c r="Q2" i="2"/>
  <c r="Q7" i="2" s="1"/>
  <c r="AF27" i="12" s="1"/>
  <c r="Q3" i="2"/>
  <c r="AF26" i="12"/>
  <c r="I4" i="2"/>
  <c r="K4" i="2"/>
  <c r="F9" i="4" l="1"/>
  <c r="E8" i="4" s="1"/>
  <c r="K9" i="2"/>
  <c r="M5" i="2"/>
  <c r="K7" i="2" l="1"/>
  <c r="M4" i="2" s="1"/>
  <c r="O33" i="12" s="1"/>
  <c r="I6" i="2" l="1"/>
  <c r="N26" i="12" s="1"/>
</calcChain>
</file>

<file path=xl/sharedStrings.xml><?xml version="1.0" encoding="utf-8"?>
<sst xmlns="http://schemas.openxmlformats.org/spreadsheetml/2006/main" count="187" uniqueCount="119">
  <si>
    <t>Projekt:</t>
  </si>
  <si>
    <t>Prüfer:</t>
  </si>
  <si>
    <t>Datum:</t>
  </si>
  <si>
    <t>Werkstoff:</t>
  </si>
  <si>
    <t>Probennummer:</t>
  </si>
  <si>
    <t>Probentyp:</t>
  </si>
  <si>
    <t>Prüfmaschine:</t>
  </si>
  <si>
    <t>Prüftemperatur:</t>
  </si>
  <si>
    <t>mm</t>
  </si>
  <si>
    <t>Probenabmessungen:</t>
  </si>
  <si>
    <t>Zeit</t>
  </si>
  <si>
    <t>[s]</t>
  </si>
  <si>
    <t>Messdaten (Rohdaten)</t>
  </si>
  <si>
    <t>F</t>
  </si>
  <si>
    <t>[kN]</t>
  </si>
  <si>
    <r>
      <t>D</t>
    </r>
    <r>
      <rPr>
        <sz val="10"/>
        <rFont val="Arial"/>
        <family val="2"/>
      </rPr>
      <t>L</t>
    </r>
  </si>
  <si>
    <t>[mm]</t>
  </si>
  <si>
    <t>Versuchsauswertung</t>
  </si>
  <si>
    <t>Brucheinschnürung Z:</t>
  </si>
  <si>
    <t>Bruchverlängerung:</t>
  </si>
  <si>
    <t>Fm:</t>
  </si>
  <si>
    <r>
      <t>F</t>
    </r>
    <r>
      <rPr>
        <sz val="8"/>
        <rFont val="Arial"/>
        <family val="2"/>
      </rPr>
      <t>p0,2</t>
    </r>
    <r>
      <rPr>
        <sz val="11"/>
        <rFont val="Arial"/>
        <family val="2"/>
      </rPr>
      <t>:</t>
    </r>
  </si>
  <si>
    <t>Auswertung</t>
  </si>
  <si>
    <t>Bruchverlängerung</t>
  </si>
  <si>
    <t>Schnittpunkt</t>
  </si>
  <si>
    <t>x</t>
  </si>
  <si>
    <t>Y</t>
  </si>
  <si>
    <t>Steigungsgerade</t>
  </si>
  <si>
    <t>Rp0,2</t>
  </si>
  <si>
    <t>Schnittweite</t>
  </si>
  <si>
    <t>Rm:</t>
  </si>
  <si>
    <t>Rp0,2:</t>
  </si>
  <si>
    <t>A:</t>
  </si>
  <si>
    <t>Z:</t>
  </si>
  <si>
    <t>Probe:</t>
  </si>
  <si>
    <t>Basisdaten</t>
  </si>
  <si>
    <t>Berechnung der Streckgrenze</t>
  </si>
  <si>
    <t>E-Modul:</t>
  </si>
  <si>
    <t>Lo=</t>
  </si>
  <si>
    <r>
      <t>S</t>
    </r>
    <r>
      <rPr>
        <vertAlign val="subscript"/>
        <sz val="11"/>
        <rFont val="Arial"/>
        <family val="2"/>
      </rPr>
      <t>0</t>
    </r>
    <r>
      <rPr>
        <sz val="11"/>
        <rFont val="Arial"/>
        <family val="2"/>
      </rPr>
      <t>=</t>
    </r>
  </si>
  <si>
    <r>
      <t>S</t>
    </r>
    <r>
      <rPr>
        <vertAlign val="subscript"/>
        <sz val="11"/>
        <rFont val="Arial"/>
        <family val="2"/>
      </rPr>
      <t>u</t>
    </r>
    <r>
      <rPr>
        <sz val="11"/>
        <rFont val="Arial"/>
        <family val="2"/>
      </rPr>
      <t>=</t>
    </r>
  </si>
  <si>
    <r>
      <t>E</t>
    </r>
    <r>
      <rPr>
        <vertAlign val="subscript"/>
        <sz val="11"/>
        <rFont val="Arial"/>
        <family val="2"/>
      </rPr>
      <t>Modul</t>
    </r>
    <r>
      <rPr>
        <sz val="11"/>
        <rFont val="Arial"/>
        <family val="2"/>
      </rPr>
      <t>:</t>
    </r>
  </si>
  <si>
    <r>
      <t>Fp</t>
    </r>
    <r>
      <rPr>
        <vertAlign val="subscript"/>
        <sz val="11"/>
        <rFont val="Arial"/>
        <family val="2"/>
      </rPr>
      <t>0,2</t>
    </r>
    <r>
      <rPr>
        <sz val="11"/>
        <rFont val="Arial"/>
        <family val="2"/>
      </rPr>
      <t>:</t>
    </r>
  </si>
  <si>
    <r>
      <t>s</t>
    </r>
    <r>
      <rPr>
        <vertAlign val="subscript"/>
        <sz val="11"/>
        <rFont val="Arial"/>
        <family val="2"/>
      </rPr>
      <t>w</t>
    </r>
    <r>
      <rPr>
        <sz val="11"/>
        <rFont val="Arial"/>
        <family val="2"/>
      </rPr>
      <t>-Bruch:</t>
    </r>
  </si>
  <si>
    <r>
      <t>e</t>
    </r>
    <r>
      <rPr>
        <vertAlign val="subscript"/>
        <sz val="11"/>
        <rFont val="Arial"/>
        <family val="2"/>
      </rPr>
      <t>w</t>
    </r>
    <r>
      <rPr>
        <sz val="11"/>
        <rFont val="Arial"/>
        <family val="2"/>
      </rPr>
      <t>-Bruch:</t>
    </r>
  </si>
  <si>
    <r>
      <t>F</t>
    </r>
    <r>
      <rPr>
        <vertAlign val="subscript"/>
        <sz val="11"/>
        <rFont val="Arial"/>
        <family val="2"/>
      </rPr>
      <t>Bruch</t>
    </r>
    <r>
      <rPr>
        <sz val="11"/>
        <rFont val="Arial"/>
        <family val="2"/>
      </rPr>
      <t>:</t>
    </r>
  </si>
  <si>
    <r>
      <t>Rp</t>
    </r>
    <r>
      <rPr>
        <vertAlign val="subscript"/>
        <sz val="11"/>
        <rFont val="Arial"/>
        <family val="2"/>
      </rPr>
      <t>0,2</t>
    </r>
    <r>
      <rPr>
        <sz val="11"/>
        <rFont val="Arial"/>
        <family val="2"/>
      </rPr>
      <t>:</t>
    </r>
  </si>
  <si>
    <r>
      <t>DL</t>
    </r>
    <r>
      <rPr>
        <vertAlign val="subscript"/>
        <sz val="11"/>
        <rFont val="Arial"/>
        <family val="2"/>
      </rPr>
      <t>Bruch</t>
    </r>
    <r>
      <rPr>
        <sz val="11"/>
        <rFont val="Arial"/>
        <family val="2"/>
      </rPr>
      <t>:</t>
    </r>
  </si>
  <si>
    <r>
      <t>L</t>
    </r>
    <r>
      <rPr>
        <vertAlign val="subscript"/>
        <sz val="11"/>
        <rFont val="Arial"/>
        <family val="2"/>
      </rPr>
      <t>0</t>
    </r>
    <r>
      <rPr>
        <sz val="11"/>
        <rFont val="Arial"/>
        <family val="2"/>
      </rPr>
      <t>=</t>
    </r>
  </si>
  <si>
    <r>
      <t>DeltaL</t>
    </r>
    <r>
      <rPr>
        <vertAlign val="subscript"/>
        <sz val="16"/>
        <rFont val="Arial"/>
        <family val="2"/>
      </rPr>
      <t>Vorlast</t>
    </r>
  </si>
  <si>
    <r>
      <t>D</t>
    </r>
    <r>
      <rPr>
        <sz val="11"/>
        <rFont val="Arial"/>
        <family val="2"/>
      </rPr>
      <t>L</t>
    </r>
    <r>
      <rPr>
        <vertAlign val="subscript"/>
        <sz val="11"/>
        <rFont val="Arial"/>
        <family val="2"/>
      </rPr>
      <t>Rm</t>
    </r>
    <r>
      <rPr>
        <sz val="11"/>
        <rFont val="Arial"/>
        <family val="2"/>
      </rPr>
      <t>:</t>
    </r>
  </si>
  <si>
    <t>E-ModulLiteratur</t>
  </si>
  <si>
    <t>Bemerkungen:</t>
  </si>
  <si>
    <t>[MPa]</t>
  </si>
  <si>
    <t>Statischer Rundzugversuch</t>
  </si>
  <si>
    <t>Gleichmaßdehnung</t>
  </si>
  <si>
    <t>Ag:</t>
  </si>
  <si>
    <t>Zugversuch nach DIN EN 10002-1</t>
  </si>
  <si>
    <t>Prüfgeschwindigkeit:</t>
  </si>
  <si>
    <t>Probenabmessungen vor dem Versuch</t>
  </si>
  <si>
    <t>kN</t>
  </si>
  <si>
    <r>
      <t>Höchstzugkraft F</t>
    </r>
    <r>
      <rPr>
        <sz val="8"/>
        <rFont val="Arial"/>
        <family val="2"/>
      </rPr>
      <t>m</t>
    </r>
    <r>
      <rPr>
        <sz val="11"/>
        <rFont val="Arial"/>
        <family val="2"/>
      </rPr>
      <t>:</t>
    </r>
  </si>
  <si>
    <t>Ergebnisse</t>
  </si>
  <si>
    <t>MPa</t>
  </si>
  <si>
    <t>%</t>
  </si>
  <si>
    <t>Dehnung bei Höchstkraft Ag:</t>
  </si>
  <si>
    <t>Elastizitätsmodul:</t>
  </si>
  <si>
    <t>Probenform:</t>
  </si>
  <si>
    <t>Fe</t>
  </si>
  <si>
    <r>
      <t>s</t>
    </r>
    <r>
      <rPr>
        <vertAlign val="subscript"/>
        <sz val="11"/>
        <rFont val="Arial"/>
        <family val="2"/>
      </rPr>
      <t>Bruch</t>
    </r>
    <r>
      <rPr>
        <sz val="11"/>
        <rFont val="Arial"/>
        <family val="2"/>
      </rPr>
      <t>:</t>
    </r>
  </si>
  <si>
    <r>
      <t>e</t>
    </r>
    <r>
      <rPr>
        <vertAlign val="subscript"/>
        <sz val="11"/>
        <rFont val="Arial"/>
        <family val="2"/>
      </rPr>
      <t>Bruch</t>
    </r>
    <r>
      <rPr>
        <sz val="11"/>
        <rFont val="Arial"/>
        <family val="2"/>
      </rPr>
      <t>:</t>
    </r>
  </si>
  <si>
    <r>
      <t>e</t>
    </r>
    <r>
      <rPr>
        <vertAlign val="subscript"/>
        <sz val="11"/>
        <rFont val="Arial"/>
        <family val="2"/>
      </rPr>
      <t>Rm</t>
    </r>
  </si>
  <si>
    <t>Agt:</t>
  </si>
  <si>
    <r>
      <t>e</t>
    </r>
    <r>
      <rPr>
        <sz val="12"/>
        <rFont val="Arial"/>
        <family val="2"/>
      </rPr>
      <t>:</t>
    </r>
  </si>
  <si>
    <t>At:</t>
  </si>
  <si>
    <r>
      <t>Rp</t>
    </r>
    <r>
      <rPr>
        <b/>
        <vertAlign val="subscript"/>
        <sz val="9"/>
        <rFont val="Arial"/>
        <family val="2"/>
      </rPr>
      <t>0,2</t>
    </r>
  </si>
  <si>
    <t>Probendicke a:</t>
  </si>
  <si>
    <r>
      <t>Probenbreite b</t>
    </r>
    <r>
      <rPr>
        <sz val="11"/>
        <rFont val="Arial"/>
        <family val="2"/>
      </rPr>
      <t>:</t>
    </r>
  </si>
  <si>
    <t>Probendicke A1 nach Bruch:</t>
  </si>
  <si>
    <t>(A1+A2)/2 x (B1+B2)/2</t>
  </si>
  <si>
    <t>Probendicke A2 nach Bruch:</t>
  </si>
  <si>
    <t>Probenbreite B1 nach Bruch:</t>
  </si>
  <si>
    <t>Probenbreite B2 nach Bruch:</t>
  </si>
  <si>
    <r>
      <t>s</t>
    </r>
    <r>
      <rPr>
        <vertAlign val="subscript"/>
        <sz val="11"/>
        <rFont val="Arial"/>
        <family val="2"/>
      </rPr>
      <t>w</t>
    </r>
    <r>
      <rPr>
        <sz val="11"/>
        <rFont val="Arial"/>
        <family val="2"/>
      </rPr>
      <t>-Max:</t>
    </r>
  </si>
  <si>
    <r>
      <t>Messlänge L</t>
    </r>
    <r>
      <rPr>
        <sz val="8"/>
        <rFont val="Arial"/>
        <family val="2"/>
      </rPr>
      <t>o</t>
    </r>
    <r>
      <rPr>
        <sz val="11"/>
        <rFont val="Arial"/>
        <family val="2"/>
      </rPr>
      <t>:</t>
    </r>
  </si>
  <si>
    <t>Geschw.</t>
  </si>
  <si>
    <t>r</t>
  </si>
  <si>
    <r>
      <t>r</t>
    </r>
    <r>
      <rPr>
        <sz val="8"/>
        <rFont val="Arial"/>
        <family val="2"/>
      </rPr>
      <t>Ag</t>
    </r>
    <r>
      <rPr>
        <sz val="11"/>
        <rFont val="Arial"/>
        <family val="2"/>
      </rPr>
      <t>:</t>
    </r>
  </si>
  <si>
    <r>
      <t>r</t>
    </r>
    <r>
      <rPr>
        <sz val="8"/>
        <rFont val="Arial"/>
        <family val="2"/>
      </rPr>
      <t>20</t>
    </r>
    <r>
      <rPr>
        <sz val="11"/>
        <rFont val="Arial"/>
        <family val="2"/>
      </rPr>
      <t>:</t>
    </r>
  </si>
  <si>
    <r>
      <t>s</t>
    </r>
    <r>
      <rPr>
        <vertAlign val="subscript"/>
        <sz val="11"/>
        <rFont val="Arial"/>
        <family val="2"/>
      </rPr>
      <t>w</t>
    </r>
    <r>
      <rPr>
        <sz val="11"/>
        <rFont val="Arial"/>
        <family val="2"/>
      </rPr>
      <t>-Rm:</t>
    </r>
  </si>
  <si>
    <r>
      <t>e</t>
    </r>
    <r>
      <rPr>
        <vertAlign val="subscript"/>
        <sz val="11"/>
        <rFont val="Arial"/>
        <family val="2"/>
      </rPr>
      <t>w</t>
    </r>
    <r>
      <rPr>
        <sz val="11"/>
        <rFont val="Arial"/>
        <family val="2"/>
      </rPr>
      <t>-Rm:</t>
    </r>
  </si>
  <si>
    <r>
      <t>r</t>
    </r>
    <r>
      <rPr>
        <sz val="8"/>
        <rFont val="Arial"/>
        <family val="2"/>
      </rPr>
      <t>5</t>
    </r>
    <r>
      <rPr>
        <sz val="11"/>
        <rFont val="Arial"/>
        <family val="2"/>
      </rPr>
      <t>:</t>
    </r>
  </si>
  <si>
    <r>
      <t>r</t>
    </r>
    <r>
      <rPr>
        <sz val="8"/>
        <rFont val="Arial"/>
        <family val="2"/>
      </rPr>
      <t>10</t>
    </r>
    <r>
      <rPr>
        <sz val="11"/>
        <rFont val="Arial"/>
        <family val="2"/>
      </rPr>
      <t>:</t>
    </r>
  </si>
  <si>
    <r>
      <t>r</t>
    </r>
    <r>
      <rPr>
        <sz val="8"/>
        <rFont val="Arial"/>
        <family val="2"/>
      </rPr>
      <t>15</t>
    </r>
    <r>
      <rPr>
        <sz val="11"/>
        <rFont val="Arial"/>
        <family val="2"/>
      </rPr>
      <t>:</t>
    </r>
  </si>
  <si>
    <t>Su=</t>
  </si>
  <si>
    <t>B</t>
  </si>
  <si>
    <r>
      <rPr>
        <b/>
        <sz val="10"/>
        <rFont val="Symbol"/>
        <family val="1"/>
        <charset val="2"/>
      </rPr>
      <t>D</t>
    </r>
    <r>
      <rPr>
        <b/>
        <sz val="10"/>
        <rFont val="Arial"/>
        <family val="2"/>
      </rPr>
      <t>B</t>
    </r>
  </si>
  <si>
    <r>
      <t>D</t>
    </r>
    <r>
      <rPr>
        <b/>
        <sz val="10"/>
        <rFont val="Arial"/>
        <family val="2"/>
      </rPr>
      <t>L</t>
    </r>
  </si>
  <si>
    <r>
      <t>e</t>
    </r>
    <r>
      <rPr>
        <b/>
        <sz val="10"/>
        <rFont val="Arial"/>
        <family val="2"/>
      </rPr>
      <t>-plast</t>
    </r>
  </si>
  <si>
    <r>
      <t>s</t>
    </r>
    <r>
      <rPr>
        <b/>
        <vertAlign val="subscript"/>
        <sz val="14"/>
        <rFont val="Arial"/>
        <family val="2"/>
      </rPr>
      <t>w</t>
    </r>
    <r>
      <rPr>
        <b/>
        <sz val="9"/>
        <rFont val="Arial"/>
        <family val="2"/>
      </rPr>
      <t xml:space="preserve"> (</t>
    </r>
    <r>
      <rPr>
        <b/>
        <sz val="9"/>
        <rFont val="Symbol"/>
        <family val="1"/>
        <charset val="2"/>
      </rPr>
      <t>D</t>
    </r>
    <r>
      <rPr>
        <b/>
        <sz val="9"/>
        <rFont val="Arial"/>
        <family val="2"/>
      </rPr>
      <t>L)</t>
    </r>
  </si>
  <si>
    <r>
      <t>e</t>
    </r>
    <r>
      <rPr>
        <b/>
        <vertAlign val="subscript"/>
        <sz val="14"/>
        <rFont val="Arial"/>
        <family val="2"/>
      </rPr>
      <t>w</t>
    </r>
    <r>
      <rPr>
        <b/>
        <sz val="9"/>
        <rFont val="Arial"/>
        <family val="2"/>
      </rPr>
      <t xml:space="preserve"> (</t>
    </r>
    <r>
      <rPr>
        <b/>
        <sz val="9"/>
        <rFont val="Symbol"/>
        <family val="1"/>
        <charset val="2"/>
      </rPr>
      <t>D</t>
    </r>
    <r>
      <rPr>
        <b/>
        <sz val="9"/>
        <rFont val="Arial"/>
        <family val="2"/>
      </rPr>
      <t>L)</t>
    </r>
  </si>
  <si>
    <r>
      <t>s-</t>
    </r>
    <r>
      <rPr>
        <b/>
        <sz val="10"/>
        <rFont val="Arial"/>
        <family val="2"/>
      </rPr>
      <t>technisch</t>
    </r>
  </si>
  <si>
    <r>
      <t>e</t>
    </r>
    <r>
      <rPr>
        <b/>
        <sz val="10"/>
        <rFont val="Arial"/>
        <family val="2"/>
      </rPr>
      <t>-technisch</t>
    </r>
  </si>
  <si>
    <r>
      <t>e</t>
    </r>
    <r>
      <rPr>
        <b/>
        <sz val="10"/>
        <rFont val="Arial"/>
        <family val="2"/>
      </rPr>
      <t>-Breite</t>
    </r>
  </si>
  <si>
    <r>
      <t>e</t>
    </r>
    <r>
      <rPr>
        <b/>
        <sz val="10"/>
        <rFont val="Arial"/>
        <family val="2"/>
      </rPr>
      <t>-wBreite</t>
    </r>
  </si>
  <si>
    <r>
      <t>r</t>
    </r>
    <r>
      <rPr>
        <vertAlign val="subscript"/>
        <sz val="11"/>
        <rFont val="Arial"/>
        <family val="2"/>
      </rPr>
      <t>inkrementell</t>
    </r>
  </si>
  <si>
    <r>
      <t>Zugfestigkeit R</t>
    </r>
    <r>
      <rPr>
        <sz val="8"/>
        <rFont val="Arial"/>
        <family val="2"/>
      </rPr>
      <t>m</t>
    </r>
    <r>
      <rPr>
        <sz val="11"/>
        <rFont val="Arial"/>
        <family val="2"/>
      </rPr>
      <t>:</t>
    </r>
  </si>
  <si>
    <r>
      <t>E</t>
    </r>
    <r>
      <rPr>
        <vertAlign val="subscript"/>
        <sz val="12"/>
        <rFont val="Arial"/>
        <family val="2"/>
      </rPr>
      <t>Modul</t>
    </r>
    <r>
      <rPr>
        <sz val="12"/>
        <rFont val="Arial"/>
        <family val="2"/>
      </rPr>
      <t>:</t>
    </r>
  </si>
  <si>
    <r>
      <t>D</t>
    </r>
    <r>
      <rPr>
        <sz val="13"/>
        <rFont val="Arial"/>
        <family val="2"/>
      </rPr>
      <t>L</t>
    </r>
    <r>
      <rPr>
        <vertAlign val="subscript"/>
        <sz val="13"/>
        <rFont val="Arial"/>
        <family val="2"/>
      </rPr>
      <t>Vorlast</t>
    </r>
  </si>
  <si>
    <t>Fz 10x20</t>
  </si>
  <si>
    <r>
      <t>Bruchdehnung A</t>
    </r>
    <r>
      <rPr>
        <sz val="8"/>
        <rFont val="Arial"/>
        <family val="2"/>
      </rPr>
      <t>20mm</t>
    </r>
    <r>
      <rPr>
        <sz val="11"/>
        <rFont val="Arial"/>
        <family val="2"/>
      </rPr>
      <t>:</t>
    </r>
  </si>
  <si>
    <r>
      <t>Dehngrenze R</t>
    </r>
    <r>
      <rPr>
        <sz val="8"/>
        <rFont val="Arial"/>
        <family val="2"/>
      </rPr>
      <t>eL</t>
    </r>
    <r>
      <rPr>
        <sz val="11"/>
        <rFont val="Arial"/>
        <family val="2"/>
      </rPr>
      <t>:</t>
    </r>
  </si>
  <si>
    <t>Automatische E-Modulberechnung</t>
  </si>
  <si>
    <r>
      <rPr>
        <sz val="12"/>
        <rFont val="Symbol"/>
        <family val="1"/>
        <charset val="2"/>
      </rPr>
      <t>s</t>
    </r>
    <r>
      <rPr>
        <vertAlign val="subscript"/>
        <sz val="12"/>
        <rFont val="Arial"/>
        <family val="2"/>
      </rPr>
      <t>1</t>
    </r>
    <r>
      <rPr>
        <sz val="12"/>
        <rFont val="Arial"/>
        <family val="2"/>
      </rPr>
      <t>:</t>
    </r>
  </si>
  <si>
    <r>
      <rPr>
        <sz val="12"/>
        <rFont val="Symbol"/>
        <family val="1"/>
        <charset val="2"/>
      </rPr>
      <t>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:</t>
    </r>
  </si>
  <si>
    <t>Projekt_1</t>
  </si>
  <si>
    <t>Werkstoff_1</t>
  </si>
  <si>
    <t>AH-123</t>
  </si>
  <si>
    <t>M_1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</si>
</sst>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0.000"/>
    <numFmt numFmtId="165" formatCode="0.0"/>
    <numFmt numFmtId="166" formatCode="0.000E+00"/>
    <numFmt numFmtId="167" formatCode="0.0000"/>
    <numFmt numFmtId="168" formatCode="0\ &quot;MPa&quot;"/>
    <numFmt numFmtId="169" formatCode="0.00\ &quot;kN&quot;"/>
    <numFmt numFmtId="170" formatCode="0.00\ &quot;mm&quot;"/>
    <numFmt numFmtId="171" formatCode="0.00\ &quot;mm²&quot;"/>
    <numFmt numFmtId="172" formatCode="0.0\ &quot;%&quot;"/>
    <numFmt numFmtId="173" formatCode="0.00\ &quot;%&quot;"/>
    <numFmt numFmtId="174" formatCode="0.000\ &quot;kN&quot;"/>
    <numFmt numFmtId="175" formatCode="0.000\ &quot;mm&quot;"/>
    <numFmt numFmtId="176" formatCode="0.000\ &quot;mm²&quot;"/>
    <numFmt numFmtId="177" formatCode="0.0\ &quot;mm&quot;"/>
    <numFmt numFmtId="178" formatCode="0\ &quot;°C&quot;"/>
    <numFmt numFmtId="179" formatCode="0.000\ &quot;mm/s&quot;"/>
    <numFmt numFmtId="180" formatCode="0.00000"/>
    <numFmt numFmtId="181" formatCode="0.00\ &quot;MPa/s&quot;"/>
    <numFmt numFmtId="182" formatCode="&quot;r&quot;0&quot;:&quot;"/>
  </numFmts>
  <fonts count="33">
    <font>
      <sz val="10"/>
      <name val="Arial"/>
    </font>
    <font>
      <sz val="10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u/>
      <sz val="11"/>
      <name val="Arial"/>
      <family val="2"/>
    </font>
    <font>
      <b/>
      <sz val="10"/>
      <name val="Arial"/>
      <family val="2"/>
    </font>
    <font>
      <sz val="16"/>
      <name val="Arial"/>
      <family val="2"/>
    </font>
    <font>
      <sz val="9"/>
      <name val="Arial"/>
      <family val="2"/>
    </font>
    <font>
      <b/>
      <u/>
      <sz val="11"/>
      <name val="Frutiger 45 Light"/>
      <family val="2"/>
    </font>
    <font>
      <b/>
      <sz val="24"/>
      <name val="Arial"/>
      <family val="2"/>
    </font>
    <font>
      <b/>
      <vertAlign val="subscript"/>
      <sz val="9"/>
      <name val="Arial"/>
      <family val="2"/>
    </font>
    <font>
      <sz val="10"/>
      <name val="Verdana"/>
      <family val="2"/>
    </font>
    <font>
      <vertAlign val="subscript"/>
      <sz val="11"/>
      <name val="Arial"/>
      <family val="2"/>
    </font>
    <font>
      <vertAlign val="subscript"/>
      <sz val="16"/>
      <name val="Arial"/>
      <family val="2"/>
    </font>
    <font>
      <sz val="11"/>
      <name val="Symbol"/>
      <family val="1"/>
      <charset val="2"/>
    </font>
    <font>
      <sz val="9"/>
      <name val="Arial"/>
      <family val="2"/>
    </font>
    <font>
      <sz val="12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10"/>
      <name val="Symbol"/>
      <family val="1"/>
      <charset val="2"/>
    </font>
    <font>
      <b/>
      <sz val="11"/>
      <name val="Arial"/>
      <family val="2"/>
    </font>
    <font>
      <b/>
      <vertAlign val="subscript"/>
      <sz val="14"/>
      <name val="Arial"/>
      <family val="2"/>
    </font>
    <font>
      <b/>
      <sz val="9"/>
      <name val="Symbol"/>
      <family val="1"/>
      <charset val="2"/>
    </font>
    <font>
      <vertAlign val="subscript"/>
      <sz val="12"/>
      <name val="Arial"/>
      <family val="2"/>
    </font>
    <font>
      <sz val="13"/>
      <name val="Symbol"/>
      <family val="1"/>
      <charset val="2"/>
    </font>
    <font>
      <sz val="13"/>
      <name val="Arial"/>
      <family val="2"/>
    </font>
    <font>
      <vertAlign val="subscript"/>
      <sz val="13"/>
      <name val="Arial"/>
      <family val="2"/>
    </font>
    <font>
      <sz val="12"/>
      <name val="Symbo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247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0" xfId="0" applyAlignment="1">
      <alignment vertical="center"/>
    </xf>
    <xf numFmtId="166" fontId="2" fillId="2" borderId="9" xfId="0" applyNumberFormat="1" applyFont="1" applyFill="1" applyBorder="1" applyAlignment="1">
      <alignment horizontal="right"/>
    </xf>
    <xf numFmtId="166" fontId="2" fillId="2" borderId="10" xfId="0" applyNumberFormat="1" applyFont="1" applyFill="1" applyBorder="1" applyAlignment="1">
      <alignment horizontal="right"/>
    </xf>
    <xf numFmtId="171" fontId="2" fillId="2" borderId="11" xfId="0" applyNumberFormat="1" applyFont="1" applyFill="1" applyBorder="1" applyAlignment="1">
      <alignment horizontal="center"/>
    </xf>
    <xf numFmtId="173" fontId="2" fillId="2" borderId="12" xfId="0" applyNumberFormat="1" applyFont="1" applyFill="1" applyBorder="1" applyAlignment="1">
      <alignment horizontal="center"/>
    </xf>
    <xf numFmtId="173" fontId="2" fillId="2" borderId="11" xfId="0" applyNumberFormat="1" applyFont="1" applyFill="1" applyBorder="1" applyAlignment="1">
      <alignment horizontal="center"/>
    </xf>
    <xf numFmtId="169" fontId="2" fillId="2" borderId="12" xfId="0" applyNumberFormat="1" applyFont="1" applyFill="1" applyBorder="1" applyAlignment="1">
      <alignment horizontal="center"/>
    </xf>
    <xf numFmtId="166" fontId="2" fillId="2" borderId="13" xfId="0" applyNumberFormat="1" applyFont="1" applyFill="1" applyBorder="1" applyAlignment="1">
      <alignment horizontal="right"/>
    </xf>
    <xf numFmtId="169" fontId="2" fillId="2" borderId="5" xfId="0" applyNumberFormat="1" applyFont="1" applyFill="1" applyBorder="1" applyAlignment="1">
      <alignment horizontal="center"/>
    </xf>
    <xf numFmtId="168" fontId="2" fillId="2" borderId="5" xfId="0" applyNumberFormat="1" applyFont="1" applyFill="1" applyBorder="1" applyAlignment="1">
      <alignment horizontal="center"/>
    </xf>
    <xf numFmtId="170" fontId="2" fillId="2" borderId="11" xfId="0" applyNumberFormat="1" applyFont="1" applyFill="1" applyBorder="1" applyAlignment="1">
      <alignment horizontal="center"/>
    </xf>
    <xf numFmtId="0" fontId="2" fillId="2" borderId="14" xfId="0" applyFont="1" applyFill="1" applyBorder="1"/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 vertical="center"/>
    </xf>
    <xf numFmtId="166" fontId="2" fillId="2" borderId="17" xfId="0" applyNumberFormat="1" applyFont="1" applyFill="1" applyBorder="1" applyAlignment="1">
      <alignment horizontal="center"/>
    </xf>
    <xf numFmtId="166" fontId="1" fillId="2" borderId="17" xfId="0" applyNumberFormat="1" applyFont="1" applyFill="1" applyBorder="1" applyAlignment="1">
      <alignment horizontal="center"/>
    </xf>
    <xf numFmtId="174" fontId="2" fillId="2" borderId="18" xfId="0" applyNumberFormat="1" applyFont="1" applyFill="1" applyBorder="1" applyAlignment="1">
      <alignment horizontal="center"/>
    </xf>
    <xf numFmtId="164" fontId="2" fillId="2" borderId="18" xfId="0" applyNumberFormat="1" applyFont="1" applyFill="1" applyBorder="1" applyAlignment="1">
      <alignment horizontal="center"/>
    </xf>
    <xf numFmtId="1" fontId="0" fillId="2" borderId="19" xfId="0" applyNumberFormat="1" applyFill="1" applyBorder="1" applyAlignment="1">
      <alignment horizontal="center"/>
    </xf>
    <xf numFmtId="166" fontId="20" fillId="2" borderId="17" xfId="0" applyNumberFormat="1" applyFont="1" applyFill="1" applyBorder="1" applyAlignment="1">
      <alignment horizontal="center"/>
    </xf>
    <xf numFmtId="0" fontId="0" fillId="2" borderId="13" xfId="0" applyFill="1" applyBorder="1"/>
    <xf numFmtId="0" fontId="0" fillId="2" borderId="0" xfId="0" applyFill="1"/>
    <xf numFmtId="0" fontId="0" fillId="2" borderId="5" xfId="0" applyFill="1" applyBorder="1"/>
    <xf numFmtId="0" fontId="0" fillId="2" borderId="10" xfId="0" applyFill="1" applyBorder="1"/>
    <xf numFmtId="0" fontId="0" fillId="2" borderId="14" xfId="0" applyFill="1" applyBorder="1"/>
    <xf numFmtId="0" fontId="0" fillId="2" borderId="11" xfId="0" applyFill="1" applyBorder="1"/>
    <xf numFmtId="0" fontId="0" fillId="2" borderId="20" xfId="0" applyFill="1" applyBorder="1"/>
    <xf numFmtId="0" fontId="0" fillId="2" borderId="12" xfId="0" applyFill="1" applyBorder="1"/>
    <xf numFmtId="0" fontId="0" fillId="2" borderId="18" xfId="0" applyFill="1" applyBorder="1"/>
    <xf numFmtId="0" fontId="0" fillId="2" borderId="21" xfId="0" applyFill="1" applyBorder="1" applyAlignment="1">
      <alignment horizontal="right"/>
    </xf>
    <xf numFmtId="168" fontId="0" fillId="2" borderId="18" xfId="0" applyNumberFormat="1" applyFill="1" applyBorder="1"/>
    <xf numFmtId="170" fontId="0" fillId="2" borderId="18" xfId="0" applyNumberFormat="1" applyFill="1" applyBorder="1"/>
    <xf numFmtId="175" fontId="2" fillId="2" borderId="12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166" fontId="0" fillId="0" borderId="0" xfId="0" applyNumberFormat="1" applyAlignment="1">
      <alignment horizontal="center"/>
    </xf>
    <xf numFmtId="0" fontId="16" fillId="0" borderId="0" xfId="0" applyFont="1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13" xfId="0" applyBorder="1" applyAlignment="1">
      <alignment horizontal="center"/>
    </xf>
    <xf numFmtId="164" fontId="0" fillId="0" borderId="0" xfId="0" applyNumberFormat="1" applyAlignment="1">
      <alignment horizontal="center"/>
    </xf>
    <xf numFmtId="0" fontId="4" fillId="2" borderId="21" xfId="0" applyFont="1" applyFill="1" applyBorder="1" applyAlignment="1" applyProtection="1">
      <alignment horizontal="right"/>
      <protection locked="0"/>
    </xf>
    <xf numFmtId="0" fontId="0" fillId="2" borderId="18" xfId="0" applyFill="1" applyBorder="1" applyProtection="1">
      <protection locked="0"/>
    </xf>
    <xf numFmtId="0" fontId="0" fillId="2" borderId="21" xfId="0" applyFill="1" applyBorder="1" applyProtection="1">
      <protection locked="0"/>
    </xf>
    <xf numFmtId="0" fontId="0" fillId="2" borderId="22" xfId="0" applyFill="1" applyBorder="1" applyProtection="1">
      <protection locked="0"/>
    </xf>
    <xf numFmtId="0" fontId="0" fillId="2" borderId="22" xfId="0" applyFill="1" applyBorder="1"/>
    <xf numFmtId="0" fontId="7" fillId="3" borderId="0" xfId="0" applyFont="1" applyFill="1"/>
    <xf numFmtId="0" fontId="6" fillId="3" borderId="0" xfId="0" applyFont="1" applyFill="1" applyAlignment="1">
      <alignment horizontal="left"/>
    </xf>
    <xf numFmtId="0" fontId="5" fillId="3" borderId="0" xfId="0" applyFont="1" applyFill="1" applyAlignment="1">
      <alignment horizontal="left"/>
    </xf>
    <xf numFmtId="0" fontId="7" fillId="3" borderId="23" xfId="0" applyFont="1" applyFill="1" applyBorder="1"/>
    <xf numFmtId="0" fontId="7" fillId="3" borderId="24" xfId="0" applyFont="1" applyFill="1" applyBorder="1"/>
    <xf numFmtId="0" fontId="7" fillId="3" borderId="25" xfId="0" applyFont="1" applyFill="1" applyBorder="1"/>
    <xf numFmtId="0" fontId="7" fillId="3" borderId="26" xfId="0" applyFont="1" applyFill="1" applyBorder="1"/>
    <xf numFmtId="0" fontId="7" fillId="3" borderId="27" xfId="0" applyFont="1" applyFill="1" applyBorder="1"/>
    <xf numFmtId="0" fontId="3" fillId="3" borderId="23" xfId="0" applyFont="1" applyFill="1" applyBorder="1"/>
    <xf numFmtId="0" fontId="3" fillId="3" borderId="0" xfId="0" applyFont="1" applyFill="1"/>
    <xf numFmtId="0" fontId="7" fillId="3" borderId="28" xfId="0" applyFont="1" applyFill="1" applyBorder="1"/>
    <xf numFmtId="0" fontId="3" fillId="3" borderId="29" xfId="0" applyFont="1" applyFill="1" applyBorder="1" applyAlignment="1">
      <alignment horizontal="left"/>
    </xf>
    <xf numFmtId="0" fontId="3" fillId="3" borderId="24" xfId="0" applyFont="1" applyFill="1" applyBorder="1"/>
    <xf numFmtId="0" fontId="3" fillId="3" borderId="25" xfId="0" applyFont="1" applyFill="1" applyBorder="1"/>
    <xf numFmtId="0" fontId="3" fillId="3" borderId="27" xfId="0" applyFont="1" applyFill="1" applyBorder="1"/>
    <xf numFmtId="0" fontId="9" fillId="3" borderId="0" xfId="0" applyFont="1" applyFill="1" applyAlignment="1">
      <alignment horizontal="left"/>
    </xf>
    <xf numFmtId="0" fontId="2" fillId="3" borderId="0" xfId="0" applyFont="1" applyFill="1"/>
    <xf numFmtId="0" fontId="3" fillId="3" borderId="28" xfId="0" applyFont="1" applyFill="1" applyBorder="1"/>
    <xf numFmtId="0" fontId="3" fillId="3" borderId="30" xfId="0" applyFont="1" applyFill="1" applyBorder="1"/>
    <xf numFmtId="0" fontId="3" fillId="3" borderId="31" xfId="0" applyFont="1" applyFill="1" applyBorder="1"/>
    <xf numFmtId="0" fontId="9" fillId="3" borderId="0" xfId="0" applyFont="1" applyFill="1"/>
    <xf numFmtId="164" fontId="2" fillId="3" borderId="0" xfId="0" applyNumberFormat="1" applyFont="1" applyFill="1" applyAlignment="1">
      <alignment horizontal="right"/>
    </xf>
    <xf numFmtId="0" fontId="7" fillId="3" borderId="30" xfId="0" applyFont="1" applyFill="1" applyBorder="1"/>
    <xf numFmtId="0" fontId="7" fillId="3" borderId="31" xfId="0" applyFont="1" applyFill="1" applyBorder="1"/>
    <xf numFmtId="0" fontId="13" fillId="3" borderId="0" xfId="0" applyFont="1" applyFill="1" applyAlignment="1">
      <alignment horizontal="left"/>
    </xf>
    <xf numFmtId="0" fontId="0" fillId="3" borderId="0" xfId="0" applyFill="1"/>
    <xf numFmtId="0" fontId="10" fillId="3" borderId="23" xfId="0" applyFont="1" applyFill="1" applyBorder="1"/>
    <xf numFmtId="0" fontId="3" fillId="3" borderId="0" xfId="0" applyFont="1" applyFill="1" applyAlignment="1">
      <alignment horizontal="left"/>
    </xf>
    <xf numFmtId="0" fontId="3" fillId="3" borderId="27" xfId="0" applyFont="1" applyFill="1" applyBorder="1" applyAlignment="1">
      <alignment horizontal="left"/>
    </xf>
    <xf numFmtId="0" fontId="7" fillId="3" borderId="29" xfId="0" applyFont="1" applyFill="1" applyBorder="1" applyAlignment="1">
      <alignment horizontal="left"/>
    </xf>
    <xf numFmtId="0" fontId="3" fillId="3" borderId="28" xfId="0" applyFont="1" applyFill="1" applyBorder="1" applyAlignment="1">
      <alignment horizontal="left"/>
    </xf>
    <xf numFmtId="0" fontId="9" fillId="3" borderId="25" xfId="0" applyFont="1" applyFill="1" applyBorder="1"/>
    <xf numFmtId="0" fontId="3" fillId="3" borderId="26" xfId="0" applyFont="1" applyFill="1" applyBorder="1"/>
    <xf numFmtId="175" fontId="2" fillId="3" borderId="0" xfId="0" applyNumberFormat="1" applyFont="1" applyFill="1"/>
    <xf numFmtId="176" fontId="2" fillId="3" borderId="0" xfId="0" applyNumberFormat="1" applyFont="1" applyFill="1"/>
    <xf numFmtId="176" fontId="2" fillId="3" borderId="28" xfId="0" applyNumberFormat="1" applyFont="1" applyFill="1" applyBorder="1"/>
    <xf numFmtId="0" fontId="0" fillId="3" borderId="25" xfId="0" applyFill="1" applyBorder="1"/>
    <xf numFmtId="172" fontId="3" fillId="3" borderId="0" xfId="0" applyNumberFormat="1" applyFont="1" applyFill="1"/>
    <xf numFmtId="0" fontId="7" fillId="3" borderId="0" xfId="0" applyFont="1" applyFill="1" applyAlignment="1">
      <alignment horizontal="right"/>
    </xf>
    <xf numFmtId="0" fontId="1" fillId="3" borderId="0" xfId="0" applyFont="1" applyFill="1"/>
    <xf numFmtId="0" fontId="12" fillId="3" borderId="29" xfId="0" applyFont="1" applyFill="1" applyBorder="1" applyAlignment="1">
      <alignment horizontal="left"/>
    </xf>
    <xf numFmtId="0" fontId="12" fillId="2" borderId="9" xfId="0" applyFont="1" applyFill="1" applyBorder="1" applyAlignment="1">
      <alignment horizontal="center"/>
    </xf>
    <xf numFmtId="0" fontId="12" fillId="2" borderId="12" xfId="0" applyFont="1" applyFill="1" applyBorder="1" applyAlignment="1">
      <alignment horizontal="center"/>
    </xf>
    <xf numFmtId="169" fontId="2" fillId="2" borderId="11" xfId="0" applyNumberFormat="1" applyFont="1" applyFill="1" applyBorder="1" applyAlignment="1">
      <alignment horizontal="center"/>
    </xf>
    <xf numFmtId="168" fontId="2" fillId="2" borderId="12" xfId="0" applyNumberFormat="1" applyFont="1" applyFill="1" applyBorder="1" applyAlignment="1">
      <alignment horizontal="center"/>
    </xf>
    <xf numFmtId="0" fontId="19" fillId="2" borderId="10" xfId="0" applyFont="1" applyFill="1" applyBorder="1" applyAlignment="1">
      <alignment horizontal="right"/>
    </xf>
    <xf numFmtId="168" fontId="2" fillId="2" borderId="11" xfId="0" applyNumberFormat="1" applyFont="1" applyFill="1" applyBorder="1" applyAlignment="1">
      <alignment horizontal="center"/>
    </xf>
    <xf numFmtId="0" fontId="19" fillId="2" borderId="9" xfId="0" applyFont="1" applyFill="1" applyBorder="1" applyAlignment="1">
      <alignment horizontal="right"/>
    </xf>
    <xf numFmtId="170" fontId="2" fillId="2" borderId="12" xfId="0" applyNumberFormat="1" applyFont="1" applyFill="1" applyBorder="1" applyAlignment="1">
      <alignment horizontal="center"/>
    </xf>
    <xf numFmtId="0" fontId="19" fillId="2" borderId="20" xfId="0" applyFont="1" applyFill="1" applyBorder="1" applyAlignment="1">
      <alignment horizontal="right"/>
    </xf>
    <xf numFmtId="0" fontId="19" fillId="2" borderId="14" xfId="0" applyFont="1" applyFill="1" applyBorder="1" applyAlignment="1">
      <alignment horizontal="right"/>
    </xf>
    <xf numFmtId="166" fontId="2" fillId="2" borderId="21" xfId="0" applyNumberFormat="1" applyFont="1" applyFill="1" applyBorder="1" applyAlignment="1">
      <alignment horizontal="right"/>
    </xf>
    <xf numFmtId="168" fontId="2" fillId="2" borderId="18" xfId="0" applyNumberFormat="1" applyFont="1" applyFill="1" applyBorder="1" applyAlignment="1">
      <alignment horizontal="center"/>
    </xf>
    <xf numFmtId="0" fontId="2" fillId="2" borderId="5" xfId="0" applyFont="1" applyFill="1" applyBorder="1"/>
    <xf numFmtId="164" fontId="2" fillId="2" borderId="12" xfId="0" applyNumberFormat="1" applyFont="1" applyFill="1" applyBorder="1" applyAlignment="1">
      <alignment horizontal="center"/>
    </xf>
    <xf numFmtId="164" fontId="2" fillId="2" borderId="11" xfId="0" applyNumberFormat="1" applyFont="1" applyFill="1" applyBorder="1" applyAlignment="1">
      <alignment horizontal="center"/>
    </xf>
    <xf numFmtId="165" fontId="3" fillId="3" borderId="0" xfId="0" applyNumberFormat="1" applyFont="1" applyFill="1" applyAlignment="1">
      <alignment horizontal="right"/>
    </xf>
    <xf numFmtId="174" fontId="2" fillId="3" borderId="0" xfId="0" applyNumberFormat="1" applyFont="1" applyFill="1" applyAlignment="1">
      <alignment horizontal="right"/>
    </xf>
    <xf numFmtId="0" fontId="10" fillId="3" borderId="0" xfId="0" applyFont="1" applyFill="1" applyAlignment="1">
      <alignment horizontal="center"/>
    </xf>
    <xf numFmtId="1" fontId="3" fillId="3" borderId="0" xfId="0" applyNumberFormat="1" applyFont="1" applyFill="1" applyAlignment="1">
      <alignment horizontal="right"/>
    </xf>
    <xf numFmtId="0" fontId="7" fillId="3" borderId="29" xfId="0" applyFont="1" applyFill="1" applyBorder="1" applyAlignment="1">
      <alignment horizontal="center"/>
    </xf>
    <xf numFmtId="180" fontId="12" fillId="2" borderId="12" xfId="0" applyNumberFormat="1" applyFont="1" applyFill="1" applyBorder="1" applyAlignment="1">
      <alignment horizontal="center"/>
    </xf>
    <xf numFmtId="0" fontId="12" fillId="2" borderId="10" xfId="0" applyFont="1" applyFill="1" applyBorder="1" applyAlignment="1">
      <alignment horizontal="center"/>
    </xf>
    <xf numFmtId="0" fontId="12" fillId="2" borderId="11" xfId="0" applyFont="1" applyFill="1" applyBorder="1" applyAlignment="1">
      <alignment horizontal="center"/>
    </xf>
    <xf numFmtId="164" fontId="0" fillId="2" borderId="13" xfId="0" applyNumberForma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2" borderId="10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168" fontId="10" fillId="2" borderId="18" xfId="0" applyNumberFormat="1" applyFont="1" applyFill="1" applyBorder="1"/>
    <xf numFmtId="0" fontId="10" fillId="3" borderId="0" xfId="0" applyFont="1" applyFill="1" applyAlignment="1">
      <alignment horizontal="left"/>
    </xf>
    <xf numFmtId="175" fontId="2" fillId="3" borderId="0" xfId="0" applyNumberFormat="1" applyFont="1" applyFill="1" applyAlignment="1">
      <alignment horizontal="right"/>
    </xf>
    <xf numFmtId="166" fontId="19" fillId="2" borderId="10" xfId="0" applyNumberFormat="1" applyFont="1" applyFill="1" applyBorder="1" applyAlignment="1">
      <alignment horizontal="right"/>
    </xf>
    <xf numFmtId="181" fontId="0" fillId="2" borderId="0" xfId="0" applyNumberFormat="1" applyFill="1"/>
    <xf numFmtId="166" fontId="19" fillId="2" borderId="9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center"/>
    </xf>
    <xf numFmtId="0" fontId="24" fillId="2" borderId="6" xfId="0" applyFont="1" applyFill="1" applyBorder="1" applyAlignment="1">
      <alignment horizontal="center"/>
    </xf>
    <xf numFmtId="0" fontId="23" fillId="2" borderId="6" xfId="0" applyFont="1" applyFill="1" applyBorder="1" applyAlignment="1">
      <alignment horizontal="center"/>
    </xf>
    <xf numFmtId="0" fontId="10" fillId="2" borderId="6" xfId="0" applyFont="1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164" fontId="2" fillId="2" borderId="11" xfId="0" applyNumberFormat="1" applyFont="1" applyFill="1" applyBorder="1" applyAlignment="1">
      <alignment horizontal="right"/>
    </xf>
    <xf numFmtId="0" fontId="7" fillId="3" borderId="23" xfId="0" applyFont="1" applyFill="1" applyBorder="1" applyAlignment="1">
      <alignment horizontal="right"/>
    </xf>
    <xf numFmtId="182" fontId="2" fillId="2" borderId="13" xfId="0" applyNumberFormat="1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182" fontId="2" fillId="2" borderId="10" xfId="0" applyNumberFormat="1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10" fillId="2" borderId="21" xfId="0" applyFont="1" applyFill="1" applyBorder="1"/>
    <xf numFmtId="164" fontId="25" fillId="2" borderId="18" xfId="0" applyNumberFormat="1" applyFont="1" applyFill="1" applyBorder="1" applyAlignment="1">
      <alignment horizontal="center"/>
    </xf>
    <xf numFmtId="0" fontId="4" fillId="3" borderId="0" xfId="0" applyFont="1" applyFill="1" applyAlignment="1">
      <alignment horizontal="right"/>
    </xf>
    <xf numFmtId="0" fontId="25" fillId="3" borderId="0" xfId="0" applyFont="1" applyFill="1"/>
    <xf numFmtId="164" fontId="0" fillId="0" borderId="20" xfId="0" applyNumberFormat="1" applyBorder="1" applyAlignment="1">
      <alignment horizontal="center"/>
    </xf>
    <xf numFmtId="0" fontId="23" fillId="2" borderId="7" xfId="0" applyFont="1" applyFill="1" applyBorder="1" applyAlignment="1">
      <alignment horizontal="center" vertical="center"/>
    </xf>
    <xf numFmtId="0" fontId="23" fillId="2" borderId="6" xfId="0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 vertical="center"/>
    </xf>
    <xf numFmtId="164" fontId="0" fillId="0" borderId="9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80" fontId="0" fillId="0" borderId="0" xfId="0" applyNumberFormat="1" applyAlignment="1">
      <alignment horizontal="center"/>
    </xf>
    <xf numFmtId="167" fontId="0" fillId="0" borderId="20" xfId="0" applyNumberFormat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0" fillId="2" borderId="15" xfId="0" applyFont="1" applyFill="1" applyBorder="1" applyAlignment="1">
      <alignment horizontal="center"/>
    </xf>
    <xf numFmtId="0" fontId="10" fillId="2" borderId="1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10" fillId="2" borderId="7" xfId="0" applyFont="1" applyFill="1" applyBorder="1" applyAlignment="1">
      <alignment horizontal="center"/>
    </xf>
    <xf numFmtId="0" fontId="24" fillId="2" borderId="19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24" fillId="2" borderId="7" xfId="0" applyFont="1" applyFill="1" applyBorder="1" applyAlignment="1">
      <alignment horizontal="center"/>
    </xf>
    <xf numFmtId="0" fontId="24" fillId="2" borderId="8" xfId="0" applyFont="1" applyFill="1" applyBorder="1" applyAlignment="1">
      <alignment horizontal="center"/>
    </xf>
    <xf numFmtId="0" fontId="24" fillId="2" borderId="28" xfId="0" applyFont="1" applyFill="1" applyBorder="1" applyAlignment="1">
      <alignment horizontal="center"/>
    </xf>
    <xf numFmtId="0" fontId="10" fillId="2" borderId="7" xfId="0" applyFont="1" applyFill="1" applyBorder="1" applyAlignment="1">
      <alignment horizontal="center" vertical="center"/>
    </xf>
    <xf numFmtId="0" fontId="10" fillId="2" borderId="19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10" fillId="2" borderId="28" xfId="0" applyFont="1" applyFill="1" applyBorder="1" applyAlignment="1">
      <alignment horizontal="center" vertical="center"/>
    </xf>
    <xf numFmtId="1" fontId="2" fillId="2" borderId="11" xfId="0" applyNumberFormat="1" applyFont="1" applyFill="1" applyBorder="1" applyAlignment="1">
      <alignment horizontal="right"/>
    </xf>
    <xf numFmtId="180" fontId="2" fillId="2" borderId="11" xfId="0" applyNumberFormat="1" applyFont="1" applyFill="1" applyBorder="1" applyAlignment="1">
      <alignment horizontal="right"/>
    </xf>
    <xf numFmtId="1" fontId="2" fillId="2" borderId="17" xfId="0" applyNumberFormat="1" applyFont="1" applyFill="1" applyBorder="1" applyAlignment="1">
      <alignment horizontal="center"/>
    </xf>
    <xf numFmtId="180" fontId="2" fillId="2" borderId="18" xfId="0" applyNumberFormat="1" applyFont="1" applyFill="1" applyBorder="1" applyAlignment="1">
      <alignment horizontal="center"/>
    </xf>
    <xf numFmtId="168" fontId="21" fillId="2" borderId="17" xfId="0" applyNumberFormat="1" applyFont="1" applyFill="1" applyBorder="1" applyAlignment="1">
      <alignment horizontal="center"/>
    </xf>
    <xf numFmtId="1" fontId="2" fillId="2" borderId="18" xfId="0" applyNumberFormat="1" applyFont="1" applyFill="1" applyBorder="1" applyAlignment="1">
      <alignment horizontal="center"/>
    </xf>
    <xf numFmtId="168" fontId="21" fillId="2" borderId="16" xfId="0" applyNumberFormat="1" applyFont="1" applyFill="1" applyBorder="1" applyAlignment="1">
      <alignment horizontal="center"/>
    </xf>
    <xf numFmtId="166" fontId="21" fillId="2" borderId="21" xfId="0" applyNumberFormat="1" applyFont="1" applyFill="1" applyBorder="1" applyAlignment="1">
      <alignment horizontal="right"/>
    </xf>
    <xf numFmtId="168" fontId="21" fillId="2" borderId="5" xfId="0" applyNumberFormat="1" applyFont="1" applyFill="1" applyBorder="1" applyAlignment="1">
      <alignment horizontal="center"/>
    </xf>
    <xf numFmtId="181" fontId="0" fillId="2" borderId="17" xfId="0" applyNumberFormat="1" applyFill="1" applyBorder="1"/>
    <xf numFmtId="166" fontId="29" fillId="2" borderId="17" xfId="0" applyNumberFormat="1" applyFont="1" applyFill="1" applyBorder="1" applyAlignment="1">
      <alignment horizontal="center"/>
    </xf>
    <xf numFmtId="0" fontId="21" fillId="3" borderId="23" xfId="0" applyFont="1" applyFill="1" applyBorder="1"/>
    <xf numFmtId="0" fontId="21" fillId="3" borderId="0" xfId="0" applyFont="1" applyFill="1"/>
    <xf numFmtId="168" fontId="21" fillId="3" borderId="0" xfId="0" applyNumberFormat="1" applyFont="1" applyFill="1"/>
    <xf numFmtId="0" fontId="3" fillId="3" borderId="23" xfId="0" applyFont="1" applyFill="1" applyBorder="1" applyAlignment="1">
      <alignment horizontal="left"/>
    </xf>
    <xf numFmtId="14" fontId="3" fillId="3" borderId="23" xfId="0" applyNumberFormat="1" applyFont="1" applyFill="1" applyBorder="1" applyAlignment="1">
      <alignment horizontal="right"/>
    </xf>
    <xf numFmtId="178" fontId="3" fillId="3" borderId="29" xfId="0" applyNumberFormat="1" applyFont="1" applyFill="1" applyBorder="1" applyAlignment="1">
      <alignment horizontal="right"/>
    </xf>
    <xf numFmtId="0" fontId="1" fillId="3" borderId="29" xfId="0" applyFont="1" applyFill="1" applyBorder="1" applyAlignment="1">
      <alignment horizontal="right"/>
    </xf>
    <xf numFmtId="0" fontId="7" fillId="3" borderId="29" xfId="0" applyFont="1" applyFill="1" applyBorder="1" applyAlignment="1">
      <alignment horizontal="right"/>
    </xf>
    <xf numFmtId="0" fontId="12" fillId="3" borderId="29" xfId="0" applyFont="1" applyFill="1" applyBorder="1" applyAlignment="1">
      <alignment horizontal="left"/>
    </xf>
    <xf numFmtId="0" fontId="2" fillId="3" borderId="29" xfId="0" applyFont="1" applyFill="1" applyBorder="1" applyAlignment="1">
      <alignment horizontal="right"/>
    </xf>
    <xf numFmtId="0" fontId="3" fillId="3" borderId="29" xfId="0" applyFont="1" applyFill="1" applyBorder="1" applyAlignment="1">
      <alignment horizontal="right"/>
    </xf>
    <xf numFmtId="0" fontId="3" fillId="3" borderId="23" xfId="0" applyFont="1" applyFill="1" applyBorder="1" applyAlignment="1">
      <alignment horizontal="right"/>
    </xf>
    <xf numFmtId="175" fontId="2" fillId="3" borderId="0" xfId="0" quotePrefix="1" applyNumberFormat="1" applyFont="1" applyFill="1" applyAlignment="1">
      <alignment horizontal="right"/>
    </xf>
    <xf numFmtId="175" fontId="2" fillId="3" borderId="0" xfId="0" applyNumberFormat="1" applyFont="1" applyFill="1" applyAlignment="1">
      <alignment horizontal="right"/>
    </xf>
    <xf numFmtId="164" fontId="2" fillId="3" borderId="0" xfId="0" applyNumberFormat="1" applyFont="1" applyFill="1" applyAlignment="1">
      <alignment horizontal="right"/>
    </xf>
    <xf numFmtId="168" fontId="7" fillId="3" borderId="0" xfId="0" applyNumberFormat="1" applyFont="1" applyFill="1" applyAlignment="1">
      <alignment horizontal="right"/>
    </xf>
    <xf numFmtId="0" fontId="9" fillId="3" borderId="0" xfId="0" applyFont="1" applyFill="1" applyAlignment="1">
      <alignment horizontal="left"/>
    </xf>
    <xf numFmtId="0" fontId="2" fillId="3" borderId="25" xfId="0" applyFont="1" applyFill="1" applyBorder="1" applyAlignment="1">
      <alignment horizontal="left"/>
    </xf>
    <xf numFmtId="0" fontId="3" fillId="3" borderId="25" xfId="0" applyFont="1" applyFill="1" applyBorder="1" applyAlignment="1">
      <alignment horizontal="left"/>
    </xf>
    <xf numFmtId="0" fontId="2" fillId="3" borderId="25" xfId="0" applyFont="1" applyFill="1" applyBorder="1" applyAlignment="1">
      <alignment horizontal="right"/>
    </xf>
    <xf numFmtId="0" fontId="3" fillId="3" borderId="25" xfId="0" applyFont="1" applyFill="1" applyBorder="1" applyAlignment="1">
      <alignment horizontal="right"/>
    </xf>
    <xf numFmtId="179" fontId="7" fillId="3" borderId="29" xfId="0" applyNumberFormat="1" applyFont="1" applyFill="1" applyBorder="1" applyAlignment="1">
      <alignment horizontal="right"/>
    </xf>
    <xf numFmtId="0" fontId="3" fillId="3" borderId="29" xfId="0" applyFont="1" applyFill="1" applyBorder="1" applyAlignment="1">
      <alignment horizontal="left"/>
    </xf>
    <xf numFmtId="0" fontId="7" fillId="3" borderId="29" xfId="0" applyFont="1" applyFill="1" applyBorder="1"/>
    <xf numFmtId="0" fontId="2" fillId="3" borderId="23" xfId="0" applyFont="1" applyFill="1" applyBorder="1" applyAlignment="1">
      <alignment horizontal="right"/>
    </xf>
    <xf numFmtId="0" fontId="2" fillId="3" borderId="29" xfId="0" applyFont="1" applyFill="1" applyBorder="1" applyAlignment="1">
      <alignment horizontal="left"/>
    </xf>
    <xf numFmtId="0" fontId="11" fillId="2" borderId="21" xfId="0" applyFont="1" applyFill="1" applyBorder="1" applyAlignment="1">
      <alignment horizontal="center"/>
    </xf>
    <xf numFmtId="0" fontId="11" fillId="2" borderId="18" xfId="0" applyFont="1" applyFill="1" applyBorder="1" applyAlignment="1">
      <alignment horizontal="center"/>
    </xf>
    <xf numFmtId="0" fontId="5" fillId="2" borderId="21" xfId="0" applyFont="1" applyFill="1" applyBorder="1" applyAlignment="1">
      <alignment horizontal="center"/>
    </xf>
    <xf numFmtId="0" fontId="5" fillId="2" borderId="18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11" fillId="2" borderId="22" xfId="0" applyFont="1" applyFill="1" applyBorder="1" applyAlignment="1">
      <alignment horizontal="center"/>
    </xf>
    <xf numFmtId="0" fontId="5" fillId="2" borderId="22" xfId="0" applyFont="1" applyFill="1" applyBorder="1" applyAlignment="1">
      <alignment horizontal="center"/>
    </xf>
    <xf numFmtId="0" fontId="5" fillId="2" borderId="20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14" fillId="2" borderId="21" xfId="0" applyFont="1" applyFill="1" applyBorder="1" applyAlignment="1">
      <alignment horizontal="center"/>
    </xf>
    <xf numFmtId="0" fontId="14" fillId="2" borderId="22" xfId="0" applyFont="1" applyFill="1" applyBorder="1" applyAlignment="1">
      <alignment horizontal="center"/>
    </xf>
    <xf numFmtId="0" fontId="14" fillId="2" borderId="18" xfId="0" applyFont="1" applyFill="1" applyBorder="1" applyAlignment="1">
      <alignment horizontal="center"/>
    </xf>
    <xf numFmtId="0" fontId="12" fillId="2" borderId="9" xfId="0" applyFont="1" applyFill="1" applyBorder="1" applyAlignment="1">
      <alignment horizontal="center"/>
    </xf>
    <xf numFmtId="0" fontId="12" fillId="2" borderId="12" xfId="0" applyFont="1" applyFill="1" applyBorder="1" applyAlignment="1">
      <alignment horizontal="center"/>
    </xf>
    <xf numFmtId="0" fontId="22" fillId="2" borderId="13" xfId="0" applyFont="1" applyFill="1" applyBorder="1" applyAlignment="1">
      <alignment horizontal="center"/>
    </xf>
    <xf numFmtId="0" fontId="22" fillId="2" borderId="5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8" fillId="3" borderId="0" xfId="0" applyFont="1" applyFill="1" applyAlignment="1">
      <alignment horizontal="right"/>
    </xf>
    <xf numFmtId="0" fontId="3" fillId="3" borderId="0" xfId="0" applyFont="1" applyFill="1" applyAlignment="1">
      <alignment horizontal="right"/>
    </xf>
    <xf numFmtId="164" fontId="7" fillId="3" borderId="0" xfId="0" applyNumberFormat="1" applyFont="1" applyFill="1" applyAlignment="1">
      <alignment horizontal="right"/>
    </xf>
    <xf numFmtId="164" fontId="7" fillId="3" borderId="23" xfId="0" applyNumberFormat="1" applyFont="1" applyFill="1" applyBorder="1" applyAlignment="1">
      <alignment horizontal="right"/>
    </xf>
    <xf numFmtId="1" fontId="8" fillId="3" borderId="23" xfId="0" applyNumberFormat="1" applyFont="1" applyFill="1" applyBorder="1" applyAlignment="1">
      <alignment horizontal="right"/>
    </xf>
    <xf numFmtId="0" fontId="7" fillId="3" borderId="23" xfId="0" applyFont="1" applyFill="1" applyBorder="1" applyAlignment="1">
      <alignment horizontal="right"/>
    </xf>
    <xf numFmtId="0" fontId="8" fillId="3" borderId="23" xfId="0" applyFont="1" applyFill="1" applyBorder="1" applyAlignment="1">
      <alignment horizontal="right"/>
    </xf>
    <xf numFmtId="0" fontId="3" fillId="3" borderId="29" xfId="0" applyFont="1" applyFill="1" applyBorder="1" applyAlignment="1">
      <alignment horizontal="center"/>
    </xf>
    <xf numFmtId="176" fontId="7" fillId="3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64" fontId="2" fillId="3" borderId="0" xfId="0" applyNumberFormat="1" applyFont="1" applyFill="1" applyAlignment="1">
      <alignment horizontal="left"/>
    </xf>
    <xf numFmtId="164" fontId="2" fillId="3" borderId="28" xfId="0" applyNumberFormat="1" applyFont="1" applyFill="1" applyBorder="1" applyAlignment="1">
      <alignment horizontal="left"/>
    </xf>
    <xf numFmtId="0" fontId="3" fillId="3" borderId="29" xfId="0" applyFont="1" applyFill="1" applyBorder="1"/>
    <xf numFmtId="1" fontId="3" fillId="3" borderId="0" xfId="0" applyNumberFormat="1" applyFont="1" applyFill="1" applyAlignment="1">
      <alignment horizontal="right"/>
    </xf>
    <xf numFmtId="164" fontId="3" fillId="3" borderId="0" xfId="0" applyNumberFormat="1" applyFont="1" applyFill="1" applyAlignment="1">
      <alignment horizontal="right"/>
    </xf>
    <xf numFmtId="165" fontId="3" fillId="3" borderId="0" xfId="0" applyNumberFormat="1" applyFont="1" applyFill="1" applyAlignment="1">
      <alignment horizontal="right"/>
    </xf>
    <xf numFmtId="0" fontId="3" fillId="3" borderId="0" xfId="0" applyFont="1" applyFill="1" applyAlignment="1">
      <alignment horizontal="left"/>
    </xf>
    <xf numFmtId="174" fontId="2" fillId="3" borderId="0" xfId="0" applyNumberFormat="1" applyFont="1" applyFill="1" applyAlignment="1">
      <alignment horizontal="right"/>
    </xf>
    <xf numFmtId="0" fontId="10" fillId="3" borderId="0" xfId="0" applyFont="1" applyFill="1" applyAlignment="1">
      <alignment horizontal="center"/>
    </xf>
    <xf numFmtId="177" fontId="7" fillId="3" borderId="0" xfId="0" applyNumberFormat="1" applyFont="1" applyFill="1" applyAlignment="1">
      <alignment horizontal="left"/>
    </xf>
  </cellXfs>
  <cellStyles count="1">
    <cellStyle name="Normal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3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29746849920555E-2"/>
          <c:y val="0.11570259606489305"/>
          <c:w val="0.86666819163181241"/>
          <c:h val="0.7376040499136932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Messdaten!$P$15:$P$474</c:f>
              <c:numCache>
                <c:formatCode>0.000</c:formatCode>
                <c:ptCount val="460"/>
                <c:pt idx="0">
                  <c:v>1.0424728487886383E-3</c:v>
                </c:pt>
                <c:pt idx="1">
                  <c:v>1.0424728487886383E-3</c:v>
                </c:pt>
                <c:pt idx="2">
                  <c:v>1.0424728487886383E-3</c:v>
                </c:pt>
                <c:pt idx="3">
                  <c:v>1.0424728487886383E-3</c:v>
                </c:pt>
                <c:pt idx="4">
                  <c:v>1.0424728487886383E-3</c:v>
                </c:pt>
                <c:pt idx="5">
                  <c:v>1.0424728487886383E-3</c:v>
                </c:pt>
                <c:pt idx="6">
                  <c:v>1.0424728487886383E-3</c:v>
                </c:pt>
                <c:pt idx="7">
                  <c:v>1.0424728487886383E-3</c:v>
                </c:pt>
                <c:pt idx="8">
                  <c:v>1.0424728487886383E-3</c:v>
                </c:pt>
                <c:pt idx="9">
                  <c:v>1.0424728487886383E-3</c:v>
                </c:pt>
                <c:pt idx="10">
                  <c:v>1.0424728487886383E-3</c:v>
                </c:pt>
                <c:pt idx="11">
                  <c:v>1.0424728487886383E-3</c:v>
                </c:pt>
                <c:pt idx="12">
                  <c:v>1.0424728487886383E-3</c:v>
                </c:pt>
                <c:pt idx="13">
                  <c:v>1.0424728487886383E-3</c:v>
                </c:pt>
                <c:pt idx="14">
                  <c:v>1.0424728487886383E-3</c:v>
                </c:pt>
                <c:pt idx="15">
                  <c:v>1.0424728487886383E-3</c:v>
                </c:pt>
                <c:pt idx="16">
                  <c:v>1.0424728487886383E-3</c:v>
                </c:pt>
                <c:pt idx="17">
                  <c:v>1.0424728487886383E-3</c:v>
                </c:pt>
                <c:pt idx="18">
                  <c:v>1.0424728487886383E-3</c:v>
                </c:pt>
                <c:pt idx="19">
                  <c:v>1.0424728487886383E-3</c:v>
                </c:pt>
                <c:pt idx="20">
                  <c:v>1.0424728487886383E-3</c:v>
                </c:pt>
                <c:pt idx="21">
                  <c:v>1.0424728487886383E-3</c:v>
                </c:pt>
                <c:pt idx="22">
                  <c:v>1.0424728487886383E-3</c:v>
                </c:pt>
                <c:pt idx="23">
                  <c:v>1.0424728487886383E-3</c:v>
                </c:pt>
                <c:pt idx="24">
                  <c:v>1.0424728487886383E-3</c:v>
                </c:pt>
                <c:pt idx="25">
                  <c:v>1.0424728487886383E-3</c:v>
                </c:pt>
                <c:pt idx="26">
                  <c:v>1.0424728487886383E-3</c:v>
                </c:pt>
                <c:pt idx="27">
                  <c:v>1.0424728487886383E-3</c:v>
                </c:pt>
                <c:pt idx="28">
                  <c:v>1.0424728487886383E-3</c:v>
                </c:pt>
                <c:pt idx="29">
                  <c:v>1.0424728487886383E-3</c:v>
                </c:pt>
                <c:pt idx="30">
                  <c:v>1.0424728487886383E-3</c:v>
                </c:pt>
                <c:pt idx="31">
                  <c:v>1.0424728487886383E-3</c:v>
                </c:pt>
                <c:pt idx="32">
                  <c:v>1.0424728487886383E-3</c:v>
                </c:pt>
                <c:pt idx="33">
                  <c:v>1.0424728487886383E-3</c:v>
                </c:pt>
                <c:pt idx="34">
                  <c:v>1.0424728487886383E-3</c:v>
                </c:pt>
                <c:pt idx="35">
                  <c:v>1.0424728487886383E-3</c:v>
                </c:pt>
                <c:pt idx="36">
                  <c:v>1.0424728487886383E-3</c:v>
                </c:pt>
                <c:pt idx="37">
                  <c:v>1.0424728487886383E-3</c:v>
                </c:pt>
                <c:pt idx="38">
                  <c:v>1.0424728487886383E-3</c:v>
                </c:pt>
                <c:pt idx="39">
                  <c:v>1.0424728487886383E-3</c:v>
                </c:pt>
                <c:pt idx="40">
                  <c:v>1.0424728487886383E-3</c:v>
                </c:pt>
                <c:pt idx="41">
                  <c:v>1.0424728487886383E-3</c:v>
                </c:pt>
                <c:pt idx="42">
                  <c:v>1.0424728487886383E-3</c:v>
                </c:pt>
                <c:pt idx="43">
                  <c:v>1.0424728487886383E-3</c:v>
                </c:pt>
                <c:pt idx="44">
                  <c:v>1.0424728487886383E-3</c:v>
                </c:pt>
                <c:pt idx="45">
                  <c:v>1.0424728487886383E-3</c:v>
                </c:pt>
                <c:pt idx="46">
                  <c:v>1.0424728487886383E-3</c:v>
                </c:pt>
                <c:pt idx="47">
                  <c:v>1.0424728487886383E-3</c:v>
                </c:pt>
                <c:pt idx="48">
                  <c:v>1.0424728487886383E-3</c:v>
                </c:pt>
                <c:pt idx="49">
                  <c:v>1.0424728487886383E-3</c:v>
                </c:pt>
                <c:pt idx="50">
                  <c:v>1.0424728487886383E-3</c:v>
                </c:pt>
                <c:pt idx="51">
                  <c:v>1.0424728487886383E-3</c:v>
                </c:pt>
                <c:pt idx="52">
                  <c:v>1.0424728487886383E-3</c:v>
                </c:pt>
                <c:pt idx="53">
                  <c:v>1.0424728487886383E-3</c:v>
                </c:pt>
                <c:pt idx="54">
                  <c:v>1.0424728487886383E-3</c:v>
                </c:pt>
                <c:pt idx="55">
                  <c:v>1.0424728487886383E-3</c:v>
                </c:pt>
                <c:pt idx="56">
                  <c:v>1.0424728487886383E-3</c:v>
                </c:pt>
                <c:pt idx="57">
                  <c:v>1.0424728487886383E-3</c:v>
                </c:pt>
                <c:pt idx="58">
                  <c:v>1.0424728487886383E-3</c:v>
                </c:pt>
                <c:pt idx="59">
                  <c:v>1.0424728487886383E-3</c:v>
                </c:pt>
                <c:pt idx="60">
                  <c:v>1.0424728487886383E-3</c:v>
                </c:pt>
                <c:pt idx="61">
                  <c:v>1.0424728487886383E-3</c:v>
                </c:pt>
                <c:pt idx="62">
                  <c:v>1.0424728487886383E-3</c:v>
                </c:pt>
                <c:pt idx="63">
                  <c:v>1.0424728487886383E-3</c:v>
                </c:pt>
                <c:pt idx="64">
                  <c:v>1.0424728487886383E-3</c:v>
                </c:pt>
                <c:pt idx="65">
                  <c:v>1.0424728487886383E-3</c:v>
                </c:pt>
                <c:pt idx="66">
                  <c:v>1.0424728487886383E-3</c:v>
                </c:pt>
                <c:pt idx="67">
                  <c:v>1.0424728487886383E-3</c:v>
                </c:pt>
                <c:pt idx="68">
                  <c:v>1.0424728487886383E-3</c:v>
                </c:pt>
                <c:pt idx="69">
                  <c:v>1.0424728487886383E-3</c:v>
                </c:pt>
                <c:pt idx="70">
                  <c:v>1.0424728487886383E-3</c:v>
                </c:pt>
                <c:pt idx="71">
                  <c:v>1.0424728487886383E-3</c:v>
                </c:pt>
                <c:pt idx="72">
                  <c:v>1.0424728487886383E-3</c:v>
                </c:pt>
                <c:pt idx="73">
                  <c:v>1.0424728487886383E-3</c:v>
                </c:pt>
                <c:pt idx="74">
                  <c:v>1.0424728487886383E-3</c:v>
                </c:pt>
                <c:pt idx="75">
                  <c:v>1.0424728487886383E-3</c:v>
                </c:pt>
                <c:pt idx="76">
                  <c:v>1.0424728487886383E-3</c:v>
                </c:pt>
                <c:pt idx="77">
                  <c:v>1.0424728487886383E-3</c:v>
                </c:pt>
                <c:pt idx="78">
                  <c:v>1.0424728487886383E-3</c:v>
                </c:pt>
                <c:pt idx="79">
                  <c:v>1.0424728487886383E-3</c:v>
                </c:pt>
                <c:pt idx="80">
                  <c:v>1.0424728487886383E-3</c:v>
                </c:pt>
                <c:pt idx="81">
                  <c:v>1.0424728487886383E-3</c:v>
                </c:pt>
                <c:pt idx="82">
                  <c:v>1.0424728487886383E-3</c:v>
                </c:pt>
                <c:pt idx="83">
                  <c:v>1.0424728487886383E-3</c:v>
                </c:pt>
                <c:pt idx="84">
                  <c:v>1.0424728487886383E-3</c:v>
                </c:pt>
                <c:pt idx="85">
                  <c:v>1.0424728487886383E-3</c:v>
                </c:pt>
                <c:pt idx="86">
                  <c:v>1.0424728487886383E-3</c:v>
                </c:pt>
                <c:pt idx="87">
                  <c:v>1.0424728487886383E-3</c:v>
                </c:pt>
                <c:pt idx="88">
                  <c:v>1.0424728487886383E-3</c:v>
                </c:pt>
                <c:pt idx="89">
                  <c:v>1.0424728487886383E-3</c:v>
                </c:pt>
                <c:pt idx="90">
                  <c:v>1.0424728487886383E-3</c:v>
                </c:pt>
                <c:pt idx="91">
                  <c:v>1.0424728487886383E-3</c:v>
                </c:pt>
                <c:pt idx="92">
                  <c:v>1.0424728487886383E-3</c:v>
                </c:pt>
                <c:pt idx="93">
                  <c:v>1.0424728487886383E-3</c:v>
                </c:pt>
                <c:pt idx="94">
                  <c:v>1.0424728487886383E-3</c:v>
                </c:pt>
                <c:pt idx="95">
                  <c:v>1.0424728487886383E-3</c:v>
                </c:pt>
                <c:pt idx="96">
                  <c:v>1.0424728487886383E-3</c:v>
                </c:pt>
                <c:pt idx="97">
                  <c:v>1.0424728487886383E-3</c:v>
                </c:pt>
                <c:pt idx="98">
                  <c:v>1.0424728487886383E-3</c:v>
                </c:pt>
                <c:pt idx="99">
                  <c:v>1.0424728487886383E-3</c:v>
                </c:pt>
                <c:pt idx="100">
                  <c:v>1.0424728487886383E-3</c:v>
                </c:pt>
                <c:pt idx="101">
                  <c:v>1.0424728487886383E-3</c:v>
                </c:pt>
                <c:pt idx="102">
                  <c:v>1.0424728487886383E-3</c:v>
                </c:pt>
                <c:pt idx="103">
                  <c:v>1.0424728487886383E-3</c:v>
                </c:pt>
                <c:pt idx="104">
                  <c:v>1.0424728487886383E-3</c:v>
                </c:pt>
                <c:pt idx="105">
                  <c:v>1.0424728487886383E-3</c:v>
                </c:pt>
                <c:pt idx="106">
                  <c:v>1.0424728487886383E-3</c:v>
                </c:pt>
                <c:pt idx="107">
                  <c:v>1.0424728487886383E-3</c:v>
                </c:pt>
                <c:pt idx="108">
                  <c:v>1.0424728487886383E-3</c:v>
                </c:pt>
                <c:pt idx="109">
                  <c:v>1.0424728487886383E-3</c:v>
                </c:pt>
                <c:pt idx="110">
                  <c:v>1.0424728487886383E-3</c:v>
                </c:pt>
                <c:pt idx="111">
                  <c:v>1.0424728487886383E-3</c:v>
                </c:pt>
                <c:pt idx="112">
                  <c:v>1.0424728487886383E-3</c:v>
                </c:pt>
                <c:pt idx="113">
                  <c:v>1.0424728487886383E-3</c:v>
                </c:pt>
                <c:pt idx="114">
                  <c:v>1.0424728487886383E-3</c:v>
                </c:pt>
                <c:pt idx="115">
                  <c:v>1.0424728487886383E-3</c:v>
                </c:pt>
                <c:pt idx="116">
                  <c:v>1.0424728487886383E-3</c:v>
                </c:pt>
                <c:pt idx="117">
                  <c:v>1.0424728487886383E-3</c:v>
                </c:pt>
                <c:pt idx="118">
                  <c:v>1.0424728487886383E-3</c:v>
                </c:pt>
                <c:pt idx="119">
                  <c:v>1.0424728487886383E-3</c:v>
                </c:pt>
                <c:pt idx="120">
                  <c:v>1.0424728487886383E-3</c:v>
                </c:pt>
                <c:pt idx="121">
                  <c:v>1.0424728487886383E-3</c:v>
                </c:pt>
                <c:pt idx="122">
                  <c:v>1.0424728487886383E-3</c:v>
                </c:pt>
                <c:pt idx="123">
                  <c:v>1.0424728487886383E-3</c:v>
                </c:pt>
                <c:pt idx="124">
                  <c:v>1.0424728487886383E-3</c:v>
                </c:pt>
                <c:pt idx="125">
                  <c:v>1.0424728487886383E-3</c:v>
                </c:pt>
                <c:pt idx="126">
                  <c:v>1.0424728487886383E-3</c:v>
                </c:pt>
                <c:pt idx="127">
                  <c:v>1.0424728487886383E-3</c:v>
                </c:pt>
                <c:pt idx="128">
                  <c:v>1.0424728487886383E-3</c:v>
                </c:pt>
                <c:pt idx="129">
                  <c:v>1.0424728487886383E-3</c:v>
                </c:pt>
                <c:pt idx="130">
                  <c:v>1.0424728487886383E-3</c:v>
                </c:pt>
                <c:pt idx="131">
                  <c:v>1.0424728487886383E-3</c:v>
                </c:pt>
                <c:pt idx="132">
                  <c:v>1.0424728487886383E-3</c:v>
                </c:pt>
                <c:pt idx="133">
                  <c:v>1.0424728487886383E-3</c:v>
                </c:pt>
                <c:pt idx="134">
                  <c:v>1.0424728487886383E-3</c:v>
                </c:pt>
                <c:pt idx="135">
                  <c:v>1.0424728487886383E-3</c:v>
                </c:pt>
                <c:pt idx="136">
                  <c:v>1.0424728487886383E-3</c:v>
                </c:pt>
                <c:pt idx="137">
                  <c:v>1.0424728487886383E-3</c:v>
                </c:pt>
                <c:pt idx="138">
                  <c:v>1.0424728487886383E-3</c:v>
                </c:pt>
                <c:pt idx="139">
                  <c:v>1.0424728487886383E-3</c:v>
                </c:pt>
                <c:pt idx="140">
                  <c:v>1.0424728487886383E-3</c:v>
                </c:pt>
                <c:pt idx="141">
                  <c:v>1.0424728487886383E-3</c:v>
                </c:pt>
                <c:pt idx="142">
                  <c:v>1.0424728487886383E-3</c:v>
                </c:pt>
                <c:pt idx="143">
                  <c:v>1.0424728487886383E-3</c:v>
                </c:pt>
                <c:pt idx="144">
                  <c:v>1.0424728487886383E-3</c:v>
                </c:pt>
                <c:pt idx="145">
                  <c:v>1.0424728487886383E-3</c:v>
                </c:pt>
                <c:pt idx="146">
                  <c:v>1.0424728487886383E-3</c:v>
                </c:pt>
                <c:pt idx="147">
                  <c:v>1.0424728487886383E-3</c:v>
                </c:pt>
                <c:pt idx="148">
                  <c:v>1.0424728487886383E-3</c:v>
                </c:pt>
                <c:pt idx="149">
                  <c:v>1.0424728487886383E-3</c:v>
                </c:pt>
                <c:pt idx="150">
                  <c:v>1.0424728487886383E-3</c:v>
                </c:pt>
                <c:pt idx="151">
                  <c:v>1.0424728487886383E-3</c:v>
                </c:pt>
                <c:pt idx="152">
                  <c:v>1.0424728487886383E-3</c:v>
                </c:pt>
                <c:pt idx="153">
                  <c:v>1.0424728487886383E-3</c:v>
                </c:pt>
                <c:pt idx="154">
                  <c:v>1.0424728487886383E-3</c:v>
                </c:pt>
                <c:pt idx="155">
                  <c:v>1.0424728487886383E-3</c:v>
                </c:pt>
                <c:pt idx="156">
                  <c:v>1.0424728487886383E-3</c:v>
                </c:pt>
                <c:pt idx="157">
                  <c:v>1.0424728487886383E-3</c:v>
                </c:pt>
                <c:pt idx="158">
                  <c:v>1.0424728487886383E-3</c:v>
                </c:pt>
                <c:pt idx="159">
                  <c:v>1.0424728487886383E-3</c:v>
                </c:pt>
                <c:pt idx="160">
                  <c:v>1.0424728487886383E-3</c:v>
                </c:pt>
                <c:pt idx="161">
                  <c:v>1.0424728487886383E-3</c:v>
                </c:pt>
                <c:pt idx="162">
                  <c:v>1.0424728487886383E-3</c:v>
                </c:pt>
                <c:pt idx="163">
                  <c:v>1.0424728487886383E-3</c:v>
                </c:pt>
                <c:pt idx="164">
                  <c:v>1.0424728487886383E-3</c:v>
                </c:pt>
                <c:pt idx="165">
                  <c:v>1.0424728487886383E-3</c:v>
                </c:pt>
                <c:pt idx="166">
                  <c:v>1.0424728487886383E-3</c:v>
                </c:pt>
                <c:pt idx="167">
                  <c:v>1.0424728487886383E-3</c:v>
                </c:pt>
                <c:pt idx="168">
                  <c:v>1.0424728487886383E-3</c:v>
                </c:pt>
                <c:pt idx="169">
                  <c:v>1.0424728487886383E-3</c:v>
                </c:pt>
                <c:pt idx="170">
                  <c:v>1.0424728487886383E-3</c:v>
                </c:pt>
                <c:pt idx="171">
                  <c:v>1.0424728487886383E-3</c:v>
                </c:pt>
                <c:pt idx="172">
                  <c:v>1.0424728487886383E-3</c:v>
                </c:pt>
                <c:pt idx="173">
                  <c:v>1.0424728487886383E-3</c:v>
                </c:pt>
                <c:pt idx="174">
                  <c:v>1.0424728487886383E-3</c:v>
                </c:pt>
                <c:pt idx="175">
                  <c:v>1.0424728487886383E-3</c:v>
                </c:pt>
                <c:pt idx="176">
                  <c:v>1.0424728487886383E-3</c:v>
                </c:pt>
                <c:pt idx="177">
                  <c:v>1.0424728487886383E-3</c:v>
                </c:pt>
                <c:pt idx="178">
                  <c:v>1.0424728487886383E-3</c:v>
                </c:pt>
                <c:pt idx="179">
                  <c:v>1.0424728487886383E-3</c:v>
                </c:pt>
                <c:pt idx="180">
                  <c:v>1.0424728487886383E-3</c:v>
                </c:pt>
                <c:pt idx="181">
                  <c:v>1.0424728487886383E-3</c:v>
                </c:pt>
                <c:pt idx="182">
                  <c:v>1.0424728487886383E-3</c:v>
                </c:pt>
                <c:pt idx="183">
                  <c:v>1.0424728487886383E-3</c:v>
                </c:pt>
                <c:pt idx="184">
                  <c:v>1.0424728487886383E-3</c:v>
                </c:pt>
                <c:pt idx="185">
                  <c:v>1.0424728487886383E-3</c:v>
                </c:pt>
                <c:pt idx="186">
                  <c:v>1.0424728487886383E-3</c:v>
                </c:pt>
                <c:pt idx="187">
                  <c:v>1.0424728487886383E-3</c:v>
                </c:pt>
                <c:pt idx="188">
                  <c:v>1.0424728487886383E-3</c:v>
                </c:pt>
                <c:pt idx="189">
                  <c:v>1.0424728487886383E-3</c:v>
                </c:pt>
                <c:pt idx="190">
                  <c:v>1.0424728487886383E-3</c:v>
                </c:pt>
                <c:pt idx="191">
                  <c:v>1.0424728487886383E-3</c:v>
                </c:pt>
                <c:pt idx="192">
                  <c:v>1.0424728487886383E-3</c:v>
                </c:pt>
                <c:pt idx="193">
                  <c:v>1.0424728487886383E-3</c:v>
                </c:pt>
                <c:pt idx="194">
                  <c:v>1.0424728487886383E-3</c:v>
                </c:pt>
                <c:pt idx="195">
                  <c:v>1.0424728487886383E-3</c:v>
                </c:pt>
                <c:pt idx="196">
                  <c:v>1.0424728487886383E-3</c:v>
                </c:pt>
                <c:pt idx="197">
                  <c:v>1.0424728487886383E-3</c:v>
                </c:pt>
                <c:pt idx="198">
                  <c:v>1.0424728487886383E-3</c:v>
                </c:pt>
                <c:pt idx="199">
                  <c:v>1.0424728487886383E-3</c:v>
                </c:pt>
                <c:pt idx="200">
                  <c:v>1.0424728487886383E-3</c:v>
                </c:pt>
                <c:pt idx="201">
                  <c:v>1.0424728487886383E-3</c:v>
                </c:pt>
                <c:pt idx="202">
                  <c:v>1.0424728487886383E-3</c:v>
                </c:pt>
                <c:pt idx="203">
                  <c:v>1.0424728487886383E-3</c:v>
                </c:pt>
                <c:pt idx="204">
                  <c:v>1.0424728487886383E-3</c:v>
                </c:pt>
                <c:pt idx="205">
                  <c:v>1.0424728487886383E-3</c:v>
                </c:pt>
                <c:pt idx="206">
                  <c:v>1.0424728487886383E-3</c:v>
                </c:pt>
                <c:pt idx="207">
                  <c:v>1.0424728487886383E-3</c:v>
                </c:pt>
                <c:pt idx="208">
                  <c:v>1.0424728487886383E-3</c:v>
                </c:pt>
                <c:pt idx="209">
                  <c:v>1.0424728487886383E-3</c:v>
                </c:pt>
                <c:pt idx="210">
                  <c:v>1.0424728487886383E-3</c:v>
                </c:pt>
                <c:pt idx="211">
                  <c:v>1.0424728487886383E-3</c:v>
                </c:pt>
                <c:pt idx="212">
                  <c:v>1.0424728487886383E-3</c:v>
                </c:pt>
                <c:pt idx="213">
                  <c:v>1.0424728487886383E-3</c:v>
                </c:pt>
                <c:pt idx="214">
                  <c:v>1.0424728487886383E-3</c:v>
                </c:pt>
                <c:pt idx="215">
                  <c:v>1.0424728487886383E-3</c:v>
                </c:pt>
                <c:pt idx="216">
                  <c:v>1.0424728487886383E-3</c:v>
                </c:pt>
                <c:pt idx="217">
                  <c:v>1.0424728487886383E-3</c:v>
                </c:pt>
                <c:pt idx="218">
                  <c:v>1.0424728487886383E-3</c:v>
                </c:pt>
                <c:pt idx="219">
                  <c:v>1.0424728487886383E-3</c:v>
                </c:pt>
                <c:pt idx="220">
                  <c:v>1.0424728487886383E-3</c:v>
                </c:pt>
                <c:pt idx="221">
                  <c:v>1.0424728487886383E-3</c:v>
                </c:pt>
                <c:pt idx="222">
                  <c:v>1.0424728487886383E-3</c:v>
                </c:pt>
                <c:pt idx="223">
                  <c:v>1.0424728487886383E-3</c:v>
                </c:pt>
                <c:pt idx="224">
                  <c:v>1.0424728487886383E-3</c:v>
                </c:pt>
                <c:pt idx="225">
                  <c:v>1.0424728487886383E-3</c:v>
                </c:pt>
                <c:pt idx="226">
                  <c:v>1.0424728487886383E-3</c:v>
                </c:pt>
                <c:pt idx="227">
                  <c:v>1.0424728487886383E-3</c:v>
                </c:pt>
                <c:pt idx="228">
                  <c:v>1.0424728487886383E-3</c:v>
                </c:pt>
                <c:pt idx="229">
                  <c:v>1.0424728487886383E-3</c:v>
                </c:pt>
                <c:pt idx="230">
                  <c:v>1.0424728487886383E-3</c:v>
                </c:pt>
                <c:pt idx="231">
                  <c:v>1.0424728487886383E-3</c:v>
                </c:pt>
                <c:pt idx="232">
                  <c:v>1.0424728487886383E-3</c:v>
                </c:pt>
                <c:pt idx="233">
                  <c:v>1.0424728487886383E-3</c:v>
                </c:pt>
                <c:pt idx="234">
                  <c:v>1.0424728487886383E-3</c:v>
                </c:pt>
                <c:pt idx="235">
                  <c:v>1.0424728487886383E-3</c:v>
                </c:pt>
                <c:pt idx="236">
                  <c:v>1.0424728487886383E-3</c:v>
                </c:pt>
                <c:pt idx="237">
                  <c:v>1.0424728487886383E-3</c:v>
                </c:pt>
                <c:pt idx="238">
                  <c:v>1.0424728487886383E-3</c:v>
                </c:pt>
                <c:pt idx="239">
                  <c:v>1.0424728487886383E-3</c:v>
                </c:pt>
                <c:pt idx="240">
                  <c:v>1.0424728487886383E-3</c:v>
                </c:pt>
                <c:pt idx="241">
                  <c:v>1.0424728487886383E-3</c:v>
                </c:pt>
                <c:pt idx="242">
                  <c:v>1.0424728487886383E-3</c:v>
                </c:pt>
                <c:pt idx="243">
                  <c:v>1.0424728487886383E-3</c:v>
                </c:pt>
                <c:pt idx="244">
                  <c:v>1.0424728487886383E-3</c:v>
                </c:pt>
                <c:pt idx="245">
                  <c:v>1.0424728487886383E-3</c:v>
                </c:pt>
                <c:pt idx="246">
                  <c:v>1.0424728487886383E-3</c:v>
                </c:pt>
                <c:pt idx="247">
                  <c:v>1.0424728487886383E-3</c:v>
                </c:pt>
                <c:pt idx="248">
                  <c:v>1.0424728487886383E-3</c:v>
                </c:pt>
                <c:pt idx="249">
                  <c:v>1.0424728487886383E-3</c:v>
                </c:pt>
                <c:pt idx="250">
                  <c:v>1.0424728487886383E-3</c:v>
                </c:pt>
                <c:pt idx="251">
                  <c:v>1.0424728487886383E-3</c:v>
                </c:pt>
                <c:pt idx="252">
                  <c:v>1.0424728487886383E-3</c:v>
                </c:pt>
                <c:pt idx="253">
                  <c:v>1.0424728487886383E-3</c:v>
                </c:pt>
                <c:pt idx="254">
                  <c:v>1.0424728487886383E-3</c:v>
                </c:pt>
                <c:pt idx="255">
                  <c:v>1.0424728487886383E-3</c:v>
                </c:pt>
                <c:pt idx="256">
                  <c:v>1.0424728487886383E-3</c:v>
                </c:pt>
                <c:pt idx="257">
                  <c:v>1.0424728487886383E-3</c:v>
                </c:pt>
                <c:pt idx="258">
                  <c:v>1.0424728487886383E-3</c:v>
                </c:pt>
                <c:pt idx="259">
                  <c:v>1.0424728487886383E-3</c:v>
                </c:pt>
                <c:pt idx="260">
                  <c:v>1.0424728487886383E-3</c:v>
                </c:pt>
                <c:pt idx="261">
                  <c:v>1.0424728487886383E-3</c:v>
                </c:pt>
                <c:pt idx="262">
                  <c:v>1.0424728487886383E-3</c:v>
                </c:pt>
                <c:pt idx="263">
                  <c:v>1.0424728487886383E-3</c:v>
                </c:pt>
                <c:pt idx="264">
                  <c:v>1.0424728487886383E-3</c:v>
                </c:pt>
                <c:pt idx="265">
                  <c:v>1.0424728487886383E-3</c:v>
                </c:pt>
                <c:pt idx="266">
                  <c:v>1.0424728487886383E-3</c:v>
                </c:pt>
                <c:pt idx="267">
                  <c:v>1.0424728487886383E-3</c:v>
                </c:pt>
                <c:pt idx="268">
                  <c:v>1.0424728487886383E-3</c:v>
                </c:pt>
                <c:pt idx="269">
                  <c:v>1.0424728487886383E-3</c:v>
                </c:pt>
                <c:pt idx="270">
                  <c:v>1.0424728487886383E-3</c:v>
                </c:pt>
                <c:pt idx="271">
                  <c:v>1.0424728487886383E-3</c:v>
                </c:pt>
                <c:pt idx="272">
                  <c:v>1.0424728487886383E-3</c:v>
                </c:pt>
                <c:pt idx="273">
                  <c:v>1.0424728487886383E-3</c:v>
                </c:pt>
                <c:pt idx="274">
                  <c:v>1.0424728487886383E-3</c:v>
                </c:pt>
                <c:pt idx="275">
                  <c:v>1.0424728487886383E-3</c:v>
                </c:pt>
                <c:pt idx="276">
                  <c:v>1.0424728487886383E-3</c:v>
                </c:pt>
                <c:pt idx="277">
                  <c:v>1.0424728487886383E-3</c:v>
                </c:pt>
                <c:pt idx="278">
                  <c:v>1.0424728487886383E-3</c:v>
                </c:pt>
                <c:pt idx="279">
                  <c:v>1.0424728487886383E-3</c:v>
                </c:pt>
                <c:pt idx="280">
                  <c:v>1.0424728487886383E-3</c:v>
                </c:pt>
                <c:pt idx="281">
                  <c:v>1.0424728487886383E-3</c:v>
                </c:pt>
                <c:pt idx="282">
                  <c:v>1.0424728487886383E-3</c:v>
                </c:pt>
                <c:pt idx="283">
                  <c:v>1.0424728487886383E-3</c:v>
                </c:pt>
                <c:pt idx="284">
                  <c:v>1.0424728487886383E-3</c:v>
                </c:pt>
                <c:pt idx="285">
                  <c:v>1.0424728487886383E-3</c:v>
                </c:pt>
                <c:pt idx="286">
                  <c:v>1.0424728487886383E-3</c:v>
                </c:pt>
                <c:pt idx="287">
                  <c:v>1.0424728487886383E-3</c:v>
                </c:pt>
                <c:pt idx="288">
                  <c:v>1.0424728487886383E-3</c:v>
                </c:pt>
                <c:pt idx="289">
                  <c:v>1.0424728487886383E-3</c:v>
                </c:pt>
                <c:pt idx="290">
                  <c:v>1.0424728487886383E-3</c:v>
                </c:pt>
                <c:pt idx="291">
                  <c:v>1.0424728487886383E-3</c:v>
                </c:pt>
                <c:pt idx="292">
                  <c:v>1.0424728487886383E-3</c:v>
                </c:pt>
                <c:pt idx="293">
                  <c:v>1.0424728487886383E-3</c:v>
                </c:pt>
                <c:pt idx="294">
                  <c:v>1.0424728487886383E-3</c:v>
                </c:pt>
                <c:pt idx="295">
                  <c:v>1.0424728487886383E-3</c:v>
                </c:pt>
                <c:pt idx="296">
                  <c:v>1.0424728487886383E-3</c:v>
                </c:pt>
                <c:pt idx="297">
                  <c:v>1.0424728487886383E-3</c:v>
                </c:pt>
                <c:pt idx="298">
                  <c:v>1.0424728487886383E-3</c:v>
                </c:pt>
                <c:pt idx="299">
                  <c:v>1.0424728487886383E-3</c:v>
                </c:pt>
                <c:pt idx="300">
                  <c:v>1.0424728487886383E-3</c:v>
                </c:pt>
                <c:pt idx="301">
                  <c:v>1.0424728487886383E-3</c:v>
                </c:pt>
                <c:pt idx="302">
                  <c:v>1.0424728487886383E-3</c:v>
                </c:pt>
                <c:pt idx="303">
                  <c:v>1.0424728487886383E-3</c:v>
                </c:pt>
                <c:pt idx="304">
                  <c:v>1.0424728487886383E-3</c:v>
                </c:pt>
                <c:pt idx="305">
                  <c:v>1.0424728487886383E-3</c:v>
                </c:pt>
                <c:pt idx="306">
                  <c:v>1.0424728487886383E-3</c:v>
                </c:pt>
                <c:pt idx="307">
                  <c:v>1.0424728487886383E-3</c:v>
                </c:pt>
                <c:pt idx="308">
                  <c:v>1.0424728487886383E-3</c:v>
                </c:pt>
                <c:pt idx="309">
                  <c:v>1.0424728487886383E-3</c:v>
                </c:pt>
                <c:pt idx="310">
                  <c:v>1.0424728487886383E-3</c:v>
                </c:pt>
                <c:pt idx="311">
                  <c:v>1.0424728487886383E-3</c:v>
                </c:pt>
                <c:pt idx="312">
                  <c:v>1.0424728487886383E-3</c:v>
                </c:pt>
                <c:pt idx="313">
                  <c:v>1.0424728487886383E-3</c:v>
                </c:pt>
                <c:pt idx="314">
                  <c:v>1.0424728487886383E-3</c:v>
                </c:pt>
                <c:pt idx="315">
                  <c:v>1.0424728487886383E-3</c:v>
                </c:pt>
                <c:pt idx="316">
                  <c:v>1.0424728487886383E-3</c:v>
                </c:pt>
                <c:pt idx="317">
                  <c:v>1.0424728487886383E-3</c:v>
                </c:pt>
                <c:pt idx="318">
                  <c:v>1.0424728487886383E-3</c:v>
                </c:pt>
                <c:pt idx="319">
                  <c:v>1.0424728487886383E-3</c:v>
                </c:pt>
                <c:pt idx="320">
                  <c:v>1.0424728487886383E-3</c:v>
                </c:pt>
                <c:pt idx="321">
                  <c:v>1.0424728487886383E-3</c:v>
                </c:pt>
                <c:pt idx="322">
                  <c:v>1.0424728487886383E-3</c:v>
                </c:pt>
                <c:pt idx="323">
                  <c:v>1.0424728487886383E-3</c:v>
                </c:pt>
                <c:pt idx="324">
                  <c:v>1.0424728487886383E-3</c:v>
                </c:pt>
                <c:pt idx="325">
                  <c:v>1.0424728487886383E-3</c:v>
                </c:pt>
                <c:pt idx="326">
                  <c:v>1.0424728487886383E-3</c:v>
                </c:pt>
                <c:pt idx="327">
                  <c:v>1.0424728487886383E-3</c:v>
                </c:pt>
                <c:pt idx="328">
                  <c:v>1.0424728487886383E-3</c:v>
                </c:pt>
                <c:pt idx="329">
                  <c:v>1.0424728487886383E-3</c:v>
                </c:pt>
                <c:pt idx="330">
                  <c:v>1.0424728487886383E-3</c:v>
                </c:pt>
                <c:pt idx="331">
                  <c:v>1.0424728487886383E-3</c:v>
                </c:pt>
                <c:pt idx="332">
                  <c:v>1.0424728487886383E-3</c:v>
                </c:pt>
                <c:pt idx="333">
                  <c:v>1.0424728487886383E-3</c:v>
                </c:pt>
                <c:pt idx="334">
                  <c:v>1.0424728487886383E-3</c:v>
                </c:pt>
                <c:pt idx="335">
                  <c:v>1.0424728487886383E-3</c:v>
                </c:pt>
                <c:pt idx="336">
                  <c:v>1.0424728487886383E-3</c:v>
                </c:pt>
                <c:pt idx="337">
                  <c:v>1.0424728487886383E-3</c:v>
                </c:pt>
                <c:pt idx="338">
                  <c:v>1.0424728487886383E-3</c:v>
                </c:pt>
                <c:pt idx="339">
                  <c:v>1.0424728487886383E-3</c:v>
                </c:pt>
                <c:pt idx="340">
                  <c:v>1.0424728487886383E-3</c:v>
                </c:pt>
                <c:pt idx="341">
                  <c:v>1.0424728487886383E-3</c:v>
                </c:pt>
                <c:pt idx="342">
                  <c:v>1.0424728487886383E-3</c:v>
                </c:pt>
                <c:pt idx="343">
                  <c:v>1.0424728487886383E-3</c:v>
                </c:pt>
                <c:pt idx="344">
                  <c:v>1.0424728487886383E-3</c:v>
                </c:pt>
                <c:pt idx="345">
                  <c:v>1.0424728487886383E-3</c:v>
                </c:pt>
                <c:pt idx="346">
                  <c:v>1.0424728487886383E-3</c:v>
                </c:pt>
                <c:pt idx="347">
                  <c:v>1.0424728487886383E-3</c:v>
                </c:pt>
                <c:pt idx="348">
                  <c:v>1.0424728487886383E-3</c:v>
                </c:pt>
                <c:pt idx="349">
                  <c:v>1.0424728487886383E-3</c:v>
                </c:pt>
                <c:pt idx="350">
                  <c:v>1.0424728487886383E-3</c:v>
                </c:pt>
                <c:pt idx="351">
                  <c:v>1.0424728487886383E-3</c:v>
                </c:pt>
                <c:pt idx="352">
                  <c:v>1.0424728487886383E-3</c:v>
                </c:pt>
                <c:pt idx="353">
                  <c:v>1.0424728487886383E-3</c:v>
                </c:pt>
                <c:pt idx="354">
                  <c:v>1.0424728487886383E-3</c:v>
                </c:pt>
                <c:pt idx="355">
                  <c:v>1.0424728487886383E-3</c:v>
                </c:pt>
                <c:pt idx="356">
                  <c:v>1.0424728487886383E-3</c:v>
                </c:pt>
                <c:pt idx="357">
                  <c:v>1.0424728487886383E-3</c:v>
                </c:pt>
                <c:pt idx="358">
                  <c:v>1.0424728487886383E-3</c:v>
                </c:pt>
                <c:pt idx="359">
                  <c:v>1.0424728487886383E-3</c:v>
                </c:pt>
                <c:pt idx="360">
                  <c:v>1.0424728487886383E-3</c:v>
                </c:pt>
                <c:pt idx="361">
                  <c:v>1.0424728487886383E-3</c:v>
                </c:pt>
                <c:pt idx="362">
                  <c:v>1.0424728487886383E-3</c:v>
                </c:pt>
                <c:pt idx="363">
                  <c:v>1.0424728487886383E-3</c:v>
                </c:pt>
                <c:pt idx="364">
                  <c:v>1.0424728487886383E-3</c:v>
                </c:pt>
                <c:pt idx="365">
                  <c:v>1.0424728487886383E-3</c:v>
                </c:pt>
                <c:pt idx="366">
                  <c:v>1.0424728487886383E-3</c:v>
                </c:pt>
                <c:pt idx="367">
                  <c:v>1.0424728487886383E-3</c:v>
                </c:pt>
                <c:pt idx="368">
                  <c:v>1.0424728487886383E-3</c:v>
                </c:pt>
                <c:pt idx="369">
                  <c:v>1.0424728487886383E-3</c:v>
                </c:pt>
                <c:pt idx="370">
                  <c:v>1.0424728487886383E-3</c:v>
                </c:pt>
                <c:pt idx="371">
                  <c:v>1.0424728487886383E-3</c:v>
                </c:pt>
                <c:pt idx="372">
                  <c:v>1.0424728487886383E-3</c:v>
                </c:pt>
                <c:pt idx="373">
                  <c:v>1.0424728487886383E-3</c:v>
                </c:pt>
                <c:pt idx="374">
                  <c:v>1.0424728487886383E-3</c:v>
                </c:pt>
                <c:pt idx="375">
                  <c:v>1.0424728487886383E-3</c:v>
                </c:pt>
                <c:pt idx="376">
                  <c:v>1.0424728487886383E-3</c:v>
                </c:pt>
                <c:pt idx="377">
                  <c:v>1.0424728487886383E-3</c:v>
                </c:pt>
                <c:pt idx="378">
                  <c:v>1.0424728487886383E-3</c:v>
                </c:pt>
                <c:pt idx="379">
                  <c:v>1.0424728487886383E-3</c:v>
                </c:pt>
                <c:pt idx="380">
                  <c:v>1.0424728487886383E-3</c:v>
                </c:pt>
                <c:pt idx="381">
                  <c:v>1.0424728487886383E-3</c:v>
                </c:pt>
                <c:pt idx="382">
                  <c:v>1.0424728487886383E-3</c:v>
                </c:pt>
                <c:pt idx="383">
                  <c:v>1.0424728487886383E-3</c:v>
                </c:pt>
                <c:pt idx="384">
                  <c:v>1.0424728487886383E-3</c:v>
                </c:pt>
                <c:pt idx="385">
                  <c:v>1.0424728487886383E-3</c:v>
                </c:pt>
                <c:pt idx="386">
                  <c:v>1.0424728487886383E-3</c:v>
                </c:pt>
                <c:pt idx="387">
                  <c:v>1.0424728487886383E-3</c:v>
                </c:pt>
                <c:pt idx="388">
                  <c:v>1.0424728487886383E-3</c:v>
                </c:pt>
                <c:pt idx="389">
                  <c:v>1.0424728487886383E-3</c:v>
                </c:pt>
                <c:pt idx="390">
                  <c:v>1.0424728487886383E-3</c:v>
                </c:pt>
                <c:pt idx="391">
                  <c:v>1.0424728487886383E-3</c:v>
                </c:pt>
                <c:pt idx="392">
                  <c:v>1.0424728487886383E-3</c:v>
                </c:pt>
                <c:pt idx="393">
                  <c:v>1.0424728487886383E-3</c:v>
                </c:pt>
                <c:pt idx="394">
                  <c:v>1.0424728487886383E-3</c:v>
                </c:pt>
                <c:pt idx="395">
                  <c:v>1.0424728487886383E-3</c:v>
                </c:pt>
                <c:pt idx="396">
                  <c:v>1.0424728487886383E-3</c:v>
                </c:pt>
                <c:pt idx="397">
                  <c:v>1.0424728487886383E-3</c:v>
                </c:pt>
                <c:pt idx="398">
                  <c:v>1.0424728487886383E-3</c:v>
                </c:pt>
                <c:pt idx="399">
                  <c:v>1.0424728487886383E-3</c:v>
                </c:pt>
                <c:pt idx="400">
                  <c:v>1.0424728487886383E-3</c:v>
                </c:pt>
                <c:pt idx="401">
                  <c:v>1.0424728487886383E-3</c:v>
                </c:pt>
                <c:pt idx="402">
                  <c:v>1.0424728487886383E-3</c:v>
                </c:pt>
                <c:pt idx="403">
                  <c:v>1.0424728487886383E-3</c:v>
                </c:pt>
                <c:pt idx="404">
                  <c:v>1.0424728487886383E-3</c:v>
                </c:pt>
                <c:pt idx="405">
                  <c:v>1.0424728487886383E-3</c:v>
                </c:pt>
                <c:pt idx="406">
                  <c:v>1.0424728487886383E-3</c:v>
                </c:pt>
                <c:pt idx="407">
                  <c:v>1.0424728487886383E-3</c:v>
                </c:pt>
                <c:pt idx="408">
                  <c:v>1.0424728487886383E-3</c:v>
                </c:pt>
                <c:pt idx="409">
                  <c:v>1.0424728487886383E-3</c:v>
                </c:pt>
                <c:pt idx="410">
                  <c:v>1.0424728487886383E-3</c:v>
                </c:pt>
                <c:pt idx="411">
                  <c:v>1.0424728487886383E-3</c:v>
                </c:pt>
                <c:pt idx="412">
                  <c:v>1.0424728487886383E-3</c:v>
                </c:pt>
                <c:pt idx="413">
                  <c:v>1.0424728487886383E-3</c:v>
                </c:pt>
                <c:pt idx="414">
                  <c:v>1.0424728487886383E-3</c:v>
                </c:pt>
                <c:pt idx="415">
                  <c:v>1.0424728487886383E-3</c:v>
                </c:pt>
                <c:pt idx="416">
                  <c:v>1.0424728487886383E-3</c:v>
                </c:pt>
                <c:pt idx="417">
                  <c:v>1.0424728487886383E-3</c:v>
                </c:pt>
                <c:pt idx="418">
                  <c:v>1.0424728487886383E-3</c:v>
                </c:pt>
                <c:pt idx="419">
                  <c:v>1.0424728487886383E-3</c:v>
                </c:pt>
                <c:pt idx="420">
                  <c:v>1.0424728487886383E-3</c:v>
                </c:pt>
                <c:pt idx="421">
                  <c:v>1.0424728487886383E-3</c:v>
                </c:pt>
                <c:pt idx="422">
                  <c:v>1.0424728487886383E-3</c:v>
                </c:pt>
                <c:pt idx="423">
                  <c:v>1.0424728487886383E-3</c:v>
                </c:pt>
                <c:pt idx="424">
                  <c:v>1.0424728487886383E-3</c:v>
                </c:pt>
                <c:pt idx="425">
                  <c:v>1.0424728487886383E-3</c:v>
                </c:pt>
                <c:pt idx="426">
                  <c:v>1.0424728487886383E-3</c:v>
                </c:pt>
                <c:pt idx="427">
                  <c:v>1.0424728487886383E-3</c:v>
                </c:pt>
                <c:pt idx="428">
                  <c:v>1.0424728487886383E-3</c:v>
                </c:pt>
                <c:pt idx="429">
                  <c:v>1.0424728487886383E-3</c:v>
                </c:pt>
                <c:pt idx="430">
                  <c:v>1.0424728487886383E-3</c:v>
                </c:pt>
                <c:pt idx="431">
                  <c:v>1.0424728487886383E-3</c:v>
                </c:pt>
                <c:pt idx="432">
                  <c:v>1.0424728487886383E-3</c:v>
                </c:pt>
                <c:pt idx="433">
                  <c:v>1.0424728487886383E-3</c:v>
                </c:pt>
                <c:pt idx="434">
                  <c:v>1.0424728487886383E-3</c:v>
                </c:pt>
                <c:pt idx="435">
                  <c:v>1.0424728487886383E-3</c:v>
                </c:pt>
                <c:pt idx="436">
                  <c:v>1.0424728487886383E-3</c:v>
                </c:pt>
                <c:pt idx="437">
                  <c:v>1.0424728487886383E-3</c:v>
                </c:pt>
                <c:pt idx="438">
                  <c:v>1.0424728487886383E-3</c:v>
                </c:pt>
                <c:pt idx="439">
                  <c:v>1.0424728487886383E-3</c:v>
                </c:pt>
                <c:pt idx="440">
                  <c:v>1.0424728487886383E-3</c:v>
                </c:pt>
                <c:pt idx="441">
                  <c:v>1.0424728487886383E-3</c:v>
                </c:pt>
                <c:pt idx="442">
                  <c:v>1.0424728487886383E-3</c:v>
                </c:pt>
                <c:pt idx="443">
                  <c:v>1.0424728487886383E-3</c:v>
                </c:pt>
                <c:pt idx="444">
                  <c:v>1.0424728487886383E-3</c:v>
                </c:pt>
                <c:pt idx="445">
                  <c:v>1.0424728487886383E-3</c:v>
                </c:pt>
                <c:pt idx="446">
                  <c:v>1.0424728487886383E-3</c:v>
                </c:pt>
                <c:pt idx="447">
                  <c:v>1.0424728487886383E-3</c:v>
                </c:pt>
                <c:pt idx="448">
                  <c:v>1.0424728487886383E-3</c:v>
                </c:pt>
                <c:pt idx="449">
                  <c:v>1.0424728487886383E-3</c:v>
                </c:pt>
                <c:pt idx="450">
                  <c:v>1.0424728487886383E-3</c:v>
                </c:pt>
                <c:pt idx="451">
                  <c:v>1.0424728487886383E-3</c:v>
                </c:pt>
                <c:pt idx="452">
                  <c:v>1.0424728487886383E-3</c:v>
                </c:pt>
                <c:pt idx="453">
                  <c:v>1.0424728487886383E-3</c:v>
                </c:pt>
                <c:pt idx="454">
                  <c:v>1.0424728487886383E-3</c:v>
                </c:pt>
                <c:pt idx="455">
                  <c:v>1.0424728487886383E-3</c:v>
                </c:pt>
                <c:pt idx="456">
                  <c:v>1.0424728487886383E-3</c:v>
                </c:pt>
                <c:pt idx="457">
                  <c:v>1.0424728487886383E-3</c:v>
                </c:pt>
                <c:pt idx="458">
                  <c:v>1.0424728487886383E-3</c:v>
                </c:pt>
                <c:pt idx="459">
                  <c:v>0.47753447284878864</c:v>
                </c:pt>
              </c:numCache>
            </c:numRef>
          </c:xVal>
          <c:yVal>
            <c:numRef>
              <c:f>Messdaten!$O$15:$O$474</c:f>
              <c:numCache>
                <c:formatCode>0.000</c:formatCode>
                <c:ptCount val="460"/>
                <c:pt idx="0">
                  <c:v>97.679298245614021</c:v>
                </c:pt>
                <c:pt idx="1">
                  <c:v>97.679298245614021</c:v>
                </c:pt>
                <c:pt idx="2">
                  <c:v>97.679298245614021</c:v>
                </c:pt>
                <c:pt idx="3">
                  <c:v>97.679298245614021</c:v>
                </c:pt>
                <c:pt idx="4">
                  <c:v>97.679298245614021</c:v>
                </c:pt>
                <c:pt idx="5">
                  <c:v>97.679298245614021</c:v>
                </c:pt>
                <c:pt idx="6">
                  <c:v>97.679298245614021</c:v>
                </c:pt>
                <c:pt idx="7">
                  <c:v>97.679298245614021</c:v>
                </c:pt>
                <c:pt idx="8">
                  <c:v>97.679298245614021</c:v>
                </c:pt>
                <c:pt idx="9">
                  <c:v>97.679298245614021</c:v>
                </c:pt>
                <c:pt idx="10">
                  <c:v>97.679298245614021</c:v>
                </c:pt>
                <c:pt idx="11">
                  <c:v>97.679298245614021</c:v>
                </c:pt>
                <c:pt idx="12">
                  <c:v>97.679298245614021</c:v>
                </c:pt>
                <c:pt idx="13">
                  <c:v>97.679298245614021</c:v>
                </c:pt>
                <c:pt idx="14">
                  <c:v>97.679298245614021</c:v>
                </c:pt>
                <c:pt idx="15">
                  <c:v>97.679298245614021</c:v>
                </c:pt>
                <c:pt idx="16">
                  <c:v>97.679298245614021</c:v>
                </c:pt>
                <c:pt idx="17">
                  <c:v>97.679298245614021</c:v>
                </c:pt>
                <c:pt idx="18">
                  <c:v>97.679298245614021</c:v>
                </c:pt>
                <c:pt idx="19">
                  <c:v>97.679298245614021</c:v>
                </c:pt>
                <c:pt idx="20">
                  <c:v>97.679298245614021</c:v>
                </c:pt>
                <c:pt idx="21">
                  <c:v>97.679298245614021</c:v>
                </c:pt>
                <c:pt idx="22">
                  <c:v>97.679298245614021</c:v>
                </c:pt>
                <c:pt idx="23">
                  <c:v>97.679298245614021</c:v>
                </c:pt>
                <c:pt idx="24">
                  <c:v>97.679298245614021</c:v>
                </c:pt>
                <c:pt idx="25">
                  <c:v>97.679298245614021</c:v>
                </c:pt>
                <c:pt idx="26">
                  <c:v>97.679298245614021</c:v>
                </c:pt>
                <c:pt idx="27">
                  <c:v>97.679298245614021</c:v>
                </c:pt>
                <c:pt idx="28">
                  <c:v>97.679298245614021</c:v>
                </c:pt>
                <c:pt idx="29">
                  <c:v>97.679298245614021</c:v>
                </c:pt>
                <c:pt idx="30">
                  <c:v>97.679298245614021</c:v>
                </c:pt>
                <c:pt idx="31">
                  <c:v>97.679298245614021</c:v>
                </c:pt>
                <c:pt idx="32">
                  <c:v>97.679298245614021</c:v>
                </c:pt>
                <c:pt idx="33">
                  <c:v>97.679298245614021</c:v>
                </c:pt>
                <c:pt idx="34">
                  <c:v>97.679298245614021</c:v>
                </c:pt>
                <c:pt idx="35">
                  <c:v>97.679298245614021</c:v>
                </c:pt>
                <c:pt idx="36">
                  <c:v>97.679298245614021</c:v>
                </c:pt>
                <c:pt idx="37">
                  <c:v>97.679298245614021</c:v>
                </c:pt>
                <c:pt idx="38">
                  <c:v>97.679298245614021</c:v>
                </c:pt>
                <c:pt idx="39">
                  <c:v>97.679298245614021</c:v>
                </c:pt>
                <c:pt idx="40">
                  <c:v>97.679298245614021</c:v>
                </c:pt>
                <c:pt idx="41">
                  <c:v>97.679298245614021</c:v>
                </c:pt>
                <c:pt idx="42">
                  <c:v>97.679298245614021</c:v>
                </c:pt>
                <c:pt idx="43">
                  <c:v>97.679298245614021</c:v>
                </c:pt>
                <c:pt idx="44">
                  <c:v>97.679298245614021</c:v>
                </c:pt>
                <c:pt idx="45">
                  <c:v>97.679298245614021</c:v>
                </c:pt>
                <c:pt idx="46">
                  <c:v>97.679298245614021</c:v>
                </c:pt>
                <c:pt idx="47">
                  <c:v>97.679298245614021</c:v>
                </c:pt>
                <c:pt idx="48">
                  <c:v>97.679298245614021</c:v>
                </c:pt>
                <c:pt idx="49">
                  <c:v>97.679298245614021</c:v>
                </c:pt>
                <c:pt idx="50">
                  <c:v>97.679298245614021</c:v>
                </c:pt>
                <c:pt idx="51">
                  <c:v>97.679298245614021</c:v>
                </c:pt>
                <c:pt idx="52">
                  <c:v>97.679298245614021</c:v>
                </c:pt>
                <c:pt idx="53">
                  <c:v>97.679298245614021</c:v>
                </c:pt>
                <c:pt idx="54">
                  <c:v>97.679298245614021</c:v>
                </c:pt>
                <c:pt idx="55">
                  <c:v>97.679298245614021</c:v>
                </c:pt>
                <c:pt idx="56">
                  <c:v>97.679298245614021</c:v>
                </c:pt>
                <c:pt idx="57">
                  <c:v>97.679298245614021</c:v>
                </c:pt>
                <c:pt idx="58">
                  <c:v>97.679298245614021</c:v>
                </c:pt>
                <c:pt idx="59">
                  <c:v>97.679298245614021</c:v>
                </c:pt>
                <c:pt idx="60">
                  <c:v>97.679298245614021</c:v>
                </c:pt>
                <c:pt idx="61">
                  <c:v>97.679298245614021</c:v>
                </c:pt>
                <c:pt idx="62">
                  <c:v>97.679298245614021</c:v>
                </c:pt>
                <c:pt idx="63">
                  <c:v>97.679298245614021</c:v>
                </c:pt>
                <c:pt idx="64">
                  <c:v>97.679298245614021</c:v>
                </c:pt>
                <c:pt idx="65">
                  <c:v>97.679298245614021</c:v>
                </c:pt>
                <c:pt idx="66">
                  <c:v>97.679298245614021</c:v>
                </c:pt>
                <c:pt idx="67">
                  <c:v>97.679298245614021</c:v>
                </c:pt>
                <c:pt idx="68">
                  <c:v>97.679298245614021</c:v>
                </c:pt>
                <c:pt idx="69">
                  <c:v>97.679298245614021</c:v>
                </c:pt>
                <c:pt idx="70">
                  <c:v>97.679298245614021</c:v>
                </c:pt>
                <c:pt idx="71">
                  <c:v>97.679298245614021</c:v>
                </c:pt>
                <c:pt idx="72">
                  <c:v>97.679298245614021</c:v>
                </c:pt>
                <c:pt idx="73">
                  <c:v>97.679298245614021</c:v>
                </c:pt>
                <c:pt idx="74">
                  <c:v>97.679298245614021</c:v>
                </c:pt>
                <c:pt idx="75">
                  <c:v>97.679298245614021</c:v>
                </c:pt>
                <c:pt idx="76">
                  <c:v>97.679298245614021</c:v>
                </c:pt>
                <c:pt idx="77">
                  <c:v>97.679298245614021</c:v>
                </c:pt>
                <c:pt idx="78">
                  <c:v>97.679298245614021</c:v>
                </c:pt>
                <c:pt idx="79">
                  <c:v>97.679298245614021</c:v>
                </c:pt>
                <c:pt idx="80">
                  <c:v>97.679298245614021</c:v>
                </c:pt>
                <c:pt idx="81">
                  <c:v>97.679298245614021</c:v>
                </c:pt>
                <c:pt idx="82">
                  <c:v>97.679298245614021</c:v>
                </c:pt>
                <c:pt idx="83">
                  <c:v>97.679298245614021</c:v>
                </c:pt>
                <c:pt idx="84">
                  <c:v>97.679298245614021</c:v>
                </c:pt>
                <c:pt idx="85">
                  <c:v>97.679298245614021</c:v>
                </c:pt>
                <c:pt idx="86">
                  <c:v>97.679298245614021</c:v>
                </c:pt>
                <c:pt idx="87">
                  <c:v>97.679298245614021</c:v>
                </c:pt>
                <c:pt idx="88">
                  <c:v>97.679298245614021</c:v>
                </c:pt>
                <c:pt idx="89">
                  <c:v>97.679298245614021</c:v>
                </c:pt>
                <c:pt idx="90">
                  <c:v>97.679298245614021</c:v>
                </c:pt>
                <c:pt idx="91">
                  <c:v>97.679298245614021</c:v>
                </c:pt>
                <c:pt idx="92">
                  <c:v>97.679298245614021</c:v>
                </c:pt>
                <c:pt idx="93">
                  <c:v>97.679298245614021</c:v>
                </c:pt>
                <c:pt idx="94">
                  <c:v>97.679298245614021</c:v>
                </c:pt>
                <c:pt idx="95">
                  <c:v>97.679298245614021</c:v>
                </c:pt>
                <c:pt idx="96">
                  <c:v>97.679298245614021</c:v>
                </c:pt>
                <c:pt idx="97">
                  <c:v>97.679298245614021</c:v>
                </c:pt>
                <c:pt idx="98">
                  <c:v>97.679298245614021</c:v>
                </c:pt>
                <c:pt idx="99">
                  <c:v>97.679298245614021</c:v>
                </c:pt>
                <c:pt idx="100">
                  <c:v>97.679298245614021</c:v>
                </c:pt>
                <c:pt idx="101">
                  <c:v>97.679298245614021</c:v>
                </c:pt>
                <c:pt idx="102">
                  <c:v>97.679298245614021</c:v>
                </c:pt>
                <c:pt idx="103">
                  <c:v>97.679298245614021</c:v>
                </c:pt>
                <c:pt idx="104">
                  <c:v>97.679298245614021</c:v>
                </c:pt>
                <c:pt idx="105">
                  <c:v>97.679298245614021</c:v>
                </c:pt>
                <c:pt idx="106">
                  <c:v>97.679298245614021</c:v>
                </c:pt>
                <c:pt idx="107">
                  <c:v>97.679298245614021</c:v>
                </c:pt>
                <c:pt idx="108">
                  <c:v>97.679298245614021</c:v>
                </c:pt>
                <c:pt idx="109">
                  <c:v>97.679298245614021</c:v>
                </c:pt>
                <c:pt idx="110">
                  <c:v>97.679298245614021</c:v>
                </c:pt>
                <c:pt idx="111">
                  <c:v>97.679298245614021</c:v>
                </c:pt>
                <c:pt idx="112">
                  <c:v>97.679298245614021</c:v>
                </c:pt>
                <c:pt idx="113">
                  <c:v>97.679298245614021</c:v>
                </c:pt>
                <c:pt idx="114">
                  <c:v>97.679298245614021</c:v>
                </c:pt>
                <c:pt idx="115">
                  <c:v>97.679298245614021</c:v>
                </c:pt>
                <c:pt idx="116">
                  <c:v>97.679298245614021</c:v>
                </c:pt>
                <c:pt idx="117">
                  <c:v>97.679298245614021</c:v>
                </c:pt>
                <c:pt idx="118">
                  <c:v>97.679298245614021</c:v>
                </c:pt>
                <c:pt idx="119">
                  <c:v>97.679298245614021</c:v>
                </c:pt>
                <c:pt idx="120">
                  <c:v>97.679298245614021</c:v>
                </c:pt>
                <c:pt idx="121">
                  <c:v>97.679298245614021</c:v>
                </c:pt>
                <c:pt idx="122">
                  <c:v>97.679298245614021</c:v>
                </c:pt>
                <c:pt idx="123">
                  <c:v>97.679298245614021</c:v>
                </c:pt>
                <c:pt idx="124">
                  <c:v>97.679298245614021</c:v>
                </c:pt>
                <c:pt idx="125">
                  <c:v>97.679298245614021</c:v>
                </c:pt>
                <c:pt idx="126">
                  <c:v>97.679298245614021</c:v>
                </c:pt>
                <c:pt idx="127">
                  <c:v>97.679298245614021</c:v>
                </c:pt>
                <c:pt idx="128">
                  <c:v>97.679298245614021</c:v>
                </c:pt>
                <c:pt idx="129">
                  <c:v>97.679298245614021</c:v>
                </c:pt>
                <c:pt idx="130">
                  <c:v>97.679298245614021</c:v>
                </c:pt>
                <c:pt idx="131">
                  <c:v>97.679298245614021</c:v>
                </c:pt>
                <c:pt idx="132">
                  <c:v>97.679298245614021</c:v>
                </c:pt>
                <c:pt idx="133">
                  <c:v>97.679298245614021</c:v>
                </c:pt>
                <c:pt idx="134">
                  <c:v>97.679298245614021</c:v>
                </c:pt>
                <c:pt idx="135">
                  <c:v>97.679298245614021</c:v>
                </c:pt>
                <c:pt idx="136">
                  <c:v>97.679298245614021</c:v>
                </c:pt>
                <c:pt idx="137">
                  <c:v>97.679298245614021</c:v>
                </c:pt>
                <c:pt idx="138">
                  <c:v>97.679298245614021</c:v>
                </c:pt>
                <c:pt idx="139">
                  <c:v>97.679298245614021</c:v>
                </c:pt>
                <c:pt idx="140">
                  <c:v>97.679298245614021</c:v>
                </c:pt>
                <c:pt idx="141">
                  <c:v>97.679298245614021</c:v>
                </c:pt>
                <c:pt idx="142">
                  <c:v>97.679298245614021</c:v>
                </c:pt>
                <c:pt idx="143">
                  <c:v>97.679298245614021</c:v>
                </c:pt>
                <c:pt idx="144">
                  <c:v>97.679298245614021</c:v>
                </c:pt>
                <c:pt idx="145">
                  <c:v>97.679298245614021</c:v>
                </c:pt>
                <c:pt idx="146">
                  <c:v>97.679298245614021</c:v>
                </c:pt>
                <c:pt idx="147">
                  <c:v>97.679298245614021</c:v>
                </c:pt>
                <c:pt idx="148">
                  <c:v>97.679298245614021</c:v>
                </c:pt>
                <c:pt idx="149">
                  <c:v>97.679298245614021</c:v>
                </c:pt>
                <c:pt idx="150">
                  <c:v>97.679298245614021</c:v>
                </c:pt>
                <c:pt idx="151">
                  <c:v>97.679298245614021</c:v>
                </c:pt>
                <c:pt idx="152">
                  <c:v>97.679298245614021</c:v>
                </c:pt>
                <c:pt idx="153">
                  <c:v>97.679298245614021</c:v>
                </c:pt>
                <c:pt idx="154">
                  <c:v>97.679298245614021</c:v>
                </c:pt>
                <c:pt idx="155">
                  <c:v>97.679298245614021</c:v>
                </c:pt>
                <c:pt idx="156">
                  <c:v>97.679298245614021</c:v>
                </c:pt>
                <c:pt idx="157">
                  <c:v>97.679298245614021</c:v>
                </c:pt>
                <c:pt idx="158">
                  <c:v>97.679298245614021</c:v>
                </c:pt>
                <c:pt idx="159">
                  <c:v>97.679298245614021</c:v>
                </c:pt>
                <c:pt idx="160">
                  <c:v>97.679298245614021</c:v>
                </c:pt>
                <c:pt idx="161">
                  <c:v>97.679298245614021</c:v>
                </c:pt>
                <c:pt idx="162">
                  <c:v>97.679298245614021</c:v>
                </c:pt>
                <c:pt idx="163">
                  <c:v>97.679298245614021</c:v>
                </c:pt>
                <c:pt idx="164">
                  <c:v>97.679298245614021</c:v>
                </c:pt>
                <c:pt idx="165">
                  <c:v>97.679298245614021</c:v>
                </c:pt>
                <c:pt idx="166">
                  <c:v>97.679298245614021</c:v>
                </c:pt>
                <c:pt idx="167">
                  <c:v>97.679298245614021</c:v>
                </c:pt>
                <c:pt idx="168">
                  <c:v>97.679298245614021</c:v>
                </c:pt>
                <c:pt idx="169">
                  <c:v>97.679298245614021</c:v>
                </c:pt>
                <c:pt idx="170">
                  <c:v>97.679298245614021</c:v>
                </c:pt>
                <c:pt idx="171">
                  <c:v>97.679298245614021</c:v>
                </c:pt>
                <c:pt idx="172">
                  <c:v>97.679298245614021</c:v>
                </c:pt>
                <c:pt idx="173">
                  <c:v>97.679298245614021</c:v>
                </c:pt>
                <c:pt idx="174">
                  <c:v>97.679298245614021</c:v>
                </c:pt>
                <c:pt idx="175">
                  <c:v>97.679298245614021</c:v>
                </c:pt>
                <c:pt idx="176">
                  <c:v>97.679298245614021</c:v>
                </c:pt>
                <c:pt idx="177">
                  <c:v>97.679298245614021</c:v>
                </c:pt>
                <c:pt idx="178">
                  <c:v>97.679298245614021</c:v>
                </c:pt>
                <c:pt idx="179">
                  <c:v>97.679298245614021</c:v>
                </c:pt>
                <c:pt idx="180">
                  <c:v>97.679298245614021</c:v>
                </c:pt>
                <c:pt idx="181">
                  <c:v>97.679298245614021</c:v>
                </c:pt>
                <c:pt idx="182">
                  <c:v>97.679298245614021</c:v>
                </c:pt>
                <c:pt idx="183">
                  <c:v>97.679298245614021</c:v>
                </c:pt>
                <c:pt idx="184">
                  <c:v>97.679298245614021</c:v>
                </c:pt>
                <c:pt idx="185">
                  <c:v>97.679298245614021</c:v>
                </c:pt>
                <c:pt idx="186">
                  <c:v>97.679298245614021</c:v>
                </c:pt>
                <c:pt idx="187">
                  <c:v>97.679298245614021</c:v>
                </c:pt>
                <c:pt idx="188">
                  <c:v>97.679298245614021</c:v>
                </c:pt>
                <c:pt idx="189">
                  <c:v>97.679298245614021</c:v>
                </c:pt>
                <c:pt idx="190">
                  <c:v>97.679298245614021</c:v>
                </c:pt>
                <c:pt idx="191">
                  <c:v>97.679298245614021</c:v>
                </c:pt>
                <c:pt idx="192">
                  <c:v>97.679298245614021</c:v>
                </c:pt>
                <c:pt idx="193">
                  <c:v>97.679298245614021</c:v>
                </c:pt>
                <c:pt idx="194">
                  <c:v>97.679298245614021</c:v>
                </c:pt>
                <c:pt idx="195">
                  <c:v>97.679298245614021</c:v>
                </c:pt>
                <c:pt idx="196">
                  <c:v>97.679298245614021</c:v>
                </c:pt>
                <c:pt idx="197">
                  <c:v>97.679298245614021</c:v>
                </c:pt>
                <c:pt idx="198">
                  <c:v>97.679298245614021</c:v>
                </c:pt>
                <c:pt idx="199">
                  <c:v>97.679298245614021</c:v>
                </c:pt>
                <c:pt idx="200">
                  <c:v>97.679298245614021</c:v>
                </c:pt>
                <c:pt idx="201">
                  <c:v>97.679298245614021</c:v>
                </c:pt>
                <c:pt idx="202">
                  <c:v>97.679298245614021</c:v>
                </c:pt>
                <c:pt idx="203">
                  <c:v>97.679298245614021</c:v>
                </c:pt>
                <c:pt idx="204">
                  <c:v>97.679298245614021</c:v>
                </c:pt>
                <c:pt idx="205">
                  <c:v>97.679298245614021</c:v>
                </c:pt>
                <c:pt idx="206">
                  <c:v>97.679298245614021</c:v>
                </c:pt>
                <c:pt idx="207">
                  <c:v>97.679298245614021</c:v>
                </c:pt>
                <c:pt idx="208">
                  <c:v>97.679298245614021</c:v>
                </c:pt>
                <c:pt idx="209">
                  <c:v>97.679298245614021</c:v>
                </c:pt>
                <c:pt idx="210">
                  <c:v>97.679298245614021</c:v>
                </c:pt>
                <c:pt idx="211">
                  <c:v>97.679298245614021</c:v>
                </c:pt>
                <c:pt idx="212">
                  <c:v>97.679298245614021</c:v>
                </c:pt>
                <c:pt idx="213">
                  <c:v>97.679298245614021</c:v>
                </c:pt>
                <c:pt idx="214">
                  <c:v>97.679298245614021</c:v>
                </c:pt>
                <c:pt idx="215">
                  <c:v>97.679298245614021</c:v>
                </c:pt>
                <c:pt idx="216">
                  <c:v>97.679298245614021</c:v>
                </c:pt>
                <c:pt idx="217">
                  <c:v>97.679298245614021</c:v>
                </c:pt>
                <c:pt idx="218">
                  <c:v>97.679298245614021</c:v>
                </c:pt>
                <c:pt idx="219">
                  <c:v>97.679298245614021</c:v>
                </c:pt>
                <c:pt idx="220">
                  <c:v>97.679298245614021</c:v>
                </c:pt>
                <c:pt idx="221">
                  <c:v>97.679298245614021</c:v>
                </c:pt>
                <c:pt idx="222">
                  <c:v>97.679298245614021</c:v>
                </c:pt>
                <c:pt idx="223">
                  <c:v>97.679298245614021</c:v>
                </c:pt>
                <c:pt idx="224">
                  <c:v>97.679298245614021</c:v>
                </c:pt>
                <c:pt idx="225">
                  <c:v>97.679298245614021</c:v>
                </c:pt>
                <c:pt idx="226">
                  <c:v>97.679298245614021</c:v>
                </c:pt>
                <c:pt idx="227">
                  <c:v>97.679298245614021</c:v>
                </c:pt>
                <c:pt idx="228">
                  <c:v>97.679298245614021</c:v>
                </c:pt>
                <c:pt idx="229">
                  <c:v>97.679298245614021</c:v>
                </c:pt>
                <c:pt idx="230">
                  <c:v>97.679298245614021</c:v>
                </c:pt>
                <c:pt idx="231">
                  <c:v>97.679298245614021</c:v>
                </c:pt>
                <c:pt idx="232">
                  <c:v>97.679298245614021</c:v>
                </c:pt>
                <c:pt idx="233">
                  <c:v>97.679298245614021</c:v>
                </c:pt>
                <c:pt idx="234">
                  <c:v>97.679298245614021</c:v>
                </c:pt>
                <c:pt idx="235">
                  <c:v>97.679298245614021</c:v>
                </c:pt>
                <c:pt idx="236">
                  <c:v>97.679298245614021</c:v>
                </c:pt>
                <c:pt idx="237">
                  <c:v>97.679298245614021</c:v>
                </c:pt>
                <c:pt idx="238">
                  <c:v>97.679298245614021</c:v>
                </c:pt>
                <c:pt idx="239">
                  <c:v>97.679298245614021</c:v>
                </c:pt>
                <c:pt idx="240">
                  <c:v>97.679298245614021</c:v>
                </c:pt>
                <c:pt idx="241">
                  <c:v>97.679298245614021</c:v>
                </c:pt>
                <c:pt idx="242">
                  <c:v>97.679298245614021</c:v>
                </c:pt>
                <c:pt idx="243">
                  <c:v>97.679298245614021</c:v>
                </c:pt>
                <c:pt idx="244">
                  <c:v>97.679298245614021</c:v>
                </c:pt>
                <c:pt idx="245">
                  <c:v>97.679298245614021</c:v>
                </c:pt>
                <c:pt idx="246">
                  <c:v>97.679298245614021</c:v>
                </c:pt>
                <c:pt idx="247">
                  <c:v>97.679298245614021</c:v>
                </c:pt>
                <c:pt idx="248">
                  <c:v>97.679298245614021</c:v>
                </c:pt>
                <c:pt idx="249">
                  <c:v>97.679298245614021</c:v>
                </c:pt>
                <c:pt idx="250">
                  <c:v>97.679298245614021</c:v>
                </c:pt>
                <c:pt idx="251">
                  <c:v>97.679298245614021</c:v>
                </c:pt>
                <c:pt idx="252">
                  <c:v>97.679298245614021</c:v>
                </c:pt>
                <c:pt idx="253">
                  <c:v>97.679298245614021</c:v>
                </c:pt>
                <c:pt idx="254">
                  <c:v>97.679298245614021</c:v>
                </c:pt>
                <c:pt idx="255">
                  <c:v>97.679298245614021</c:v>
                </c:pt>
                <c:pt idx="256">
                  <c:v>97.679298245614021</c:v>
                </c:pt>
                <c:pt idx="257">
                  <c:v>97.679298245614021</c:v>
                </c:pt>
                <c:pt idx="258">
                  <c:v>97.679298245614021</c:v>
                </c:pt>
                <c:pt idx="259">
                  <c:v>97.679298245614021</c:v>
                </c:pt>
                <c:pt idx="260">
                  <c:v>97.679298245614021</c:v>
                </c:pt>
                <c:pt idx="261">
                  <c:v>97.679298245614021</c:v>
                </c:pt>
                <c:pt idx="262">
                  <c:v>97.679298245614021</c:v>
                </c:pt>
                <c:pt idx="263">
                  <c:v>97.679298245614021</c:v>
                </c:pt>
                <c:pt idx="264">
                  <c:v>97.679298245614021</c:v>
                </c:pt>
                <c:pt idx="265">
                  <c:v>97.679298245614021</c:v>
                </c:pt>
                <c:pt idx="266">
                  <c:v>97.679298245614021</c:v>
                </c:pt>
                <c:pt idx="267">
                  <c:v>97.679298245614021</c:v>
                </c:pt>
                <c:pt idx="268">
                  <c:v>97.679298245614021</c:v>
                </c:pt>
                <c:pt idx="269">
                  <c:v>97.679298245614021</c:v>
                </c:pt>
                <c:pt idx="270">
                  <c:v>97.679298245614021</c:v>
                </c:pt>
                <c:pt idx="271">
                  <c:v>97.679298245614021</c:v>
                </c:pt>
                <c:pt idx="272">
                  <c:v>97.679298245614021</c:v>
                </c:pt>
                <c:pt idx="273">
                  <c:v>97.679298245614021</c:v>
                </c:pt>
                <c:pt idx="274">
                  <c:v>97.679298245614021</c:v>
                </c:pt>
                <c:pt idx="275">
                  <c:v>97.679298245614021</c:v>
                </c:pt>
                <c:pt idx="276">
                  <c:v>97.679298245614021</c:v>
                </c:pt>
                <c:pt idx="277">
                  <c:v>97.679298245614021</c:v>
                </c:pt>
                <c:pt idx="278">
                  <c:v>97.679298245614021</c:v>
                </c:pt>
                <c:pt idx="279">
                  <c:v>97.679298245614021</c:v>
                </c:pt>
                <c:pt idx="280">
                  <c:v>97.679298245614021</c:v>
                </c:pt>
                <c:pt idx="281">
                  <c:v>97.679298245614021</c:v>
                </c:pt>
                <c:pt idx="282">
                  <c:v>97.679298245614021</c:v>
                </c:pt>
                <c:pt idx="283">
                  <c:v>97.679298245614021</c:v>
                </c:pt>
                <c:pt idx="284">
                  <c:v>97.679298245614021</c:v>
                </c:pt>
                <c:pt idx="285">
                  <c:v>97.679298245614021</c:v>
                </c:pt>
                <c:pt idx="286">
                  <c:v>97.679298245614021</c:v>
                </c:pt>
                <c:pt idx="287">
                  <c:v>97.679298245614021</c:v>
                </c:pt>
                <c:pt idx="288">
                  <c:v>97.679298245614021</c:v>
                </c:pt>
                <c:pt idx="289">
                  <c:v>97.679298245614021</c:v>
                </c:pt>
                <c:pt idx="290">
                  <c:v>97.679298245614021</c:v>
                </c:pt>
                <c:pt idx="291">
                  <c:v>97.679298245614021</c:v>
                </c:pt>
                <c:pt idx="292">
                  <c:v>97.679298245614021</c:v>
                </c:pt>
                <c:pt idx="293">
                  <c:v>97.679298245614021</c:v>
                </c:pt>
                <c:pt idx="294">
                  <c:v>97.679298245614021</c:v>
                </c:pt>
                <c:pt idx="295">
                  <c:v>97.679298245614021</c:v>
                </c:pt>
                <c:pt idx="296">
                  <c:v>97.679298245614021</c:v>
                </c:pt>
                <c:pt idx="297">
                  <c:v>97.679298245614021</c:v>
                </c:pt>
                <c:pt idx="298">
                  <c:v>97.679298245614021</c:v>
                </c:pt>
                <c:pt idx="299">
                  <c:v>97.679298245614021</c:v>
                </c:pt>
                <c:pt idx="300">
                  <c:v>97.679298245614021</c:v>
                </c:pt>
                <c:pt idx="301">
                  <c:v>97.679298245614021</c:v>
                </c:pt>
                <c:pt idx="302">
                  <c:v>97.679298245614021</c:v>
                </c:pt>
                <c:pt idx="303">
                  <c:v>97.679298245614021</c:v>
                </c:pt>
                <c:pt idx="304">
                  <c:v>97.679298245614021</c:v>
                </c:pt>
                <c:pt idx="305">
                  <c:v>97.679298245614021</c:v>
                </c:pt>
                <c:pt idx="306">
                  <c:v>97.679298245614021</c:v>
                </c:pt>
                <c:pt idx="307">
                  <c:v>97.679298245614021</c:v>
                </c:pt>
                <c:pt idx="308">
                  <c:v>97.679298245614021</c:v>
                </c:pt>
                <c:pt idx="309">
                  <c:v>97.679298245614021</c:v>
                </c:pt>
                <c:pt idx="310">
                  <c:v>97.679298245614021</c:v>
                </c:pt>
                <c:pt idx="311">
                  <c:v>97.679298245614021</c:v>
                </c:pt>
                <c:pt idx="312">
                  <c:v>97.679298245614021</c:v>
                </c:pt>
                <c:pt idx="313">
                  <c:v>97.679298245614021</c:v>
                </c:pt>
                <c:pt idx="314">
                  <c:v>97.679298245614021</c:v>
                </c:pt>
                <c:pt idx="315">
                  <c:v>97.679298245614021</c:v>
                </c:pt>
                <c:pt idx="316">
                  <c:v>97.679298245614021</c:v>
                </c:pt>
                <c:pt idx="317">
                  <c:v>97.679298245614021</c:v>
                </c:pt>
                <c:pt idx="318">
                  <c:v>97.679298245614021</c:v>
                </c:pt>
                <c:pt idx="319">
                  <c:v>97.679298245614021</c:v>
                </c:pt>
                <c:pt idx="320">
                  <c:v>97.679298245614021</c:v>
                </c:pt>
                <c:pt idx="321">
                  <c:v>97.679298245614021</c:v>
                </c:pt>
                <c:pt idx="322">
                  <c:v>97.679298245614021</c:v>
                </c:pt>
                <c:pt idx="323">
                  <c:v>97.679298245614021</c:v>
                </c:pt>
                <c:pt idx="324">
                  <c:v>97.679298245614021</c:v>
                </c:pt>
                <c:pt idx="325">
                  <c:v>97.679298245614021</c:v>
                </c:pt>
                <c:pt idx="326">
                  <c:v>97.679298245614021</c:v>
                </c:pt>
                <c:pt idx="327">
                  <c:v>97.679298245614021</c:v>
                </c:pt>
                <c:pt idx="328">
                  <c:v>97.679298245614021</c:v>
                </c:pt>
                <c:pt idx="329">
                  <c:v>97.679298245614021</c:v>
                </c:pt>
                <c:pt idx="330">
                  <c:v>97.679298245614021</c:v>
                </c:pt>
                <c:pt idx="331">
                  <c:v>97.679298245614021</c:v>
                </c:pt>
                <c:pt idx="332">
                  <c:v>97.679298245614021</c:v>
                </c:pt>
                <c:pt idx="333">
                  <c:v>97.679298245614021</c:v>
                </c:pt>
                <c:pt idx="334">
                  <c:v>97.679298245614021</c:v>
                </c:pt>
                <c:pt idx="335">
                  <c:v>97.679298245614021</c:v>
                </c:pt>
                <c:pt idx="336">
                  <c:v>97.679298245614021</c:v>
                </c:pt>
                <c:pt idx="337">
                  <c:v>97.679298245614021</c:v>
                </c:pt>
                <c:pt idx="338">
                  <c:v>97.679298245614021</c:v>
                </c:pt>
                <c:pt idx="339">
                  <c:v>97.679298245614021</c:v>
                </c:pt>
                <c:pt idx="340">
                  <c:v>97.679298245614021</c:v>
                </c:pt>
                <c:pt idx="341">
                  <c:v>97.679298245614021</c:v>
                </c:pt>
                <c:pt idx="342">
                  <c:v>97.679298245614021</c:v>
                </c:pt>
                <c:pt idx="343">
                  <c:v>97.679298245614021</c:v>
                </c:pt>
                <c:pt idx="344">
                  <c:v>97.679298245614021</c:v>
                </c:pt>
                <c:pt idx="345">
                  <c:v>97.679298245614021</c:v>
                </c:pt>
                <c:pt idx="346">
                  <c:v>97.679298245614021</c:v>
                </c:pt>
                <c:pt idx="347">
                  <c:v>97.679298245614021</c:v>
                </c:pt>
                <c:pt idx="348">
                  <c:v>97.679298245614021</c:v>
                </c:pt>
                <c:pt idx="349">
                  <c:v>97.679298245614021</c:v>
                </c:pt>
                <c:pt idx="350">
                  <c:v>97.679298245614021</c:v>
                </c:pt>
                <c:pt idx="351">
                  <c:v>97.679298245614021</c:v>
                </c:pt>
                <c:pt idx="352">
                  <c:v>97.679298245614021</c:v>
                </c:pt>
                <c:pt idx="353">
                  <c:v>97.679298245614021</c:v>
                </c:pt>
                <c:pt idx="354">
                  <c:v>97.679298245614021</c:v>
                </c:pt>
                <c:pt idx="355">
                  <c:v>97.679298245614021</c:v>
                </c:pt>
                <c:pt idx="356">
                  <c:v>97.679298245614021</c:v>
                </c:pt>
                <c:pt idx="357">
                  <c:v>97.679298245614021</c:v>
                </c:pt>
                <c:pt idx="358">
                  <c:v>97.679298245614021</c:v>
                </c:pt>
                <c:pt idx="359">
                  <c:v>97.679298245614021</c:v>
                </c:pt>
                <c:pt idx="360">
                  <c:v>97.679298245614021</c:v>
                </c:pt>
                <c:pt idx="361">
                  <c:v>97.679298245614021</c:v>
                </c:pt>
                <c:pt idx="362">
                  <c:v>97.679298245614021</c:v>
                </c:pt>
                <c:pt idx="363">
                  <c:v>97.679298245614021</c:v>
                </c:pt>
                <c:pt idx="364">
                  <c:v>97.679298245614021</c:v>
                </c:pt>
                <c:pt idx="365">
                  <c:v>97.679298245614021</c:v>
                </c:pt>
                <c:pt idx="366">
                  <c:v>97.679298245614021</c:v>
                </c:pt>
                <c:pt idx="367">
                  <c:v>97.679298245614021</c:v>
                </c:pt>
                <c:pt idx="368">
                  <c:v>97.679298245614021</c:v>
                </c:pt>
                <c:pt idx="369">
                  <c:v>97.679298245614021</c:v>
                </c:pt>
                <c:pt idx="370">
                  <c:v>97.679298245614021</c:v>
                </c:pt>
                <c:pt idx="371">
                  <c:v>97.679298245614021</c:v>
                </c:pt>
                <c:pt idx="372">
                  <c:v>97.679298245614021</c:v>
                </c:pt>
                <c:pt idx="373">
                  <c:v>97.679298245614021</c:v>
                </c:pt>
                <c:pt idx="374">
                  <c:v>97.679298245614021</c:v>
                </c:pt>
                <c:pt idx="375">
                  <c:v>97.679298245614021</c:v>
                </c:pt>
                <c:pt idx="376">
                  <c:v>97.679298245614021</c:v>
                </c:pt>
                <c:pt idx="377">
                  <c:v>97.679298245614021</c:v>
                </c:pt>
                <c:pt idx="378">
                  <c:v>97.679298245614021</c:v>
                </c:pt>
                <c:pt idx="379">
                  <c:v>97.679298245614021</c:v>
                </c:pt>
                <c:pt idx="380">
                  <c:v>97.679298245614021</c:v>
                </c:pt>
                <c:pt idx="381">
                  <c:v>97.679298245614021</c:v>
                </c:pt>
                <c:pt idx="382">
                  <c:v>97.679298245614021</c:v>
                </c:pt>
                <c:pt idx="383">
                  <c:v>97.679298245614021</c:v>
                </c:pt>
                <c:pt idx="384">
                  <c:v>97.679298245614021</c:v>
                </c:pt>
                <c:pt idx="385">
                  <c:v>97.679298245614021</c:v>
                </c:pt>
                <c:pt idx="386">
                  <c:v>97.679298245614021</c:v>
                </c:pt>
                <c:pt idx="387">
                  <c:v>97.679298245614021</c:v>
                </c:pt>
                <c:pt idx="388">
                  <c:v>97.679298245614021</c:v>
                </c:pt>
                <c:pt idx="389">
                  <c:v>97.679298245614021</c:v>
                </c:pt>
                <c:pt idx="390">
                  <c:v>97.679298245614021</c:v>
                </c:pt>
                <c:pt idx="391">
                  <c:v>97.679298245614021</c:v>
                </c:pt>
                <c:pt idx="392">
                  <c:v>97.679298245614021</c:v>
                </c:pt>
                <c:pt idx="393">
                  <c:v>97.679298245614021</c:v>
                </c:pt>
                <c:pt idx="394">
                  <c:v>97.679298245614021</c:v>
                </c:pt>
                <c:pt idx="395">
                  <c:v>97.679298245614021</c:v>
                </c:pt>
                <c:pt idx="396">
                  <c:v>97.679298245614021</c:v>
                </c:pt>
                <c:pt idx="397">
                  <c:v>97.679298245614021</c:v>
                </c:pt>
                <c:pt idx="398">
                  <c:v>97.679298245614021</c:v>
                </c:pt>
                <c:pt idx="399">
                  <c:v>97.679298245614021</c:v>
                </c:pt>
                <c:pt idx="400">
                  <c:v>97.679298245614021</c:v>
                </c:pt>
                <c:pt idx="401">
                  <c:v>97.679298245614021</c:v>
                </c:pt>
                <c:pt idx="402">
                  <c:v>97.679298245614021</c:v>
                </c:pt>
                <c:pt idx="403">
                  <c:v>97.679298245614021</c:v>
                </c:pt>
                <c:pt idx="404">
                  <c:v>97.679298245614021</c:v>
                </c:pt>
                <c:pt idx="405">
                  <c:v>97.679298245614021</c:v>
                </c:pt>
                <c:pt idx="406">
                  <c:v>97.679298245614021</c:v>
                </c:pt>
                <c:pt idx="407">
                  <c:v>97.679298245614021</c:v>
                </c:pt>
                <c:pt idx="408">
                  <c:v>97.679298245614021</c:v>
                </c:pt>
                <c:pt idx="409">
                  <c:v>97.679298245614021</c:v>
                </c:pt>
                <c:pt idx="410">
                  <c:v>97.679298245614021</c:v>
                </c:pt>
                <c:pt idx="411">
                  <c:v>97.679298245614021</c:v>
                </c:pt>
                <c:pt idx="412">
                  <c:v>97.679298245614021</c:v>
                </c:pt>
                <c:pt idx="413">
                  <c:v>97.679298245614021</c:v>
                </c:pt>
                <c:pt idx="414">
                  <c:v>97.679298245614021</c:v>
                </c:pt>
                <c:pt idx="415">
                  <c:v>97.679298245614021</c:v>
                </c:pt>
                <c:pt idx="416">
                  <c:v>97.679298245614021</c:v>
                </c:pt>
                <c:pt idx="417">
                  <c:v>97.679298245614021</c:v>
                </c:pt>
                <c:pt idx="418">
                  <c:v>97.679298245614021</c:v>
                </c:pt>
                <c:pt idx="419">
                  <c:v>97.679298245614021</c:v>
                </c:pt>
                <c:pt idx="420">
                  <c:v>97.679298245614021</c:v>
                </c:pt>
                <c:pt idx="421">
                  <c:v>97.679298245614021</c:v>
                </c:pt>
                <c:pt idx="422">
                  <c:v>97.679298245614021</c:v>
                </c:pt>
                <c:pt idx="423">
                  <c:v>97.679298245614021</c:v>
                </c:pt>
                <c:pt idx="424">
                  <c:v>97.679298245614021</c:v>
                </c:pt>
                <c:pt idx="425">
                  <c:v>97.679298245614021</c:v>
                </c:pt>
                <c:pt idx="426">
                  <c:v>97.679298245614021</c:v>
                </c:pt>
                <c:pt idx="427">
                  <c:v>97.679298245614021</c:v>
                </c:pt>
                <c:pt idx="428">
                  <c:v>97.679298245614021</c:v>
                </c:pt>
                <c:pt idx="429">
                  <c:v>97.679298245614021</c:v>
                </c:pt>
                <c:pt idx="430">
                  <c:v>97.679298245614021</c:v>
                </c:pt>
                <c:pt idx="431">
                  <c:v>97.679298245614021</c:v>
                </c:pt>
                <c:pt idx="432">
                  <c:v>97.679298245614021</c:v>
                </c:pt>
                <c:pt idx="433">
                  <c:v>97.679298245614021</c:v>
                </c:pt>
                <c:pt idx="434">
                  <c:v>97.679298245614021</c:v>
                </c:pt>
                <c:pt idx="435">
                  <c:v>97.679298245614021</c:v>
                </c:pt>
                <c:pt idx="436">
                  <c:v>97.679298245614021</c:v>
                </c:pt>
                <c:pt idx="437">
                  <c:v>97.679298245614021</c:v>
                </c:pt>
                <c:pt idx="438">
                  <c:v>97.679298245614021</c:v>
                </c:pt>
                <c:pt idx="439">
                  <c:v>97.679298245614021</c:v>
                </c:pt>
                <c:pt idx="440">
                  <c:v>97.679298245614021</c:v>
                </c:pt>
                <c:pt idx="441">
                  <c:v>97.679298245614021</c:v>
                </c:pt>
                <c:pt idx="442">
                  <c:v>97.679298245614021</c:v>
                </c:pt>
                <c:pt idx="443">
                  <c:v>97.679298245614021</c:v>
                </c:pt>
                <c:pt idx="444">
                  <c:v>97.679298245614021</c:v>
                </c:pt>
                <c:pt idx="445">
                  <c:v>97.679298245614021</c:v>
                </c:pt>
                <c:pt idx="446">
                  <c:v>97.679298245614021</c:v>
                </c:pt>
                <c:pt idx="447">
                  <c:v>97.679298245614021</c:v>
                </c:pt>
                <c:pt idx="448">
                  <c:v>97.679298245614021</c:v>
                </c:pt>
                <c:pt idx="449">
                  <c:v>97.679298245614021</c:v>
                </c:pt>
                <c:pt idx="450">
                  <c:v>97.679298245614021</c:v>
                </c:pt>
                <c:pt idx="451">
                  <c:v>97.679298245614021</c:v>
                </c:pt>
                <c:pt idx="452">
                  <c:v>97.679298245614021</c:v>
                </c:pt>
                <c:pt idx="453">
                  <c:v>97.679298245614021</c:v>
                </c:pt>
                <c:pt idx="454">
                  <c:v>97.679298245614021</c:v>
                </c:pt>
                <c:pt idx="455">
                  <c:v>97.679298245614021</c:v>
                </c:pt>
                <c:pt idx="456">
                  <c:v>97.679298245614021</c:v>
                </c:pt>
                <c:pt idx="457">
                  <c:v>97.679298245614021</c:v>
                </c:pt>
                <c:pt idx="458">
                  <c:v>97.679298245614021</c:v>
                </c:pt>
                <c:pt idx="459">
                  <c:v>369.1894736842105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E3-4FEC-B15F-63BCF865F4C1}"/>
            </c:ext>
          </c:extLst>
        </c:ser>
        <c:ser>
          <c:idx val="1"/>
          <c:order val="1"/>
          <c:tx>
            <c:v>Steigungsgerade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Auswertung!$A$8:$A$9</c:f>
              <c:numCache>
                <c:formatCode>0.000</c:formatCode>
                <c:ptCount val="2"/>
                <c:pt idx="0">
                  <c:v>-6.9876018728959398E-7</c:v>
                </c:pt>
                <c:pt idx="1">
                  <c:v>2.4985108534616302E-3</c:v>
                </c:pt>
              </c:numCache>
            </c:numRef>
          </c:xVal>
          <c:yVal>
            <c:numRef>
              <c:f>Auswertung!$B$8:$B$9</c:f>
              <c:numCache>
                <c:formatCode>0.000</c:formatCode>
                <c:ptCount val="2"/>
                <c:pt idx="0">
                  <c:v>0</c:v>
                </c:pt>
                <c:pt idx="1">
                  <c:v>369.1894736842105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E3-4FEC-B15F-63BCF865F4C1}"/>
            </c:ext>
          </c:extLst>
        </c:ser>
        <c:ser>
          <c:idx val="2"/>
          <c:order val="2"/>
          <c:tx>
            <c:v>Rp02</c:v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Auswertung!$C$8:$C$9</c:f>
              <c:numCache>
                <c:formatCode>0.000</c:formatCode>
                <c:ptCount val="2"/>
                <c:pt idx="0">
                  <c:v>1.9993012398127103E-3</c:v>
                </c:pt>
                <c:pt idx="1">
                  <c:v>4.4985108534616302E-3</c:v>
                </c:pt>
              </c:numCache>
            </c:numRef>
          </c:xVal>
          <c:yVal>
            <c:numRef>
              <c:f>Auswertung!$D$8:$D$9</c:f>
              <c:numCache>
                <c:formatCode>0.000</c:formatCode>
                <c:ptCount val="2"/>
                <c:pt idx="0">
                  <c:v>0</c:v>
                </c:pt>
                <c:pt idx="1">
                  <c:v>369.1894736842105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E3-4FEC-B15F-63BCF865F4C1}"/>
            </c:ext>
          </c:extLst>
        </c:ser>
        <c:ser>
          <c:idx val="3"/>
          <c:order val="3"/>
          <c:tx>
            <c:v>DeltaBruch</c:v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Auswertung!$E$8:$E$9</c:f>
              <c:numCache>
                <c:formatCode>0.000</c:formatCode>
                <c:ptCount val="2"/>
                <c:pt idx="0">
                  <c:v>0.47503526323513973</c:v>
                </c:pt>
                <c:pt idx="1">
                  <c:v>0.47753447284878864</c:v>
                </c:pt>
              </c:numCache>
            </c:numRef>
          </c:xVal>
          <c:yVal>
            <c:numRef>
              <c:f>Auswertung!$F$8:$F$9</c:f>
              <c:numCache>
                <c:formatCode>0.000</c:formatCode>
                <c:ptCount val="2"/>
                <c:pt idx="0">
                  <c:v>0</c:v>
                </c:pt>
                <c:pt idx="1">
                  <c:v>369.1894736842105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E3-4FEC-B15F-63BCF865F4C1}"/>
            </c:ext>
          </c:extLst>
        </c:ser>
        <c:ser>
          <c:idx val="4"/>
          <c:order val="4"/>
          <c:tx>
            <c:v>Schnittpunkt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Auswertung!$G$8:$G$9</c:f>
              <c:numCache>
                <c:formatCode>0.000</c:formatCode>
                <c:ptCount val="2"/>
                <c:pt idx="0">
                  <c:v>4.1719489307877151E-3</c:v>
                </c:pt>
                <c:pt idx="1">
                  <c:v>4.1719489307877151E-3</c:v>
                </c:pt>
              </c:numCache>
            </c:numRef>
          </c:xVal>
          <c:yVal>
            <c:numRef>
              <c:f>Auswertung!$H$8:$H$9</c:f>
              <c:numCache>
                <c:formatCode>0.000</c:formatCode>
                <c:ptCount val="2"/>
                <c:pt idx="0">
                  <c:v>397</c:v>
                </c:pt>
                <c:pt idx="1">
                  <c:v>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3E3-4FEC-B15F-63BCF865F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412096"/>
        <c:axId val="112227456"/>
      </c:scatterChart>
      <c:valAx>
        <c:axId val="107412096"/>
        <c:scaling>
          <c:orientation val="minMax"/>
          <c:max val="2.0000000000000004E-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350" b="1" i="0" u="none" strike="noStrike" baseline="0">
                    <a:solidFill>
                      <a:srgbClr val="000000"/>
                    </a:solidFill>
                    <a:latin typeface="Symbol"/>
                    <a:ea typeface="Symbol"/>
                    <a:cs typeface="Symbol"/>
                  </a:defRPr>
                </a:pPr>
                <a:r>
                  <a:rPr lang="de-DE"/>
                  <a:t>e</a:t>
                </a:r>
              </a:p>
            </c:rich>
          </c:tx>
          <c:layout>
            <c:manualLayout>
              <c:xMode val="edge"/>
              <c:yMode val="edge"/>
              <c:x val="0.51531626114303286"/>
              <c:y val="0.90909177675104658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227456"/>
        <c:crosses val="autoZero"/>
        <c:crossBetween val="midCat"/>
      </c:valAx>
      <c:valAx>
        <c:axId val="112227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 sz="1150" b="1" i="0" u="none" strike="noStrike" baseline="0">
                    <a:solidFill>
                      <a:srgbClr val="000000"/>
                    </a:solidFill>
                    <a:latin typeface="Symbol"/>
                  </a:rPr>
                  <a:t>s </a:t>
                </a:r>
                <a:r>
                  <a:rPr lang="de-DE" sz="11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[MPa]</a:t>
                </a:r>
                <a:endParaRPr lang="de-DE"/>
              </a:p>
            </c:rich>
          </c:tx>
          <c:layout>
            <c:manualLayout>
              <c:xMode val="edge"/>
              <c:yMode val="edge"/>
              <c:x val="9.0090090090090089E-3"/>
              <c:y val="0.419421921433374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4120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94183864915573"/>
          <c:y val="0.11570259606489305"/>
          <c:w val="0.84615384615384615"/>
          <c:h val="0.73967016770056626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00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Messdaten!$P$15:$P$474</c:f>
              <c:numCache>
                <c:formatCode>0.000</c:formatCode>
                <c:ptCount val="460"/>
                <c:pt idx="0">
                  <c:v>1.0424728487886383E-3</c:v>
                </c:pt>
                <c:pt idx="1">
                  <c:v>1.0424728487886383E-3</c:v>
                </c:pt>
                <c:pt idx="2">
                  <c:v>1.0424728487886383E-3</c:v>
                </c:pt>
                <c:pt idx="3">
                  <c:v>1.0424728487886383E-3</c:v>
                </c:pt>
                <c:pt idx="4">
                  <c:v>1.0424728487886383E-3</c:v>
                </c:pt>
                <c:pt idx="5">
                  <c:v>1.0424728487886383E-3</c:v>
                </c:pt>
                <c:pt idx="6">
                  <c:v>1.0424728487886383E-3</c:v>
                </c:pt>
                <c:pt idx="7">
                  <c:v>1.0424728487886383E-3</c:v>
                </c:pt>
                <c:pt idx="8">
                  <c:v>1.0424728487886383E-3</c:v>
                </c:pt>
                <c:pt idx="9">
                  <c:v>1.0424728487886383E-3</c:v>
                </c:pt>
                <c:pt idx="10">
                  <c:v>1.0424728487886383E-3</c:v>
                </c:pt>
                <c:pt idx="11">
                  <c:v>1.0424728487886383E-3</c:v>
                </c:pt>
                <c:pt idx="12">
                  <c:v>1.0424728487886383E-3</c:v>
                </c:pt>
                <c:pt idx="13">
                  <c:v>1.0424728487886383E-3</c:v>
                </c:pt>
                <c:pt idx="14">
                  <c:v>1.0424728487886383E-3</c:v>
                </c:pt>
                <c:pt idx="15">
                  <c:v>1.0424728487886383E-3</c:v>
                </c:pt>
                <c:pt idx="16">
                  <c:v>1.0424728487886383E-3</c:v>
                </c:pt>
                <c:pt idx="17">
                  <c:v>1.0424728487886383E-3</c:v>
                </c:pt>
                <c:pt idx="18">
                  <c:v>1.0424728487886383E-3</c:v>
                </c:pt>
                <c:pt idx="19">
                  <c:v>1.0424728487886383E-3</c:v>
                </c:pt>
                <c:pt idx="20">
                  <c:v>1.0424728487886383E-3</c:v>
                </c:pt>
                <c:pt idx="21">
                  <c:v>1.0424728487886383E-3</c:v>
                </c:pt>
                <c:pt idx="22">
                  <c:v>1.0424728487886383E-3</c:v>
                </c:pt>
                <c:pt idx="23">
                  <c:v>1.0424728487886383E-3</c:v>
                </c:pt>
                <c:pt idx="24">
                  <c:v>1.0424728487886383E-3</c:v>
                </c:pt>
                <c:pt idx="25">
                  <c:v>1.0424728487886383E-3</c:v>
                </c:pt>
                <c:pt idx="26">
                  <c:v>1.0424728487886383E-3</c:v>
                </c:pt>
                <c:pt idx="27">
                  <c:v>1.0424728487886383E-3</c:v>
                </c:pt>
                <c:pt idx="28">
                  <c:v>1.0424728487886383E-3</c:v>
                </c:pt>
                <c:pt idx="29">
                  <c:v>1.0424728487886383E-3</c:v>
                </c:pt>
                <c:pt idx="30">
                  <c:v>1.0424728487886383E-3</c:v>
                </c:pt>
                <c:pt idx="31">
                  <c:v>1.0424728487886383E-3</c:v>
                </c:pt>
                <c:pt idx="32">
                  <c:v>1.0424728487886383E-3</c:v>
                </c:pt>
                <c:pt idx="33">
                  <c:v>1.0424728487886383E-3</c:v>
                </c:pt>
                <c:pt idx="34">
                  <c:v>1.0424728487886383E-3</c:v>
                </c:pt>
                <c:pt idx="35">
                  <c:v>1.0424728487886383E-3</c:v>
                </c:pt>
                <c:pt idx="36">
                  <c:v>1.0424728487886383E-3</c:v>
                </c:pt>
                <c:pt idx="37">
                  <c:v>1.0424728487886383E-3</c:v>
                </c:pt>
                <c:pt idx="38">
                  <c:v>1.0424728487886383E-3</c:v>
                </c:pt>
                <c:pt idx="39">
                  <c:v>1.0424728487886383E-3</c:v>
                </c:pt>
                <c:pt idx="40">
                  <c:v>1.0424728487886383E-3</c:v>
                </c:pt>
                <c:pt idx="41">
                  <c:v>1.0424728487886383E-3</c:v>
                </c:pt>
                <c:pt idx="42">
                  <c:v>1.0424728487886383E-3</c:v>
                </c:pt>
                <c:pt idx="43">
                  <c:v>1.0424728487886383E-3</c:v>
                </c:pt>
                <c:pt idx="44">
                  <c:v>1.0424728487886383E-3</c:v>
                </c:pt>
                <c:pt idx="45">
                  <c:v>1.0424728487886383E-3</c:v>
                </c:pt>
                <c:pt idx="46">
                  <c:v>1.0424728487886383E-3</c:v>
                </c:pt>
                <c:pt idx="47">
                  <c:v>1.0424728487886383E-3</c:v>
                </c:pt>
                <c:pt idx="48">
                  <c:v>1.0424728487886383E-3</c:v>
                </c:pt>
                <c:pt idx="49">
                  <c:v>1.0424728487886383E-3</c:v>
                </c:pt>
                <c:pt idx="50">
                  <c:v>1.0424728487886383E-3</c:v>
                </c:pt>
                <c:pt idx="51">
                  <c:v>1.0424728487886383E-3</c:v>
                </c:pt>
                <c:pt idx="52">
                  <c:v>1.0424728487886383E-3</c:v>
                </c:pt>
                <c:pt idx="53">
                  <c:v>1.0424728487886383E-3</c:v>
                </c:pt>
                <c:pt idx="54">
                  <c:v>1.0424728487886383E-3</c:v>
                </c:pt>
                <c:pt idx="55">
                  <c:v>1.0424728487886383E-3</c:v>
                </c:pt>
                <c:pt idx="56">
                  <c:v>1.0424728487886383E-3</c:v>
                </c:pt>
                <c:pt idx="57">
                  <c:v>1.0424728487886383E-3</c:v>
                </c:pt>
                <c:pt idx="58">
                  <c:v>1.0424728487886383E-3</c:v>
                </c:pt>
                <c:pt idx="59">
                  <c:v>1.0424728487886383E-3</c:v>
                </c:pt>
                <c:pt idx="60">
                  <c:v>1.0424728487886383E-3</c:v>
                </c:pt>
                <c:pt idx="61">
                  <c:v>1.0424728487886383E-3</c:v>
                </c:pt>
                <c:pt idx="62">
                  <c:v>1.0424728487886383E-3</c:v>
                </c:pt>
                <c:pt idx="63">
                  <c:v>1.0424728487886383E-3</c:v>
                </c:pt>
                <c:pt idx="64">
                  <c:v>1.0424728487886383E-3</c:v>
                </c:pt>
                <c:pt idx="65">
                  <c:v>1.0424728487886383E-3</c:v>
                </c:pt>
                <c:pt idx="66">
                  <c:v>1.0424728487886383E-3</c:v>
                </c:pt>
                <c:pt idx="67">
                  <c:v>1.0424728487886383E-3</c:v>
                </c:pt>
                <c:pt idx="68">
                  <c:v>1.0424728487886383E-3</c:v>
                </c:pt>
                <c:pt idx="69">
                  <c:v>1.0424728487886383E-3</c:v>
                </c:pt>
                <c:pt idx="70">
                  <c:v>1.0424728487886383E-3</c:v>
                </c:pt>
                <c:pt idx="71">
                  <c:v>1.0424728487886383E-3</c:v>
                </c:pt>
                <c:pt idx="72">
                  <c:v>1.0424728487886383E-3</c:v>
                </c:pt>
                <c:pt idx="73">
                  <c:v>1.0424728487886383E-3</c:v>
                </c:pt>
                <c:pt idx="74">
                  <c:v>1.0424728487886383E-3</c:v>
                </c:pt>
                <c:pt idx="75">
                  <c:v>1.0424728487886383E-3</c:v>
                </c:pt>
                <c:pt idx="76">
                  <c:v>1.0424728487886383E-3</c:v>
                </c:pt>
                <c:pt idx="77">
                  <c:v>1.0424728487886383E-3</c:v>
                </c:pt>
                <c:pt idx="78">
                  <c:v>1.0424728487886383E-3</c:v>
                </c:pt>
                <c:pt idx="79">
                  <c:v>1.0424728487886383E-3</c:v>
                </c:pt>
                <c:pt idx="80">
                  <c:v>1.0424728487886383E-3</c:v>
                </c:pt>
                <c:pt idx="81">
                  <c:v>1.0424728487886383E-3</c:v>
                </c:pt>
                <c:pt idx="82">
                  <c:v>1.0424728487886383E-3</c:v>
                </c:pt>
                <c:pt idx="83">
                  <c:v>1.0424728487886383E-3</c:v>
                </c:pt>
                <c:pt idx="84">
                  <c:v>1.0424728487886383E-3</c:v>
                </c:pt>
                <c:pt idx="85">
                  <c:v>1.0424728487886383E-3</c:v>
                </c:pt>
                <c:pt idx="86">
                  <c:v>1.0424728487886383E-3</c:v>
                </c:pt>
                <c:pt idx="87">
                  <c:v>1.0424728487886383E-3</c:v>
                </c:pt>
                <c:pt idx="88">
                  <c:v>1.0424728487886383E-3</c:v>
                </c:pt>
                <c:pt idx="89">
                  <c:v>1.0424728487886383E-3</c:v>
                </c:pt>
                <c:pt idx="90">
                  <c:v>1.0424728487886383E-3</c:v>
                </c:pt>
                <c:pt idx="91">
                  <c:v>1.0424728487886383E-3</c:v>
                </c:pt>
                <c:pt idx="92">
                  <c:v>1.0424728487886383E-3</c:v>
                </c:pt>
                <c:pt idx="93">
                  <c:v>1.0424728487886383E-3</c:v>
                </c:pt>
                <c:pt idx="94">
                  <c:v>1.0424728487886383E-3</c:v>
                </c:pt>
                <c:pt idx="95">
                  <c:v>1.0424728487886383E-3</c:v>
                </c:pt>
                <c:pt idx="96">
                  <c:v>1.0424728487886383E-3</c:v>
                </c:pt>
                <c:pt idx="97">
                  <c:v>1.0424728487886383E-3</c:v>
                </c:pt>
                <c:pt idx="98">
                  <c:v>1.0424728487886383E-3</c:v>
                </c:pt>
                <c:pt idx="99">
                  <c:v>1.0424728487886383E-3</c:v>
                </c:pt>
                <c:pt idx="100">
                  <c:v>1.0424728487886383E-3</c:v>
                </c:pt>
                <c:pt idx="101">
                  <c:v>1.0424728487886383E-3</c:v>
                </c:pt>
                <c:pt idx="102">
                  <c:v>1.0424728487886383E-3</c:v>
                </c:pt>
                <c:pt idx="103">
                  <c:v>1.0424728487886383E-3</c:v>
                </c:pt>
                <c:pt idx="104">
                  <c:v>1.0424728487886383E-3</c:v>
                </c:pt>
                <c:pt idx="105">
                  <c:v>1.0424728487886383E-3</c:v>
                </c:pt>
                <c:pt idx="106">
                  <c:v>1.0424728487886383E-3</c:v>
                </c:pt>
                <c:pt idx="107">
                  <c:v>1.0424728487886383E-3</c:v>
                </c:pt>
                <c:pt idx="108">
                  <c:v>1.0424728487886383E-3</c:v>
                </c:pt>
                <c:pt idx="109">
                  <c:v>1.0424728487886383E-3</c:v>
                </c:pt>
                <c:pt idx="110">
                  <c:v>1.0424728487886383E-3</c:v>
                </c:pt>
                <c:pt idx="111">
                  <c:v>1.0424728487886383E-3</c:v>
                </c:pt>
                <c:pt idx="112">
                  <c:v>1.0424728487886383E-3</c:v>
                </c:pt>
                <c:pt idx="113">
                  <c:v>1.0424728487886383E-3</c:v>
                </c:pt>
                <c:pt idx="114">
                  <c:v>1.0424728487886383E-3</c:v>
                </c:pt>
                <c:pt idx="115">
                  <c:v>1.0424728487886383E-3</c:v>
                </c:pt>
                <c:pt idx="116">
                  <c:v>1.0424728487886383E-3</c:v>
                </c:pt>
                <c:pt idx="117">
                  <c:v>1.0424728487886383E-3</c:v>
                </c:pt>
                <c:pt idx="118">
                  <c:v>1.0424728487886383E-3</c:v>
                </c:pt>
                <c:pt idx="119">
                  <c:v>1.0424728487886383E-3</c:v>
                </c:pt>
                <c:pt idx="120">
                  <c:v>1.0424728487886383E-3</c:v>
                </c:pt>
                <c:pt idx="121">
                  <c:v>1.0424728487886383E-3</c:v>
                </c:pt>
                <c:pt idx="122">
                  <c:v>1.0424728487886383E-3</c:v>
                </c:pt>
                <c:pt idx="123">
                  <c:v>1.0424728487886383E-3</c:v>
                </c:pt>
                <c:pt idx="124">
                  <c:v>1.0424728487886383E-3</c:v>
                </c:pt>
                <c:pt idx="125">
                  <c:v>1.0424728487886383E-3</c:v>
                </c:pt>
                <c:pt idx="126">
                  <c:v>1.0424728487886383E-3</c:v>
                </c:pt>
                <c:pt idx="127">
                  <c:v>1.0424728487886383E-3</c:v>
                </c:pt>
                <c:pt idx="128">
                  <c:v>1.0424728487886383E-3</c:v>
                </c:pt>
                <c:pt idx="129">
                  <c:v>1.0424728487886383E-3</c:v>
                </c:pt>
                <c:pt idx="130">
                  <c:v>1.0424728487886383E-3</c:v>
                </c:pt>
                <c:pt idx="131">
                  <c:v>1.0424728487886383E-3</c:v>
                </c:pt>
                <c:pt idx="132">
                  <c:v>1.0424728487886383E-3</c:v>
                </c:pt>
                <c:pt idx="133">
                  <c:v>1.0424728487886383E-3</c:v>
                </c:pt>
                <c:pt idx="134">
                  <c:v>1.0424728487886383E-3</c:v>
                </c:pt>
                <c:pt idx="135">
                  <c:v>1.0424728487886383E-3</c:v>
                </c:pt>
                <c:pt idx="136">
                  <c:v>1.0424728487886383E-3</c:v>
                </c:pt>
                <c:pt idx="137">
                  <c:v>1.0424728487886383E-3</c:v>
                </c:pt>
                <c:pt idx="138">
                  <c:v>1.0424728487886383E-3</c:v>
                </c:pt>
                <c:pt idx="139">
                  <c:v>1.0424728487886383E-3</c:v>
                </c:pt>
                <c:pt idx="140">
                  <c:v>1.0424728487886383E-3</c:v>
                </c:pt>
                <c:pt idx="141">
                  <c:v>1.0424728487886383E-3</c:v>
                </c:pt>
                <c:pt idx="142">
                  <c:v>1.0424728487886383E-3</c:v>
                </c:pt>
                <c:pt idx="143">
                  <c:v>1.0424728487886383E-3</c:v>
                </c:pt>
                <c:pt idx="144">
                  <c:v>1.0424728487886383E-3</c:v>
                </c:pt>
                <c:pt idx="145">
                  <c:v>1.0424728487886383E-3</c:v>
                </c:pt>
                <c:pt idx="146">
                  <c:v>1.0424728487886383E-3</c:v>
                </c:pt>
                <c:pt idx="147">
                  <c:v>1.0424728487886383E-3</c:v>
                </c:pt>
                <c:pt idx="148">
                  <c:v>1.0424728487886383E-3</c:v>
                </c:pt>
                <c:pt idx="149">
                  <c:v>1.0424728487886383E-3</c:v>
                </c:pt>
                <c:pt idx="150">
                  <c:v>1.0424728487886383E-3</c:v>
                </c:pt>
                <c:pt idx="151">
                  <c:v>1.0424728487886383E-3</c:v>
                </c:pt>
                <c:pt idx="152">
                  <c:v>1.0424728487886383E-3</c:v>
                </c:pt>
                <c:pt idx="153">
                  <c:v>1.0424728487886383E-3</c:v>
                </c:pt>
                <c:pt idx="154">
                  <c:v>1.0424728487886383E-3</c:v>
                </c:pt>
                <c:pt idx="155">
                  <c:v>1.0424728487886383E-3</c:v>
                </c:pt>
                <c:pt idx="156">
                  <c:v>1.0424728487886383E-3</c:v>
                </c:pt>
                <c:pt idx="157">
                  <c:v>1.0424728487886383E-3</c:v>
                </c:pt>
                <c:pt idx="158">
                  <c:v>1.0424728487886383E-3</c:v>
                </c:pt>
                <c:pt idx="159">
                  <c:v>1.0424728487886383E-3</c:v>
                </c:pt>
                <c:pt idx="160">
                  <c:v>1.0424728487886383E-3</c:v>
                </c:pt>
                <c:pt idx="161">
                  <c:v>1.0424728487886383E-3</c:v>
                </c:pt>
                <c:pt idx="162">
                  <c:v>1.0424728487886383E-3</c:v>
                </c:pt>
                <c:pt idx="163">
                  <c:v>1.0424728487886383E-3</c:v>
                </c:pt>
                <c:pt idx="164">
                  <c:v>1.0424728487886383E-3</c:v>
                </c:pt>
                <c:pt idx="165">
                  <c:v>1.0424728487886383E-3</c:v>
                </c:pt>
                <c:pt idx="166">
                  <c:v>1.0424728487886383E-3</c:v>
                </c:pt>
                <c:pt idx="167">
                  <c:v>1.0424728487886383E-3</c:v>
                </c:pt>
                <c:pt idx="168">
                  <c:v>1.0424728487886383E-3</c:v>
                </c:pt>
                <c:pt idx="169">
                  <c:v>1.0424728487886383E-3</c:v>
                </c:pt>
                <c:pt idx="170">
                  <c:v>1.0424728487886383E-3</c:v>
                </c:pt>
                <c:pt idx="171">
                  <c:v>1.0424728487886383E-3</c:v>
                </c:pt>
                <c:pt idx="172">
                  <c:v>1.0424728487886383E-3</c:v>
                </c:pt>
                <c:pt idx="173">
                  <c:v>1.0424728487886383E-3</c:v>
                </c:pt>
                <c:pt idx="174">
                  <c:v>1.0424728487886383E-3</c:v>
                </c:pt>
                <c:pt idx="175">
                  <c:v>1.0424728487886383E-3</c:v>
                </c:pt>
                <c:pt idx="176">
                  <c:v>1.0424728487886383E-3</c:v>
                </c:pt>
                <c:pt idx="177">
                  <c:v>1.0424728487886383E-3</c:v>
                </c:pt>
                <c:pt idx="178">
                  <c:v>1.0424728487886383E-3</c:v>
                </c:pt>
                <c:pt idx="179">
                  <c:v>1.0424728487886383E-3</c:v>
                </c:pt>
                <c:pt idx="180">
                  <c:v>1.0424728487886383E-3</c:v>
                </c:pt>
                <c:pt idx="181">
                  <c:v>1.0424728487886383E-3</c:v>
                </c:pt>
                <c:pt idx="182">
                  <c:v>1.0424728487886383E-3</c:v>
                </c:pt>
                <c:pt idx="183">
                  <c:v>1.0424728487886383E-3</c:v>
                </c:pt>
                <c:pt idx="184">
                  <c:v>1.0424728487886383E-3</c:v>
                </c:pt>
                <c:pt idx="185">
                  <c:v>1.0424728487886383E-3</c:v>
                </c:pt>
                <c:pt idx="186">
                  <c:v>1.0424728487886383E-3</c:v>
                </c:pt>
                <c:pt idx="187">
                  <c:v>1.0424728487886383E-3</c:v>
                </c:pt>
                <c:pt idx="188">
                  <c:v>1.0424728487886383E-3</c:v>
                </c:pt>
                <c:pt idx="189">
                  <c:v>1.0424728487886383E-3</c:v>
                </c:pt>
                <c:pt idx="190">
                  <c:v>1.0424728487886383E-3</c:v>
                </c:pt>
                <c:pt idx="191">
                  <c:v>1.0424728487886383E-3</c:v>
                </c:pt>
                <c:pt idx="192">
                  <c:v>1.0424728487886383E-3</c:v>
                </c:pt>
                <c:pt idx="193">
                  <c:v>1.0424728487886383E-3</c:v>
                </c:pt>
                <c:pt idx="194">
                  <c:v>1.0424728487886383E-3</c:v>
                </c:pt>
                <c:pt idx="195">
                  <c:v>1.0424728487886383E-3</c:v>
                </c:pt>
                <c:pt idx="196">
                  <c:v>1.0424728487886383E-3</c:v>
                </c:pt>
                <c:pt idx="197">
                  <c:v>1.0424728487886383E-3</c:v>
                </c:pt>
                <c:pt idx="198">
                  <c:v>1.0424728487886383E-3</c:v>
                </c:pt>
                <c:pt idx="199">
                  <c:v>1.0424728487886383E-3</c:v>
                </c:pt>
                <c:pt idx="200">
                  <c:v>1.0424728487886383E-3</c:v>
                </c:pt>
                <c:pt idx="201">
                  <c:v>1.0424728487886383E-3</c:v>
                </c:pt>
                <c:pt idx="202">
                  <c:v>1.0424728487886383E-3</c:v>
                </c:pt>
                <c:pt idx="203">
                  <c:v>1.0424728487886383E-3</c:v>
                </c:pt>
                <c:pt idx="204">
                  <c:v>1.0424728487886383E-3</c:v>
                </c:pt>
                <c:pt idx="205">
                  <c:v>1.0424728487886383E-3</c:v>
                </c:pt>
                <c:pt idx="206">
                  <c:v>1.0424728487886383E-3</c:v>
                </c:pt>
                <c:pt idx="207">
                  <c:v>1.0424728487886383E-3</c:v>
                </c:pt>
                <c:pt idx="208">
                  <c:v>1.0424728487886383E-3</c:v>
                </c:pt>
                <c:pt idx="209">
                  <c:v>1.0424728487886383E-3</c:v>
                </c:pt>
                <c:pt idx="210">
                  <c:v>1.0424728487886383E-3</c:v>
                </c:pt>
                <c:pt idx="211">
                  <c:v>1.0424728487886383E-3</c:v>
                </c:pt>
                <c:pt idx="212">
                  <c:v>1.0424728487886383E-3</c:v>
                </c:pt>
                <c:pt idx="213">
                  <c:v>1.0424728487886383E-3</c:v>
                </c:pt>
                <c:pt idx="214">
                  <c:v>1.0424728487886383E-3</c:v>
                </c:pt>
                <c:pt idx="215">
                  <c:v>1.0424728487886383E-3</c:v>
                </c:pt>
                <c:pt idx="216">
                  <c:v>1.0424728487886383E-3</c:v>
                </c:pt>
                <c:pt idx="217">
                  <c:v>1.0424728487886383E-3</c:v>
                </c:pt>
                <c:pt idx="218">
                  <c:v>1.0424728487886383E-3</c:v>
                </c:pt>
                <c:pt idx="219">
                  <c:v>1.0424728487886383E-3</c:v>
                </c:pt>
                <c:pt idx="220">
                  <c:v>1.0424728487886383E-3</c:v>
                </c:pt>
                <c:pt idx="221">
                  <c:v>1.0424728487886383E-3</c:v>
                </c:pt>
                <c:pt idx="222">
                  <c:v>1.0424728487886383E-3</c:v>
                </c:pt>
                <c:pt idx="223">
                  <c:v>1.0424728487886383E-3</c:v>
                </c:pt>
                <c:pt idx="224">
                  <c:v>1.0424728487886383E-3</c:v>
                </c:pt>
                <c:pt idx="225">
                  <c:v>1.0424728487886383E-3</c:v>
                </c:pt>
                <c:pt idx="226">
                  <c:v>1.0424728487886383E-3</c:v>
                </c:pt>
                <c:pt idx="227">
                  <c:v>1.0424728487886383E-3</c:v>
                </c:pt>
                <c:pt idx="228">
                  <c:v>1.0424728487886383E-3</c:v>
                </c:pt>
                <c:pt idx="229">
                  <c:v>1.0424728487886383E-3</c:v>
                </c:pt>
                <c:pt idx="230">
                  <c:v>1.0424728487886383E-3</c:v>
                </c:pt>
                <c:pt idx="231">
                  <c:v>1.0424728487886383E-3</c:v>
                </c:pt>
                <c:pt idx="232">
                  <c:v>1.0424728487886383E-3</c:v>
                </c:pt>
                <c:pt idx="233">
                  <c:v>1.0424728487886383E-3</c:v>
                </c:pt>
                <c:pt idx="234">
                  <c:v>1.0424728487886383E-3</c:v>
                </c:pt>
                <c:pt idx="235">
                  <c:v>1.0424728487886383E-3</c:v>
                </c:pt>
                <c:pt idx="236">
                  <c:v>1.0424728487886383E-3</c:v>
                </c:pt>
                <c:pt idx="237">
                  <c:v>1.0424728487886383E-3</c:v>
                </c:pt>
                <c:pt idx="238">
                  <c:v>1.0424728487886383E-3</c:v>
                </c:pt>
                <c:pt idx="239">
                  <c:v>1.0424728487886383E-3</c:v>
                </c:pt>
                <c:pt idx="240">
                  <c:v>1.0424728487886383E-3</c:v>
                </c:pt>
                <c:pt idx="241">
                  <c:v>1.0424728487886383E-3</c:v>
                </c:pt>
                <c:pt idx="242">
                  <c:v>1.0424728487886383E-3</c:v>
                </c:pt>
                <c:pt idx="243">
                  <c:v>1.0424728487886383E-3</c:v>
                </c:pt>
                <c:pt idx="244">
                  <c:v>1.0424728487886383E-3</c:v>
                </c:pt>
                <c:pt idx="245">
                  <c:v>1.0424728487886383E-3</c:v>
                </c:pt>
                <c:pt idx="246">
                  <c:v>1.0424728487886383E-3</c:v>
                </c:pt>
                <c:pt idx="247">
                  <c:v>1.0424728487886383E-3</c:v>
                </c:pt>
                <c:pt idx="248">
                  <c:v>1.0424728487886383E-3</c:v>
                </c:pt>
                <c:pt idx="249">
                  <c:v>1.0424728487886383E-3</c:v>
                </c:pt>
                <c:pt idx="250">
                  <c:v>1.0424728487886383E-3</c:v>
                </c:pt>
                <c:pt idx="251">
                  <c:v>1.0424728487886383E-3</c:v>
                </c:pt>
                <c:pt idx="252">
                  <c:v>1.0424728487886383E-3</c:v>
                </c:pt>
                <c:pt idx="253">
                  <c:v>1.0424728487886383E-3</c:v>
                </c:pt>
                <c:pt idx="254">
                  <c:v>1.0424728487886383E-3</c:v>
                </c:pt>
                <c:pt idx="255">
                  <c:v>1.0424728487886383E-3</c:v>
                </c:pt>
                <c:pt idx="256">
                  <c:v>1.0424728487886383E-3</c:v>
                </c:pt>
                <c:pt idx="257">
                  <c:v>1.0424728487886383E-3</c:v>
                </c:pt>
                <c:pt idx="258">
                  <c:v>1.0424728487886383E-3</c:v>
                </c:pt>
                <c:pt idx="259">
                  <c:v>1.0424728487886383E-3</c:v>
                </c:pt>
                <c:pt idx="260">
                  <c:v>1.0424728487886383E-3</c:v>
                </c:pt>
                <c:pt idx="261">
                  <c:v>1.0424728487886383E-3</c:v>
                </c:pt>
                <c:pt idx="262">
                  <c:v>1.0424728487886383E-3</c:v>
                </c:pt>
                <c:pt idx="263">
                  <c:v>1.0424728487886383E-3</c:v>
                </c:pt>
                <c:pt idx="264">
                  <c:v>1.0424728487886383E-3</c:v>
                </c:pt>
                <c:pt idx="265">
                  <c:v>1.0424728487886383E-3</c:v>
                </c:pt>
                <c:pt idx="266">
                  <c:v>1.0424728487886383E-3</c:v>
                </c:pt>
                <c:pt idx="267">
                  <c:v>1.0424728487886383E-3</c:v>
                </c:pt>
                <c:pt idx="268">
                  <c:v>1.0424728487886383E-3</c:v>
                </c:pt>
                <c:pt idx="269">
                  <c:v>1.0424728487886383E-3</c:v>
                </c:pt>
                <c:pt idx="270">
                  <c:v>1.0424728487886383E-3</c:v>
                </c:pt>
                <c:pt idx="271">
                  <c:v>1.0424728487886383E-3</c:v>
                </c:pt>
                <c:pt idx="272">
                  <c:v>1.0424728487886383E-3</c:v>
                </c:pt>
                <c:pt idx="273">
                  <c:v>1.0424728487886383E-3</c:v>
                </c:pt>
                <c:pt idx="274">
                  <c:v>1.0424728487886383E-3</c:v>
                </c:pt>
                <c:pt idx="275">
                  <c:v>1.0424728487886383E-3</c:v>
                </c:pt>
                <c:pt idx="276">
                  <c:v>1.0424728487886383E-3</c:v>
                </c:pt>
                <c:pt idx="277">
                  <c:v>1.0424728487886383E-3</c:v>
                </c:pt>
                <c:pt idx="278">
                  <c:v>1.0424728487886383E-3</c:v>
                </c:pt>
                <c:pt idx="279">
                  <c:v>1.0424728487886383E-3</c:v>
                </c:pt>
                <c:pt idx="280">
                  <c:v>1.0424728487886383E-3</c:v>
                </c:pt>
                <c:pt idx="281">
                  <c:v>1.0424728487886383E-3</c:v>
                </c:pt>
                <c:pt idx="282">
                  <c:v>1.0424728487886383E-3</c:v>
                </c:pt>
                <c:pt idx="283">
                  <c:v>1.0424728487886383E-3</c:v>
                </c:pt>
                <c:pt idx="284">
                  <c:v>1.0424728487886383E-3</c:v>
                </c:pt>
                <c:pt idx="285">
                  <c:v>1.0424728487886383E-3</c:v>
                </c:pt>
                <c:pt idx="286">
                  <c:v>1.0424728487886383E-3</c:v>
                </c:pt>
                <c:pt idx="287">
                  <c:v>1.0424728487886383E-3</c:v>
                </c:pt>
                <c:pt idx="288">
                  <c:v>1.0424728487886383E-3</c:v>
                </c:pt>
                <c:pt idx="289">
                  <c:v>1.0424728487886383E-3</c:v>
                </c:pt>
                <c:pt idx="290">
                  <c:v>1.0424728487886383E-3</c:v>
                </c:pt>
                <c:pt idx="291">
                  <c:v>1.0424728487886383E-3</c:v>
                </c:pt>
                <c:pt idx="292">
                  <c:v>1.0424728487886383E-3</c:v>
                </c:pt>
                <c:pt idx="293">
                  <c:v>1.0424728487886383E-3</c:v>
                </c:pt>
                <c:pt idx="294">
                  <c:v>1.0424728487886383E-3</c:v>
                </c:pt>
                <c:pt idx="295">
                  <c:v>1.0424728487886383E-3</c:v>
                </c:pt>
                <c:pt idx="296">
                  <c:v>1.0424728487886383E-3</c:v>
                </c:pt>
                <c:pt idx="297">
                  <c:v>1.0424728487886383E-3</c:v>
                </c:pt>
                <c:pt idx="298">
                  <c:v>1.0424728487886383E-3</c:v>
                </c:pt>
                <c:pt idx="299">
                  <c:v>1.0424728487886383E-3</c:v>
                </c:pt>
                <c:pt idx="300">
                  <c:v>1.0424728487886383E-3</c:v>
                </c:pt>
                <c:pt idx="301">
                  <c:v>1.0424728487886383E-3</c:v>
                </c:pt>
                <c:pt idx="302">
                  <c:v>1.0424728487886383E-3</c:v>
                </c:pt>
                <c:pt idx="303">
                  <c:v>1.0424728487886383E-3</c:v>
                </c:pt>
                <c:pt idx="304">
                  <c:v>1.0424728487886383E-3</c:v>
                </c:pt>
                <c:pt idx="305">
                  <c:v>1.0424728487886383E-3</c:v>
                </c:pt>
                <c:pt idx="306">
                  <c:v>1.0424728487886383E-3</c:v>
                </c:pt>
                <c:pt idx="307">
                  <c:v>1.0424728487886383E-3</c:v>
                </c:pt>
                <c:pt idx="308">
                  <c:v>1.0424728487886383E-3</c:v>
                </c:pt>
                <c:pt idx="309">
                  <c:v>1.0424728487886383E-3</c:v>
                </c:pt>
                <c:pt idx="310">
                  <c:v>1.0424728487886383E-3</c:v>
                </c:pt>
                <c:pt idx="311">
                  <c:v>1.0424728487886383E-3</c:v>
                </c:pt>
                <c:pt idx="312">
                  <c:v>1.0424728487886383E-3</c:v>
                </c:pt>
                <c:pt idx="313">
                  <c:v>1.0424728487886383E-3</c:v>
                </c:pt>
                <c:pt idx="314">
                  <c:v>1.0424728487886383E-3</c:v>
                </c:pt>
                <c:pt idx="315">
                  <c:v>1.0424728487886383E-3</c:v>
                </c:pt>
                <c:pt idx="316">
                  <c:v>1.0424728487886383E-3</c:v>
                </c:pt>
                <c:pt idx="317">
                  <c:v>1.0424728487886383E-3</c:v>
                </c:pt>
                <c:pt idx="318">
                  <c:v>1.0424728487886383E-3</c:v>
                </c:pt>
                <c:pt idx="319">
                  <c:v>1.0424728487886383E-3</c:v>
                </c:pt>
                <c:pt idx="320">
                  <c:v>1.0424728487886383E-3</c:v>
                </c:pt>
                <c:pt idx="321">
                  <c:v>1.0424728487886383E-3</c:v>
                </c:pt>
                <c:pt idx="322">
                  <c:v>1.0424728487886383E-3</c:v>
                </c:pt>
                <c:pt idx="323">
                  <c:v>1.0424728487886383E-3</c:v>
                </c:pt>
                <c:pt idx="324">
                  <c:v>1.0424728487886383E-3</c:v>
                </c:pt>
                <c:pt idx="325">
                  <c:v>1.0424728487886383E-3</c:v>
                </c:pt>
                <c:pt idx="326">
                  <c:v>1.0424728487886383E-3</c:v>
                </c:pt>
                <c:pt idx="327">
                  <c:v>1.0424728487886383E-3</c:v>
                </c:pt>
                <c:pt idx="328">
                  <c:v>1.0424728487886383E-3</c:v>
                </c:pt>
                <c:pt idx="329">
                  <c:v>1.0424728487886383E-3</c:v>
                </c:pt>
                <c:pt idx="330">
                  <c:v>1.0424728487886383E-3</c:v>
                </c:pt>
                <c:pt idx="331">
                  <c:v>1.0424728487886383E-3</c:v>
                </c:pt>
                <c:pt idx="332">
                  <c:v>1.0424728487886383E-3</c:v>
                </c:pt>
                <c:pt idx="333">
                  <c:v>1.0424728487886383E-3</c:v>
                </c:pt>
                <c:pt idx="334">
                  <c:v>1.0424728487886383E-3</c:v>
                </c:pt>
                <c:pt idx="335">
                  <c:v>1.0424728487886383E-3</c:v>
                </c:pt>
                <c:pt idx="336">
                  <c:v>1.0424728487886383E-3</c:v>
                </c:pt>
                <c:pt idx="337">
                  <c:v>1.0424728487886383E-3</c:v>
                </c:pt>
                <c:pt idx="338">
                  <c:v>1.0424728487886383E-3</c:v>
                </c:pt>
                <c:pt idx="339">
                  <c:v>1.0424728487886383E-3</c:v>
                </c:pt>
                <c:pt idx="340">
                  <c:v>1.0424728487886383E-3</c:v>
                </c:pt>
                <c:pt idx="341">
                  <c:v>1.0424728487886383E-3</c:v>
                </c:pt>
                <c:pt idx="342">
                  <c:v>1.0424728487886383E-3</c:v>
                </c:pt>
                <c:pt idx="343">
                  <c:v>1.0424728487886383E-3</c:v>
                </c:pt>
                <c:pt idx="344">
                  <c:v>1.0424728487886383E-3</c:v>
                </c:pt>
                <c:pt idx="345">
                  <c:v>1.0424728487886383E-3</c:v>
                </c:pt>
                <c:pt idx="346">
                  <c:v>1.0424728487886383E-3</c:v>
                </c:pt>
                <c:pt idx="347">
                  <c:v>1.0424728487886383E-3</c:v>
                </c:pt>
                <c:pt idx="348">
                  <c:v>1.0424728487886383E-3</c:v>
                </c:pt>
                <c:pt idx="349">
                  <c:v>1.0424728487886383E-3</c:v>
                </c:pt>
                <c:pt idx="350">
                  <c:v>1.0424728487886383E-3</c:v>
                </c:pt>
                <c:pt idx="351">
                  <c:v>1.0424728487886383E-3</c:v>
                </c:pt>
                <c:pt idx="352">
                  <c:v>1.0424728487886383E-3</c:v>
                </c:pt>
                <c:pt idx="353">
                  <c:v>1.0424728487886383E-3</c:v>
                </c:pt>
                <c:pt idx="354">
                  <c:v>1.0424728487886383E-3</c:v>
                </c:pt>
                <c:pt idx="355">
                  <c:v>1.0424728487886383E-3</c:v>
                </c:pt>
                <c:pt idx="356">
                  <c:v>1.0424728487886383E-3</c:v>
                </c:pt>
                <c:pt idx="357">
                  <c:v>1.0424728487886383E-3</c:v>
                </c:pt>
                <c:pt idx="358">
                  <c:v>1.0424728487886383E-3</c:v>
                </c:pt>
                <c:pt idx="359">
                  <c:v>1.0424728487886383E-3</c:v>
                </c:pt>
                <c:pt idx="360">
                  <c:v>1.0424728487886383E-3</c:v>
                </c:pt>
                <c:pt idx="361">
                  <c:v>1.0424728487886383E-3</c:v>
                </c:pt>
                <c:pt idx="362">
                  <c:v>1.0424728487886383E-3</c:v>
                </c:pt>
                <c:pt idx="363">
                  <c:v>1.0424728487886383E-3</c:v>
                </c:pt>
                <c:pt idx="364">
                  <c:v>1.0424728487886383E-3</c:v>
                </c:pt>
                <c:pt idx="365">
                  <c:v>1.0424728487886383E-3</c:v>
                </c:pt>
                <c:pt idx="366">
                  <c:v>1.0424728487886383E-3</c:v>
                </c:pt>
                <c:pt idx="367">
                  <c:v>1.0424728487886383E-3</c:v>
                </c:pt>
                <c:pt idx="368">
                  <c:v>1.0424728487886383E-3</c:v>
                </c:pt>
                <c:pt idx="369">
                  <c:v>1.0424728487886383E-3</c:v>
                </c:pt>
                <c:pt idx="370">
                  <c:v>1.0424728487886383E-3</c:v>
                </c:pt>
                <c:pt idx="371">
                  <c:v>1.0424728487886383E-3</c:v>
                </c:pt>
                <c:pt idx="372">
                  <c:v>1.0424728487886383E-3</c:v>
                </c:pt>
                <c:pt idx="373">
                  <c:v>1.0424728487886383E-3</c:v>
                </c:pt>
                <c:pt idx="374">
                  <c:v>1.0424728487886383E-3</c:v>
                </c:pt>
                <c:pt idx="375">
                  <c:v>1.0424728487886383E-3</c:v>
                </c:pt>
                <c:pt idx="376">
                  <c:v>1.0424728487886383E-3</c:v>
                </c:pt>
                <c:pt idx="377">
                  <c:v>1.0424728487886383E-3</c:v>
                </c:pt>
                <c:pt idx="378">
                  <c:v>1.0424728487886383E-3</c:v>
                </c:pt>
                <c:pt idx="379">
                  <c:v>1.0424728487886383E-3</c:v>
                </c:pt>
                <c:pt idx="380">
                  <c:v>1.0424728487886383E-3</c:v>
                </c:pt>
                <c:pt idx="381">
                  <c:v>1.0424728487886383E-3</c:v>
                </c:pt>
                <c:pt idx="382">
                  <c:v>1.0424728487886383E-3</c:v>
                </c:pt>
                <c:pt idx="383">
                  <c:v>1.0424728487886383E-3</c:v>
                </c:pt>
                <c:pt idx="384">
                  <c:v>1.0424728487886383E-3</c:v>
                </c:pt>
                <c:pt idx="385">
                  <c:v>1.0424728487886383E-3</c:v>
                </c:pt>
                <c:pt idx="386">
                  <c:v>1.0424728487886383E-3</c:v>
                </c:pt>
                <c:pt idx="387">
                  <c:v>1.0424728487886383E-3</c:v>
                </c:pt>
                <c:pt idx="388">
                  <c:v>1.0424728487886383E-3</c:v>
                </c:pt>
                <c:pt idx="389">
                  <c:v>1.0424728487886383E-3</c:v>
                </c:pt>
                <c:pt idx="390">
                  <c:v>1.0424728487886383E-3</c:v>
                </c:pt>
                <c:pt idx="391">
                  <c:v>1.0424728487886383E-3</c:v>
                </c:pt>
                <c:pt idx="392">
                  <c:v>1.0424728487886383E-3</c:v>
                </c:pt>
                <c:pt idx="393">
                  <c:v>1.0424728487886383E-3</c:v>
                </c:pt>
                <c:pt idx="394">
                  <c:v>1.0424728487886383E-3</c:v>
                </c:pt>
                <c:pt idx="395">
                  <c:v>1.0424728487886383E-3</c:v>
                </c:pt>
                <c:pt idx="396">
                  <c:v>1.0424728487886383E-3</c:v>
                </c:pt>
                <c:pt idx="397">
                  <c:v>1.0424728487886383E-3</c:v>
                </c:pt>
                <c:pt idx="398">
                  <c:v>1.0424728487886383E-3</c:v>
                </c:pt>
                <c:pt idx="399">
                  <c:v>1.0424728487886383E-3</c:v>
                </c:pt>
                <c:pt idx="400">
                  <c:v>1.0424728487886383E-3</c:v>
                </c:pt>
                <c:pt idx="401">
                  <c:v>1.0424728487886383E-3</c:v>
                </c:pt>
                <c:pt idx="402">
                  <c:v>1.0424728487886383E-3</c:v>
                </c:pt>
                <c:pt idx="403">
                  <c:v>1.0424728487886383E-3</c:v>
                </c:pt>
                <c:pt idx="404">
                  <c:v>1.0424728487886383E-3</c:v>
                </c:pt>
                <c:pt idx="405">
                  <c:v>1.0424728487886383E-3</c:v>
                </c:pt>
                <c:pt idx="406">
                  <c:v>1.0424728487886383E-3</c:v>
                </c:pt>
                <c:pt idx="407">
                  <c:v>1.0424728487886383E-3</c:v>
                </c:pt>
                <c:pt idx="408">
                  <c:v>1.0424728487886383E-3</c:v>
                </c:pt>
                <c:pt idx="409">
                  <c:v>1.0424728487886383E-3</c:v>
                </c:pt>
                <c:pt idx="410">
                  <c:v>1.0424728487886383E-3</c:v>
                </c:pt>
                <c:pt idx="411">
                  <c:v>1.0424728487886383E-3</c:v>
                </c:pt>
                <c:pt idx="412">
                  <c:v>1.0424728487886383E-3</c:v>
                </c:pt>
                <c:pt idx="413">
                  <c:v>1.0424728487886383E-3</c:v>
                </c:pt>
                <c:pt idx="414">
                  <c:v>1.0424728487886383E-3</c:v>
                </c:pt>
                <c:pt idx="415">
                  <c:v>1.0424728487886383E-3</c:v>
                </c:pt>
                <c:pt idx="416">
                  <c:v>1.0424728487886383E-3</c:v>
                </c:pt>
                <c:pt idx="417">
                  <c:v>1.0424728487886383E-3</c:v>
                </c:pt>
                <c:pt idx="418">
                  <c:v>1.0424728487886383E-3</c:v>
                </c:pt>
                <c:pt idx="419">
                  <c:v>1.0424728487886383E-3</c:v>
                </c:pt>
                <c:pt idx="420">
                  <c:v>1.0424728487886383E-3</c:v>
                </c:pt>
                <c:pt idx="421">
                  <c:v>1.0424728487886383E-3</c:v>
                </c:pt>
                <c:pt idx="422">
                  <c:v>1.0424728487886383E-3</c:v>
                </c:pt>
                <c:pt idx="423">
                  <c:v>1.0424728487886383E-3</c:v>
                </c:pt>
                <c:pt idx="424">
                  <c:v>1.0424728487886383E-3</c:v>
                </c:pt>
                <c:pt idx="425">
                  <c:v>1.0424728487886383E-3</c:v>
                </c:pt>
                <c:pt idx="426">
                  <c:v>1.0424728487886383E-3</c:v>
                </c:pt>
                <c:pt idx="427">
                  <c:v>1.0424728487886383E-3</c:v>
                </c:pt>
                <c:pt idx="428">
                  <c:v>1.0424728487886383E-3</c:v>
                </c:pt>
                <c:pt idx="429">
                  <c:v>1.0424728487886383E-3</c:v>
                </c:pt>
                <c:pt idx="430">
                  <c:v>1.0424728487886383E-3</c:v>
                </c:pt>
                <c:pt idx="431">
                  <c:v>1.0424728487886383E-3</c:v>
                </c:pt>
                <c:pt idx="432">
                  <c:v>1.0424728487886383E-3</c:v>
                </c:pt>
                <c:pt idx="433">
                  <c:v>1.0424728487886383E-3</c:v>
                </c:pt>
                <c:pt idx="434">
                  <c:v>1.0424728487886383E-3</c:v>
                </c:pt>
                <c:pt idx="435">
                  <c:v>1.0424728487886383E-3</c:v>
                </c:pt>
                <c:pt idx="436">
                  <c:v>1.0424728487886383E-3</c:v>
                </c:pt>
                <c:pt idx="437">
                  <c:v>1.0424728487886383E-3</c:v>
                </c:pt>
                <c:pt idx="438">
                  <c:v>1.0424728487886383E-3</c:v>
                </c:pt>
                <c:pt idx="439">
                  <c:v>1.0424728487886383E-3</c:v>
                </c:pt>
                <c:pt idx="440">
                  <c:v>1.0424728487886383E-3</c:v>
                </c:pt>
                <c:pt idx="441">
                  <c:v>1.0424728487886383E-3</c:v>
                </c:pt>
                <c:pt idx="442">
                  <c:v>1.0424728487886383E-3</c:v>
                </c:pt>
                <c:pt idx="443">
                  <c:v>1.0424728487886383E-3</c:v>
                </c:pt>
                <c:pt idx="444">
                  <c:v>1.0424728487886383E-3</c:v>
                </c:pt>
                <c:pt idx="445">
                  <c:v>1.0424728487886383E-3</c:v>
                </c:pt>
                <c:pt idx="446">
                  <c:v>1.0424728487886383E-3</c:v>
                </c:pt>
                <c:pt idx="447">
                  <c:v>1.0424728487886383E-3</c:v>
                </c:pt>
                <c:pt idx="448">
                  <c:v>1.0424728487886383E-3</c:v>
                </c:pt>
                <c:pt idx="449">
                  <c:v>1.0424728487886383E-3</c:v>
                </c:pt>
                <c:pt idx="450">
                  <c:v>1.0424728487886383E-3</c:v>
                </c:pt>
                <c:pt idx="451">
                  <c:v>1.0424728487886383E-3</c:v>
                </c:pt>
                <c:pt idx="452">
                  <c:v>1.0424728487886383E-3</c:v>
                </c:pt>
                <c:pt idx="453">
                  <c:v>1.0424728487886383E-3</c:v>
                </c:pt>
                <c:pt idx="454">
                  <c:v>1.0424728487886383E-3</c:v>
                </c:pt>
                <c:pt idx="455">
                  <c:v>1.0424728487886383E-3</c:v>
                </c:pt>
                <c:pt idx="456">
                  <c:v>1.0424728487886383E-3</c:v>
                </c:pt>
                <c:pt idx="457">
                  <c:v>1.0424728487886383E-3</c:v>
                </c:pt>
                <c:pt idx="458">
                  <c:v>1.0424728487886383E-3</c:v>
                </c:pt>
                <c:pt idx="459">
                  <c:v>0.47753447284878864</c:v>
                </c:pt>
              </c:numCache>
            </c:numRef>
          </c:xVal>
          <c:yVal>
            <c:numRef>
              <c:f>Messdaten!$O$15:$O$474</c:f>
              <c:numCache>
                <c:formatCode>0.000</c:formatCode>
                <c:ptCount val="460"/>
                <c:pt idx="0">
                  <c:v>97.679298245614021</c:v>
                </c:pt>
                <c:pt idx="1">
                  <c:v>97.679298245614021</c:v>
                </c:pt>
                <c:pt idx="2">
                  <c:v>97.679298245614021</c:v>
                </c:pt>
                <c:pt idx="3">
                  <c:v>97.679298245614021</c:v>
                </c:pt>
                <c:pt idx="4">
                  <c:v>97.679298245614021</c:v>
                </c:pt>
                <c:pt idx="5">
                  <c:v>97.679298245614021</c:v>
                </c:pt>
                <c:pt idx="6">
                  <c:v>97.679298245614021</c:v>
                </c:pt>
                <c:pt idx="7">
                  <c:v>97.679298245614021</c:v>
                </c:pt>
                <c:pt idx="8">
                  <c:v>97.679298245614021</c:v>
                </c:pt>
                <c:pt idx="9">
                  <c:v>97.679298245614021</c:v>
                </c:pt>
                <c:pt idx="10">
                  <c:v>97.679298245614021</c:v>
                </c:pt>
                <c:pt idx="11">
                  <c:v>97.679298245614021</c:v>
                </c:pt>
                <c:pt idx="12">
                  <c:v>97.679298245614021</c:v>
                </c:pt>
                <c:pt idx="13">
                  <c:v>97.679298245614021</c:v>
                </c:pt>
                <c:pt idx="14">
                  <c:v>97.679298245614021</c:v>
                </c:pt>
                <c:pt idx="15">
                  <c:v>97.679298245614021</c:v>
                </c:pt>
                <c:pt idx="16">
                  <c:v>97.679298245614021</c:v>
                </c:pt>
                <c:pt idx="17">
                  <c:v>97.679298245614021</c:v>
                </c:pt>
                <c:pt idx="18">
                  <c:v>97.679298245614021</c:v>
                </c:pt>
                <c:pt idx="19">
                  <c:v>97.679298245614021</c:v>
                </c:pt>
                <c:pt idx="20">
                  <c:v>97.679298245614021</c:v>
                </c:pt>
                <c:pt idx="21">
                  <c:v>97.679298245614021</c:v>
                </c:pt>
                <c:pt idx="22">
                  <c:v>97.679298245614021</c:v>
                </c:pt>
                <c:pt idx="23">
                  <c:v>97.679298245614021</c:v>
                </c:pt>
                <c:pt idx="24">
                  <c:v>97.679298245614021</c:v>
                </c:pt>
                <c:pt idx="25">
                  <c:v>97.679298245614021</c:v>
                </c:pt>
                <c:pt idx="26">
                  <c:v>97.679298245614021</c:v>
                </c:pt>
                <c:pt idx="27">
                  <c:v>97.679298245614021</c:v>
                </c:pt>
                <c:pt idx="28">
                  <c:v>97.679298245614021</c:v>
                </c:pt>
                <c:pt idx="29">
                  <c:v>97.679298245614021</c:v>
                </c:pt>
                <c:pt idx="30">
                  <c:v>97.679298245614021</c:v>
                </c:pt>
                <c:pt idx="31">
                  <c:v>97.679298245614021</c:v>
                </c:pt>
                <c:pt idx="32">
                  <c:v>97.679298245614021</c:v>
                </c:pt>
                <c:pt idx="33">
                  <c:v>97.679298245614021</c:v>
                </c:pt>
                <c:pt idx="34">
                  <c:v>97.679298245614021</c:v>
                </c:pt>
                <c:pt idx="35">
                  <c:v>97.679298245614021</c:v>
                </c:pt>
                <c:pt idx="36">
                  <c:v>97.679298245614021</c:v>
                </c:pt>
                <c:pt idx="37">
                  <c:v>97.679298245614021</c:v>
                </c:pt>
                <c:pt idx="38">
                  <c:v>97.679298245614021</c:v>
                </c:pt>
                <c:pt idx="39">
                  <c:v>97.679298245614021</c:v>
                </c:pt>
                <c:pt idx="40">
                  <c:v>97.679298245614021</c:v>
                </c:pt>
                <c:pt idx="41">
                  <c:v>97.679298245614021</c:v>
                </c:pt>
                <c:pt idx="42">
                  <c:v>97.679298245614021</c:v>
                </c:pt>
                <c:pt idx="43">
                  <c:v>97.679298245614021</c:v>
                </c:pt>
                <c:pt idx="44">
                  <c:v>97.679298245614021</c:v>
                </c:pt>
                <c:pt idx="45">
                  <c:v>97.679298245614021</c:v>
                </c:pt>
                <c:pt idx="46">
                  <c:v>97.679298245614021</c:v>
                </c:pt>
                <c:pt idx="47">
                  <c:v>97.679298245614021</c:v>
                </c:pt>
                <c:pt idx="48">
                  <c:v>97.679298245614021</c:v>
                </c:pt>
                <c:pt idx="49">
                  <c:v>97.679298245614021</c:v>
                </c:pt>
                <c:pt idx="50">
                  <c:v>97.679298245614021</c:v>
                </c:pt>
                <c:pt idx="51">
                  <c:v>97.679298245614021</c:v>
                </c:pt>
                <c:pt idx="52">
                  <c:v>97.679298245614021</c:v>
                </c:pt>
                <c:pt idx="53">
                  <c:v>97.679298245614021</c:v>
                </c:pt>
                <c:pt idx="54">
                  <c:v>97.679298245614021</c:v>
                </c:pt>
                <c:pt idx="55">
                  <c:v>97.679298245614021</c:v>
                </c:pt>
                <c:pt idx="56">
                  <c:v>97.679298245614021</c:v>
                </c:pt>
                <c:pt idx="57">
                  <c:v>97.679298245614021</c:v>
                </c:pt>
                <c:pt idx="58">
                  <c:v>97.679298245614021</c:v>
                </c:pt>
                <c:pt idx="59">
                  <c:v>97.679298245614021</c:v>
                </c:pt>
                <c:pt idx="60">
                  <c:v>97.679298245614021</c:v>
                </c:pt>
                <c:pt idx="61">
                  <c:v>97.679298245614021</c:v>
                </c:pt>
                <c:pt idx="62">
                  <c:v>97.679298245614021</c:v>
                </c:pt>
                <c:pt idx="63">
                  <c:v>97.679298245614021</c:v>
                </c:pt>
                <c:pt idx="64">
                  <c:v>97.679298245614021</c:v>
                </c:pt>
                <c:pt idx="65">
                  <c:v>97.679298245614021</c:v>
                </c:pt>
                <c:pt idx="66">
                  <c:v>97.679298245614021</c:v>
                </c:pt>
                <c:pt idx="67">
                  <c:v>97.679298245614021</c:v>
                </c:pt>
                <c:pt idx="68">
                  <c:v>97.679298245614021</c:v>
                </c:pt>
                <c:pt idx="69">
                  <c:v>97.679298245614021</c:v>
                </c:pt>
                <c:pt idx="70">
                  <c:v>97.679298245614021</c:v>
                </c:pt>
                <c:pt idx="71">
                  <c:v>97.679298245614021</c:v>
                </c:pt>
                <c:pt idx="72">
                  <c:v>97.679298245614021</c:v>
                </c:pt>
                <c:pt idx="73">
                  <c:v>97.679298245614021</c:v>
                </c:pt>
                <c:pt idx="74">
                  <c:v>97.679298245614021</c:v>
                </c:pt>
                <c:pt idx="75">
                  <c:v>97.679298245614021</c:v>
                </c:pt>
                <c:pt idx="76">
                  <c:v>97.679298245614021</c:v>
                </c:pt>
                <c:pt idx="77">
                  <c:v>97.679298245614021</c:v>
                </c:pt>
                <c:pt idx="78">
                  <c:v>97.679298245614021</c:v>
                </c:pt>
                <c:pt idx="79">
                  <c:v>97.679298245614021</c:v>
                </c:pt>
                <c:pt idx="80">
                  <c:v>97.679298245614021</c:v>
                </c:pt>
                <c:pt idx="81">
                  <c:v>97.679298245614021</c:v>
                </c:pt>
                <c:pt idx="82">
                  <c:v>97.679298245614021</c:v>
                </c:pt>
                <c:pt idx="83">
                  <c:v>97.679298245614021</c:v>
                </c:pt>
                <c:pt idx="84">
                  <c:v>97.679298245614021</c:v>
                </c:pt>
                <c:pt idx="85">
                  <c:v>97.679298245614021</c:v>
                </c:pt>
                <c:pt idx="86">
                  <c:v>97.679298245614021</c:v>
                </c:pt>
                <c:pt idx="87">
                  <c:v>97.679298245614021</c:v>
                </c:pt>
                <c:pt idx="88">
                  <c:v>97.679298245614021</c:v>
                </c:pt>
                <c:pt idx="89">
                  <c:v>97.679298245614021</c:v>
                </c:pt>
                <c:pt idx="90">
                  <c:v>97.679298245614021</c:v>
                </c:pt>
                <c:pt idx="91">
                  <c:v>97.679298245614021</c:v>
                </c:pt>
                <c:pt idx="92">
                  <c:v>97.679298245614021</c:v>
                </c:pt>
                <c:pt idx="93">
                  <c:v>97.679298245614021</c:v>
                </c:pt>
                <c:pt idx="94">
                  <c:v>97.679298245614021</c:v>
                </c:pt>
                <c:pt idx="95">
                  <c:v>97.679298245614021</c:v>
                </c:pt>
                <c:pt idx="96">
                  <c:v>97.679298245614021</c:v>
                </c:pt>
                <c:pt idx="97">
                  <c:v>97.679298245614021</c:v>
                </c:pt>
                <c:pt idx="98">
                  <c:v>97.679298245614021</c:v>
                </c:pt>
                <c:pt idx="99">
                  <c:v>97.679298245614021</c:v>
                </c:pt>
                <c:pt idx="100">
                  <c:v>97.679298245614021</c:v>
                </c:pt>
                <c:pt idx="101">
                  <c:v>97.679298245614021</c:v>
                </c:pt>
                <c:pt idx="102">
                  <c:v>97.679298245614021</c:v>
                </c:pt>
                <c:pt idx="103">
                  <c:v>97.679298245614021</c:v>
                </c:pt>
                <c:pt idx="104">
                  <c:v>97.679298245614021</c:v>
                </c:pt>
                <c:pt idx="105">
                  <c:v>97.679298245614021</c:v>
                </c:pt>
                <c:pt idx="106">
                  <c:v>97.679298245614021</c:v>
                </c:pt>
                <c:pt idx="107">
                  <c:v>97.679298245614021</c:v>
                </c:pt>
                <c:pt idx="108">
                  <c:v>97.679298245614021</c:v>
                </c:pt>
                <c:pt idx="109">
                  <c:v>97.679298245614021</c:v>
                </c:pt>
                <c:pt idx="110">
                  <c:v>97.679298245614021</c:v>
                </c:pt>
                <c:pt idx="111">
                  <c:v>97.679298245614021</c:v>
                </c:pt>
                <c:pt idx="112">
                  <c:v>97.679298245614021</c:v>
                </c:pt>
                <c:pt idx="113">
                  <c:v>97.679298245614021</c:v>
                </c:pt>
                <c:pt idx="114">
                  <c:v>97.679298245614021</c:v>
                </c:pt>
                <c:pt idx="115">
                  <c:v>97.679298245614021</c:v>
                </c:pt>
                <c:pt idx="116">
                  <c:v>97.679298245614021</c:v>
                </c:pt>
                <c:pt idx="117">
                  <c:v>97.679298245614021</c:v>
                </c:pt>
                <c:pt idx="118">
                  <c:v>97.679298245614021</c:v>
                </c:pt>
                <c:pt idx="119">
                  <c:v>97.679298245614021</c:v>
                </c:pt>
                <c:pt idx="120">
                  <c:v>97.679298245614021</c:v>
                </c:pt>
                <c:pt idx="121">
                  <c:v>97.679298245614021</c:v>
                </c:pt>
                <c:pt idx="122">
                  <c:v>97.679298245614021</c:v>
                </c:pt>
                <c:pt idx="123">
                  <c:v>97.679298245614021</c:v>
                </c:pt>
                <c:pt idx="124">
                  <c:v>97.679298245614021</c:v>
                </c:pt>
                <c:pt idx="125">
                  <c:v>97.679298245614021</c:v>
                </c:pt>
                <c:pt idx="126">
                  <c:v>97.679298245614021</c:v>
                </c:pt>
                <c:pt idx="127">
                  <c:v>97.679298245614021</c:v>
                </c:pt>
                <c:pt idx="128">
                  <c:v>97.679298245614021</c:v>
                </c:pt>
                <c:pt idx="129">
                  <c:v>97.679298245614021</c:v>
                </c:pt>
                <c:pt idx="130">
                  <c:v>97.679298245614021</c:v>
                </c:pt>
                <c:pt idx="131">
                  <c:v>97.679298245614021</c:v>
                </c:pt>
                <c:pt idx="132">
                  <c:v>97.679298245614021</c:v>
                </c:pt>
                <c:pt idx="133">
                  <c:v>97.679298245614021</c:v>
                </c:pt>
                <c:pt idx="134">
                  <c:v>97.679298245614021</c:v>
                </c:pt>
                <c:pt idx="135">
                  <c:v>97.679298245614021</c:v>
                </c:pt>
                <c:pt idx="136">
                  <c:v>97.679298245614021</c:v>
                </c:pt>
                <c:pt idx="137">
                  <c:v>97.679298245614021</c:v>
                </c:pt>
                <c:pt idx="138">
                  <c:v>97.679298245614021</c:v>
                </c:pt>
                <c:pt idx="139">
                  <c:v>97.679298245614021</c:v>
                </c:pt>
                <c:pt idx="140">
                  <c:v>97.679298245614021</c:v>
                </c:pt>
                <c:pt idx="141">
                  <c:v>97.679298245614021</c:v>
                </c:pt>
                <c:pt idx="142">
                  <c:v>97.679298245614021</c:v>
                </c:pt>
                <c:pt idx="143">
                  <c:v>97.679298245614021</c:v>
                </c:pt>
                <c:pt idx="144">
                  <c:v>97.679298245614021</c:v>
                </c:pt>
                <c:pt idx="145">
                  <c:v>97.679298245614021</c:v>
                </c:pt>
                <c:pt idx="146">
                  <c:v>97.679298245614021</c:v>
                </c:pt>
                <c:pt idx="147">
                  <c:v>97.679298245614021</c:v>
                </c:pt>
                <c:pt idx="148">
                  <c:v>97.679298245614021</c:v>
                </c:pt>
                <c:pt idx="149">
                  <c:v>97.679298245614021</c:v>
                </c:pt>
                <c:pt idx="150">
                  <c:v>97.679298245614021</c:v>
                </c:pt>
                <c:pt idx="151">
                  <c:v>97.679298245614021</c:v>
                </c:pt>
                <c:pt idx="152">
                  <c:v>97.679298245614021</c:v>
                </c:pt>
                <c:pt idx="153">
                  <c:v>97.679298245614021</c:v>
                </c:pt>
                <c:pt idx="154">
                  <c:v>97.679298245614021</c:v>
                </c:pt>
                <c:pt idx="155">
                  <c:v>97.679298245614021</c:v>
                </c:pt>
                <c:pt idx="156">
                  <c:v>97.679298245614021</c:v>
                </c:pt>
                <c:pt idx="157">
                  <c:v>97.679298245614021</c:v>
                </c:pt>
                <c:pt idx="158">
                  <c:v>97.679298245614021</c:v>
                </c:pt>
                <c:pt idx="159">
                  <c:v>97.679298245614021</c:v>
                </c:pt>
                <c:pt idx="160">
                  <c:v>97.679298245614021</c:v>
                </c:pt>
                <c:pt idx="161">
                  <c:v>97.679298245614021</c:v>
                </c:pt>
                <c:pt idx="162">
                  <c:v>97.679298245614021</c:v>
                </c:pt>
                <c:pt idx="163">
                  <c:v>97.679298245614021</c:v>
                </c:pt>
                <c:pt idx="164">
                  <c:v>97.679298245614021</c:v>
                </c:pt>
                <c:pt idx="165">
                  <c:v>97.679298245614021</c:v>
                </c:pt>
                <c:pt idx="166">
                  <c:v>97.679298245614021</c:v>
                </c:pt>
                <c:pt idx="167">
                  <c:v>97.679298245614021</c:v>
                </c:pt>
                <c:pt idx="168">
                  <c:v>97.679298245614021</c:v>
                </c:pt>
                <c:pt idx="169">
                  <c:v>97.679298245614021</c:v>
                </c:pt>
                <c:pt idx="170">
                  <c:v>97.679298245614021</c:v>
                </c:pt>
                <c:pt idx="171">
                  <c:v>97.679298245614021</c:v>
                </c:pt>
                <c:pt idx="172">
                  <c:v>97.679298245614021</c:v>
                </c:pt>
                <c:pt idx="173">
                  <c:v>97.679298245614021</c:v>
                </c:pt>
                <c:pt idx="174">
                  <c:v>97.679298245614021</c:v>
                </c:pt>
                <c:pt idx="175">
                  <c:v>97.679298245614021</c:v>
                </c:pt>
                <c:pt idx="176">
                  <c:v>97.679298245614021</c:v>
                </c:pt>
                <c:pt idx="177">
                  <c:v>97.679298245614021</c:v>
                </c:pt>
                <c:pt idx="178">
                  <c:v>97.679298245614021</c:v>
                </c:pt>
                <c:pt idx="179">
                  <c:v>97.679298245614021</c:v>
                </c:pt>
                <c:pt idx="180">
                  <c:v>97.679298245614021</c:v>
                </c:pt>
                <c:pt idx="181">
                  <c:v>97.679298245614021</c:v>
                </c:pt>
                <c:pt idx="182">
                  <c:v>97.679298245614021</c:v>
                </c:pt>
                <c:pt idx="183">
                  <c:v>97.679298245614021</c:v>
                </c:pt>
                <c:pt idx="184">
                  <c:v>97.679298245614021</c:v>
                </c:pt>
                <c:pt idx="185">
                  <c:v>97.679298245614021</c:v>
                </c:pt>
                <c:pt idx="186">
                  <c:v>97.679298245614021</c:v>
                </c:pt>
                <c:pt idx="187">
                  <c:v>97.679298245614021</c:v>
                </c:pt>
                <c:pt idx="188">
                  <c:v>97.679298245614021</c:v>
                </c:pt>
                <c:pt idx="189">
                  <c:v>97.679298245614021</c:v>
                </c:pt>
                <c:pt idx="190">
                  <c:v>97.679298245614021</c:v>
                </c:pt>
                <c:pt idx="191">
                  <c:v>97.679298245614021</c:v>
                </c:pt>
                <c:pt idx="192">
                  <c:v>97.679298245614021</c:v>
                </c:pt>
                <c:pt idx="193">
                  <c:v>97.679298245614021</c:v>
                </c:pt>
                <c:pt idx="194">
                  <c:v>97.679298245614021</c:v>
                </c:pt>
                <c:pt idx="195">
                  <c:v>97.679298245614021</c:v>
                </c:pt>
                <c:pt idx="196">
                  <c:v>97.679298245614021</c:v>
                </c:pt>
                <c:pt idx="197">
                  <c:v>97.679298245614021</c:v>
                </c:pt>
                <c:pt idx="198">
                  <c:v>97.679298245614021</c:v>
                </c:pt>
                <c:pt idx="199">
                  <c:v>97.679298245614021</c:v>
                </c:pt>
                <c:pt idx="200">
                  <c:v>97.679298245614021</c:v>
                </c:pt>
                <c:pt idx="201">
                  <c:v>97.679298245614021</c:v>
                </c:pt>
                <c:pt idx="202">
                  <c:v>97.679298245614021</c:v>
                </c:pt>
                <c:pt idx="203">
                  <c:v>97.679298245614021</c:v>
                </c:pt>
                <c:pt idx="204">
                  <c:v>97.679298245614021</c:v>
                </c:pt>
                <c:pt idx="205">
                  <c:v>97.679298245614021</c:v>
                </c:pt>
                <c:pt idx="206">
                  <c:v>97.679298245614021</c:v>
                </c:pt>
                <c:pt idx="207">
                  <c:v>97.679298245614021</c:v>
                </c:pt>
                <c:pt idx="208">
                  <c:v>97.679298245614021</c:v>
                </c:pt>
                <c:pt idx="209">
                  <c:v>97.679298245614021</c:v>
                </c:pt>
                <c:pt idx="210">
                  <c:v>97.679298245614021</c:v>
                </c:pt>
                <c:pt idx="211">
                  <c:v>97.679298245614021</c:v>
                </c:pt>
                <c:pt idx="212">
                  <c:v>97.679298245614021</c:v>
                </c:pt>
                <c:pt idx="213">
                  <c:v>97.679298245614021</c:v>
                </c:pt>
                <c:pt idx="214">
                  <c:v>97.679298245614021</c:v>
                </c:pt>
                <c:pt idx="215">
                  <c:v>97.679298245614021</c:v>
                </c:pt>
                <c:pt idx="216">
                  <c:v>97.679298245614021</c:v>
                </c:pt>
                <c:pt idx="217">
                  <c:v>97.679298245614021</c:v>
                </c:pt>
                <c:pt idx="218">
                  <c:v>97.679298245614021</c:v>
                </c:pt>
                <c:pt idx="219">
                  <c:v>97.679298245614021</c:v>
                </c:pt>
                <c:pt idx="220">
                  <c:v>97.679298245614021</c:v>
                </c:pt>
                <c:pt idx="221">
                  <c:v>97.679298245614021</c:v>
                </c:pt>
                <c:pt idx="222">
                  <c:v>97.679298245614021</c:v>
                </c:pt>
                <c:pt idx="223">
                  <c:v>97.679298245614021</c:v>
                </c:pt>
                <c:pt idx="224">
                  <c:v>97.679298245614021</c:v>
                </c:pt>
                <c:pt idx="225">
                  <c:v>97.679298245614021</c:v>
                </c:pt>
                <c:pt idx="226">
                  <c:v>97.679298245614021</c:v>
                </c:pt>
                <c:pt idx="227">
                  <c:v>97.679298245614021</c:v>
                </c:pt>
                <c:pt idx="228">
                  <c:v>97.679298245614021</c:v>
                </c:pt>
                <c:pt idx="229">
                  <c:v>97.679298245614021</c:v>
                </c:pt>
                <c:pt idx="230">
                  <c:v>97.679298245614021</c:v>
                </c:pt>
                <c:pt idx="231">
                  <c:v>97.679298245614021</c:v>
                </c:pt>
                <c:pt idx="232">
                  <c:v>97.679298245614021</c:v>
                </c:pt>
                <c:pt idx="233">
                  <c:v>97.679298245614021</c:v>
                </c:pt>
                <c:pt idx="234">
                  <c:v>97.679298245614021</c:v>
                </c:pt>
                <c:pt idx="235">
                  <c:v>97.679298245614021</c:v>
                </c:pt>
                <c:pt idx="236">
                  <c:v>97.679298245614021</c:v>
                </c:pt>
                <c:pt idx="237">
                  <c:v>97.679298245614021</c:v>
                </c:pt>
                <c:pt idx="238">
                  <c:v>97.679298245614021</c:v>
                </c:pt>
                <c:pt idx="239">
                  <c:v>97.679298245614021</c:v>
                </c:pt>
                <c:pt idx="240">
                  <c:v>97.679298245614021</c:v>
                </c:pt>
                <c:pt idx="241">
                  <c:v>97.679298245614021</c:v>
                </c:pt>
                <c:pt idx="242">
                  <c:v>97.679298245614021</c:v>
                </c:pt>
                <c:pt idx="243">
                  <c:v>97.679298245614021</c:v>
                </c:pt>
                <c:pt idx="244">
                  <c:v>97.679298245614021</c:v>
                </c:pt>
                <c:pt idx="245">
                  <c:v>97.679298245614021</c:v>
                </c:pt>
                <c:pt idx="246">
                  <c:v>97.679298245614021</c:v>
                </c:pt>
                <c:pt idx="247">
                  <c:v>97.679298245614021</c:v>
                </c:pt>
                <c:pt idx="248">
                  <c:v>97.679298245614021</c:v>
                </c:pt>
                <c:pt idx="249">
                  <c:v>97.679298245614021</c:v>
                </c:pt>
                <c:pt idx="250">
                  <c:v>97.679298245614021</c:v>
                </c:pt>
                <c:pt idx="251">
                  <c:v>97.679298245614021</c:v>
                </c:pt>
                <c:pt idx="252">
                  <c:v>97.679298245614021</c:v>
                </c:pt>
                <c:pt idx="253">
                  <c:v>97.679298245614021</c:v>
                </c:pt>
                <c:pt idx="254">
                  <c:v>97.679298245614021</c:v>
                </c:pt>
                <c:pt idx="255">
                  <c:v>97.679298245614021</c:v>
                </c:pt>
                <c:pt idx="256">
                  <c:v>97.679298245614021</c:v>
                </c:pt>
                <c:pt idx="257">
                  <c:v>97.679298245614021</c:v>
                </c:pt>
                <c:pt idx="258">
                  <c:v>97.679298245614021</c:v>
                </c:pt>
                <c:pt idx="259">
                  <c:v>97.679298245614021</c:v>
                </c:pt>
                <c:pt idx="260">
                  <c:v>97.679298245614021</c:v>
                </c:pt>
                <c:pt idx="261">
                  <c:v>97.679298245614021</c:v>
                </c:pt>
                <c:pt idx="262">
                  <c:v>97.679298245614021</c:v>
                </c:pt>
                <c:pt idx="263">
                  <c:v>97.679298245614021</c:v>
                </c:pt>
                <c:pt idx="264">
                  <c:v>97.679298245614021</c:v>
                </c:pt>
                <c:pt idx="265">
                  <c:v>97.679298245614021</c:v>
                </c:pt>
                <c:pt idx="266">
                  <c:v>97.679298245614021</c:v>
                </c:pt>
                <c:pt idx="267">
                  <c:v>97.679298245614021</c:v>
                </c:pt>
                <c:pt idx="268">
                  <c:v>97.679298245614021</c:v>
                </c:pt>
                <c:pt idx="269">
                  <c:v>97.679298245614021</c:v>
                </c:pt>
                <c:pt idx="270">
                  <c:v>97.679298245614021</c:v>
                </c:pt>
                <c:pt idx="271">
                  <c:v>97.679298245614021</c:v>
                </c:pt>
                <c:pt idx="272">
                  <c:v>97.679298245614021</c:v>
                </c:pt>
                <c:pt idx="273">
                  <c:v>97.679298245614021</c:v>
                </c:pt>
                <c:pt idx="274">
                  <c:v>97.679298245614021</c:v>
                </c:pt>
                <c:pt idx="275">
                  <c:v>97.679298245614021</c:v>
                </c:pt>
                <c:pt idx="276">
                  <c:v>97.679298245614021</c:v>
                </c:pt>
                <c:pt idx="277">
                  <c:v>97.679298245614021</c:v>
                </c:pt>
                <c:pt idx="278">
                  <c:v>97.679298245614021</c:v>
                </c:pt>
                <c:pt idx="279">
                  <c:v>97.679298245614021</c:v>
                </c:pt>
                <c:pt idx="280">
                  <c:v>97.679298245614021</c:v>
                </c:pt>
                <c:pt idx="281">
                  <c:v>97.679298245614021</c:v>
                </c:pt>
                <c:pt idx="282">
                  <c:v>97.679298245614021</c:v>
                </c:pt>
                <c:pt idx="283">
                  <c:v>97.679298245614021</c:v>
                </c:pt>
                <c:pt idx="284">
                  <c:v>97.679298245614021</c:v>
                </c:pt>
                <c:pt idx="285">
                  <c:v>97.679298245614021</c:v>
                </c:pt>
                <c:pt idx="286">
                  <c:v>97.679298245614021</c:v>
                </c:pt>
                <c:pt idx="287">
                  <c:v>97.679298245614021</c:v>
                </c:pt>
                <c:pt idx="288">
                  <c:v>97.679298245614021</c:v>
                </c:pt>
                <c:pt idx="289">
                  <c:v>97.679298245614021</c:v>
                </c:pt>
                <c:pt idx="290">
                  <c:v>97.679298245614021</c:v>
                </c:pt>
                <c:pt idx="291">
                  <c:v>97.679298245614021</c:v>
                </c:pt>
                <c:pt idx="292">
                  <c:v>97.679298245614021</c:v>
                </c:pt>
                <c:pt idx="293">
                  <c:v>97.679298245614021</c:v>
                </c:pt>
                <c:pt idx="294">
                  <c:v>97.679298245614021</c:v>
                </c:pt>
                <c:pt idx="295">
                  <c:v>97.679298245614021</c:v>
                </c:pt>
                <c:pt idx="296">
                  <c:v>97.679298245614021</c:v>
                </c:pt>
                <c:pt idx="297">
                  <c:v>97.679298245614021</c:v>
                </c:pt>
                <c:pt idx="298">
                  <c:v>97.679298245614021</c:v>
                </c:pt>
                <c:pt idx="299">
                  <c:v>97.679298245614021</c:v>
                </c:pt>
                <c:pt idx="300">
                  <c:v>97.679298245614021</c:v>
                </c:pt>
                <c:pt idx="301">
                  <c:v>97.679298245614021</c:v>
                </c:pt>
                <c:pt idx="302">
                  <c:v>97.679298245614021</c:v>
                </c:pt>
                <c:pt idx="303">
                  <c:v>97.679298245614021</c:v>
                </c:pt>
                <c:pt idx="304">
                  <c:v>97.679298245614021</c:v>
                </c:pt>
                <c:pt idx="305">
                  <c:v>97.679298245614021</c:v>
                </c:pt>
                <c:pt idx="306">
                  <c:v>97.679298245614021</c:v>
                </c:pt>
                <c:pt idx="307">
                  <c:v>97.679298245614021</c:v>
                </c:pt>
                <c:pt idx="308">
                  <c:v>97.679298245614021</c:v>
                </c:pt>
                <c:pt idx="309">
                  <c:v>97.679298245614021</c:v>
                </c:pt>
                <c:pt idx="310">
                  <c:v>97.679298245614021</c:v>
                </c:pt>
                <c:pt idx="311">
                  <c:v>97.679298245614021</c:v>
                </c:pt>
                <c:pt idx="312">
                  <c:v>97.679298245614021</c:v>
                </c:pt>
                <c:pt idx="313">
                  <c:v>97.679298245614021</c:v>
                </c:pt>
                <c:pt idx="314">
                  <c:v>97.679298245614021</c:v>
                </c:pt>
                <c:pt idx="315">
                  <c:v>97.679298245614021</c:v>
                </c:pt>
                <c:pt idx="316">
                  <c:v>97.679298245614021</c:v>
                </c:pt>
                <c:pt idx="317">
                  <c:v>97.679298245614021</c:v>
                </c:pt>
                <c:pt idx="318">
                  <c:v>97.679298245614021</c:v>
                </c:pt>
                <c:pt idx="319">
                  <c:v>97.679298245614021</c:v>
                </c:pt>
                <c:pt idx="320">
                  <c:v>97.679298245614021</c:v>
                </c:pt>
                <c:pt idx="321">
                  <c:v>97.679298245614021</c:v>
                </c:pt>
                <c:pt idx="322">
                  <c:v>97.679298245614021</c:v>
                </c:pt>
                <c:pt idx="323">
                  <c:v>97.679298245614021</c:v>
                </c:pt>
                <c:pt idx="324">
                  <c:v>97.679298245614021</c:v>
                </c:pt>
                <c:pt idx="325">
                  <c:v>97.679298245614021</c:v>
                </c:pt>
                <c:pt idx="326">
                  <c:v>97.679298245614021</c:v>
                </c:pt>
                <c:pt idx="327">
                  <c:v>97.679298245614021</c:v>
                </c:pt>
                <c:pt idx="328">
                  <c:v>97.679298245614021</c:v>
                </c:pt>
                <c:pt idx="329">
                  <c:v>97.679298245614021</c:v>
                </c:pt>
                <c:pt idx="330">
                  <c:v>97.679298245614021</c:v>
                </c:pt>
                <c:pt idx="331">
                  <c:v>97.679298245614021</c:v>
                </c:pt>
                <c:pt idx="332">
                  <c:v>97.679298245614021</c:v>
                </c:pt>
                <c:pt idx="333">
                  <c:v>97.679298245614021</c:v>
                </c:pt>
                <c:pt idx="334">
                  <c:v>97.679298245614021</c:v>
                </c:pt>
                <c:pt idx="335">
                  <c:v>97.679298245614021</c:v>
                </c:pt>
                <c:pt idx="336">
                  <c:v>97.679298245614021</c:v>
                </c:pt>
                <c:pt idx="337">
                  <c:v>97.679298245614021</c:v>
                </c:pt>
                <c:pt idx="338">
                  <c:v>97.679298245614021</c:v>
                </c:pt>
                <c:pt idx="339">
                  <c:v>97.679298245614021</c:v>
                </c:pt>
                <c:pt idx="340">
                  <c:v>97.679298245614021</c:v>
                </c:pt>
                <c:pt idx="341">
                  <c:v>97.679298245614021</c:v>
                </c:pt>
                <c:pt idx="342">
                  <c:v>97.679298245614021</c:v>
                </c:pt>
                <c:pt idx="343">
                  <c:v>97.679298245614021</c:v>
                </c:pt>
                <c:pt idx="344">
                  <c:v>97.679298245614021</c:v>
                </c:pt>
                <c:pt idx="345">
                  <c:v>97.679298245614021</c:v>
                </c:pt>
                <c:pt idx="346">
                  <c:v>97.679298245614021</c:v>
                </c:pt>
                <c:pt idx="347">
                  <c:v>97.679298245614021</c:v>
                </c:pt>
                <c:pt idx="348">
                  <c:v>97.679298245614021</c:v>
                </c:pt>
                <c:pt idx="349">
                  <c:v>97.679298245614021</c:v>
                </c:pt>
                <c:pt idx="350">
                  <c:v>97.679298245614021</c:v>
                </c:pt>
                <c:pt idx="351">
                  <c:v>97.679298245614021</c:v>
                </c:pt>
                <c:pt idx="352">
                  <c:v>97.679298245614021</c:v>
                </c:pt>
                <c:pt idx="353">
                  <c:v>97.679298245614021</c:v>
                </c:pt>
                <c:pt idx="354">
                  <c:v>97.679298245614021</c:v>
                </c:pt>
                <c:pt idx="355">
                  <c:v>97.679298245614021</c:v>
                </c:pt>
                <c:pt idx="356">
                  <c:v>97.679298245614021</c:v>
                </c:pt>
                <c:pt idx="357">
                  <c:v>97.679298245614021</c:v>
                </c:pt>
                <c:pt idx="358">
                  <c:v>97.679298245614021</c:v>
                </c:pt>
                <c:pt idx="359">
                  <c:v>97.679298245614021</c:v>
                </c:pt>
                <c:pt idx="360">
                  <c:v>97.679298245614021</c:v>
                </c:pt>
                <c:pt idx="361">
                  <c:v>97.679298245614021</c:v>
                </c:pt>
                <c:pt idx="362">
                  <c:v>97.679298245614021</c:v>
                </c:pt>
                <c:pt idx="363">
                  <c:v>97.679298245614021</c:v>
                </c:pt>
                <c:pt idx="364">
                  <c:v>97.679298245614021</c:v>
                </c:pt>
                <c:pt idx="365">
                  <c:v>97.679298245614021</c:v>
                </c:pt>
                <c:pt idx="366">
                  <c:v>97.679298245614021</c:v>
                </c:pt>
                <c:pt idx="367">
                  <c:v>97.679298245614021</c:v>
                </c:pt>
                <c:pt idx="368">
                  <c:v>97.679298245614021</c:v>
                </c:pt>
                <c:pt idx="369">
                  <c:v>97.679298245614021</c:v>
                </c:pt>
                <c:pt idx="370">
                  <c:v>97.679298245614021</c:v>
                </c:pt>
                <c:pt idx="371">
                  <c:v>97.679298245614021</c:v>
                </c:pt>
                <c:pt idx="372">
                  <c:v>97.679298245614021</c:v>
                </c:pt>
                <c:pt idx="373">
                  <c:v>97.679298245614021</c:v>
                </c:pt>
                <c:pt idx="374">
                  <c:v>97.679298245614021</c:v>
                </c:pt>
                <c:pt idx="375">
                  <c:v>97.679298245614021</c:v>
                </c:pt>
                <c:pt idx="376">
                  <c:v>97.679298245614021</c:v>
                </c:pt>
                <c:pt idx="377">
                  <c:v>97.679298245614021</c:v>
                </c:pt>
                <c:pt idx="378">
                  <c:v>97.679298245614021</c:v>
                </c:pt>
                <c:pt idx="379">
                  <c:v>97.679298245614021</c:v>
                </c:pt>
                <c:pt idx="380">
                  <c:v>97.679298245614021</c:v>
                </c:pt>
                <c:pt idx="381">
                  <c:v>97.679298245614021</c:v>
                </c:pt>
                <c:pt idx="382">
                  <c:v>97.679298245614021</c:v>
                </c:pt>
                <c:pt idx="383">
                  <c:v>97.679298245614021</c:v>
                </c:pt>
                <c:pt idx="384">
                  <c:v>97.679298245614021</c:v>
                </c:pt>
                <c:pt idx="385">
                  <c:v>97.679298245614021</c:v>
                </c:pt>
                <c:pt idx="386">
                  <c:v>97.679298245614021</c:v>
                </c:pt>
                <c:pt idx="387">
                  <c:v>97.679298245614021</c:v>
                </c:pt>
                <c:pt idx="388">
                  <c:v>97.679298245614021</c:v>
                </c:pt>
                <c:pt idx="389">
                  <c:v>97.679298245614021</c:v>
                </c:pt>
                <c:pt idx="390">
                  <c:v>97.679298245614021</c:v>
                </c:pt>
                <c:pt idx="391">
                  <c:v>97.679298245614021</c:v>
                </c:pt>
                <c:pt idx="392">
                  <c:v>97.679298245614021</c:v>
                </c:pt>
                <c:pt idx="393">
                  <c:v>97.679298245614021</c:v>
                </c:pt>
                <c:pt idx="394">
                  <c:v>97.679298245614021</c:v>
                </c:pt>
                <c:pt idx="395">
                  <c:v>97.679298245614021</c:v>
                </c:pt>
                <c:pt idx="396">
                  <c:v>97.679298245614021</c:v>
                </c:pt>
                <c:pt idx="397">
                  <c:v>97.679298245614021</c:v>
                </c:pt>
                <c:pt idx="398">
                  <c:v>97.679298245614021</c:v>
                </c:pt>
                <c:pt idx="399">
                  <c:v>97.679298245614021</c:v>
                </c:pt>
                <c:pt idx="400">
                  <c:v>97.679298245614021</c:v>
                </c:pt>
                <c:pt idx="401">
                  <c:v>97.679298245614021</c:v>
                </c:pt>
                <c:pt idx="402">
                  <c:v>97.679298245614021</c:v>
                </c:pt>
                <c:pt idx="403">
                  <c:v>97.679298245614021</c:v>
                </c:pt>
                <c:pt idx="404">
                  <c:v>97.679298245614021</c:v>
                </c:pt>
                <c:pt idx="405">
                  <c:v>97.679298245614021</c:v>
                </c:pt>
                <c:pt idx="406">
                  <c:v>97.679298245614021</c:v>
                </c:pt>
                <c:pt idx="407">
                  <c:v>97.679298245614021</c:v>
                </c:pt>
                <c:pt idx="408">
                  <c:v>97.679298245614021</c:v>
                </c:pt>
                <c:pt idx="409">
                  <c:v>97.679298245614021</c:v>
                </c:pt>
                <c:pt idx="410">
                  <c:v>97.679298245614021</c:v>
                </c:pt>
                <c:pt idx="411">
                  <c:v>97.679298245614021</c:v>
                </c:pt>
                <c:pt idx="412">
                  <c:v>97.679298245614021</c:v>
                </c:pt>
                <c:pt idx="413">
                  <c:v>97.679298245614021</c:v>
                </c:pt>
                <c:pt idx="414">
                  <c:v>97.679298245614021</c:v>
                </c:pt>
                <c:pt idx="415">
                  <c:v>97.679298245614021</c:v>
                </c:pt>
                <c:pt idx="416">
                  <c:v>97.679298245614021</c:v>
                </c:pt>
                <c:pt idx="417">
                  <c:v>97.679298245614021</c:v>
                </c:pt>
                <c:pt idx="418">
                  <c:v>97.679298245614021</c:v>
                </c:pt>
                <c:pt idx="419">
                  <c:v>97.679298245614021</c:v>
                </c:pt>
                <c:pt idx="420">
                  <c:v>97.679298245614021</c:v>
                </c:pt>
                <c:pt idx="421">
                  <c:v>97.679298245614021</c:v>
                </c:pt>
                <c:pt idx="422">
                  <c:v>97.679298245614021</c:v>
                </c:pt>
                <c:pt idx="423">
                  <c:v>97.679298245614021</c:v>
                </c:pt>
                <c:pt idx="424">
                  <c:v>97.679298245614021</c:v>
                </c:pt>
                <c:pt idx="425">
                  <c:v>97.679298245614021</c:v>
                </c:pt>
                <c:pt idx="426">
                  <c:v>97.679298245614021</c:v>
                </c:pt>
                <c:pt idx="427">
                  <c:v>97.679298245614021</c:v>
                </c:pt>
                <c:pt idx="428">
                  <c:v>97.679298245614021</c:v>
                </c:pt>
                <c:pt idx="429">
                  <c:v>97.679298245614021</c:v>
                </c:pt>
                <c:pt idx="430">
                  <c:v>97.679298245614021</c:v>
                </c:pt>
                <c:pt idx="431">
                  <c:v>97.679298245614021</c:v>
                </c:pt>
                <c:pt idx="432">
                  <c:v>97.679298245614021</c:v>
                </c:pt>
                <c:pt idx="433">
                  <c:v>97.679298245614021</c:v>
                </c:pt>
                <c:pt idx="434">
                  <c:v>97.679298245614021</c:v>
                </c:pt>
                <c:pt idx="435">
                  <c:v>97.679298245614021</c:v>
                </c:pt>
                <c:pt idx="436">
                  <c:v>97.679298245614021</c:v>
                </c:pt>
                <c:pt idx="437">
                  <c:v>97.679298245614021</c:v>
                </c:pt>
                <c:pt idx="438">
                  <c:v>97.679298245614021</c:v>
                </c:pt>
                <c:pt idx="439">
                  <c:v>97.679298245614021</c:v>
                </c:pt>
                <c:pt idx="440">
                  <c:v>97.679298245614021</c:v>
                </c:pt>
                <c:pt idx="441">
                  <c:v>97.679298245614021</c:v>
                </c:pt>
                <c:pt idx="442">
                  <c:v>97.679298245614021</c:v>
                </c:pt>
                <c:pt idx="443">
                  <c:v>97.679298245614021</c:v>
                </c:pt>
                <c:pt idx="444">
                  <c:v>97.679298245614021</c:v>
                </c:pt>
                <c:pt idx="445">
                  <c:v>97.679298245614021</c:v>
                </c:pt>
                <c:pt idx="446">
                  <c:v>97.679298245614021</c:v>
                </c:pt>
                <c:pt idx="447">
                  <c:v>97.679298245614021</c:v>
                </c:pt>
                <c:pt idx="448">
                  <c:v>97.679298245614021</c:v>
                </c:pt>
                <c:pt idx="449">
                  <c:v>97.679298245614021</c:v>
                </c:pt>
                <c:pt idx="450">
                  <c:v>97.679298245614021</c:v>
                </c:pt>
                <c:pt idx="451">
                  <c:v>97.679298245614021</c:v>
                </c:pt>
                <c:pt idx="452">
                  <c:v>97.679298245614021</c:v>
                </c:pt>
                <c:pt idx="453">
                  <c:v>97.679298245614021</c:v>
                </c:pt>
                <c:pt idx="454">
                  <c:v>97.679298245614021</c:v>
                </c:pt>
                <c:pt idx="455">
                  <c:v>97.679298245614021</c:v>
                </c:pt>
                <c:pt idx="456">
                  <c:v>97.679298245614021</c:v>
                </c:pt>
                <c:pt idx="457">
                  <c:v>97.679298245614021</c:v>
                </c:pt>
                <c:pt idx="458">
                  <c:v>97.679298245614021</c:v>
                </c:pt>
                <c:pt idx="459">
                  <c:v>369.1894736842105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95-437C-AF67-CC6A0DE0B264}"/>
            </c:ext>
          </c:extLst>
        </c:ser>
        <c:ser>
          <c:idx val="1"/>
          <c:order val="1"/>
          <c:tx>
            <c:v>Steigungsgerade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Auswertung!$A$8:$A$9</c:f>
              <c:numCache>
                <c:formatCode>0.000</c:formatCode>
                <c:ptCount val="2"/>
                <c:pt idx="0">
                  <c:v>-6.9876018728959398E-7</c:v>
                </c:pt>
                <c:pt idx="1">
                  <c:v>2.4985108534616302E-3</c:v>
                </c:pt>
              </c:numCache>
            </c:numRef>
          </c:xVal>
          <c:yVal>
            <c:numRef>
              <c:f>Auswertung!$B$8:$B$9</c:f>
              <c:numCache>
                <c:formatCode>0.000</c:formatCode>
                <c:ptCount val="2"/>
                <c:pt idx="0">
                  <c:v>0</c:v>
                </c:pt>
                <c:pt idx="1">
                  <c:v>369.1894736842105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95-437C-AF67-CC6A0DE0B264}"/>
            </c:ext>
          </c:extLst>
        </c:ser>
        <c:ser>
          <c:idx val="2"/>
          <c:order val="2"/>
          <c:tx>
            <c:v>Rp02</c:v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Auswertung!$C$8:$C$9</c:f>
              <c:numCache>
                <c:formatCode>0.000</c:formatCode>
                <c:ptCount val="2"/>
                <c:pt idx="0">
                  <c:v>1.9993012398127103E-3</c:v>
                </c:pt>
                <c:pt idx="1">
                  <c:v>4.4985108534616302E-3</c:v>
                </c:pt>
              </c:numCache>
            </c:numRef>
          </c:xVal>
          <c:yVal>
            <c:numRef>
              <c:f>Auswertung!$D$8:$D$9</c:f>
              <c:numCache>
                <c:formatCode>0.000</c:formatCode>
                <c:ptCount val="2"/>
                <c:pt idx="0">
                  <c:v>0</c:v>
                </c:pt>
                <c:pt idx="1">
                  <c:v>369.1894736842105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95-437C-AF67-CC6A0DE0B264}"/>
            </c:ext>
          </c:extLst>
        </c:ser>
        <c:ser>
          <c:idx val="3"/>
          <c:order val="3"/>
          <c:tx>
            <c:v>DeltaBruch</c:v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Auswertung!$E$8:$E$9</c:f>
              <c:numCache>
                <c:formatCode>0.000</c:formatCode>
                <c:ptCount val="2"/>
                <c:pt idx="0">
                  <c:v>0.47503526323513973</c:v>
                </c:pt>
                <c:pt idx="1">
                  <c:v>0.47753447284878864</c:v>
                </c:pt>
              </c:numCache>
            </c:numRef>
          </c:xVal>
          <c:yVal>
            <c:numRef>
              <c:f>Auswertung!$F$8:$F$9</c:f>
              <c:numCache>
                <c:formatCode>0.000</c:formatCode>
                <c:ptCount val="2"/>
                <c:pt idx="0">
                  <c:v>0</c:v>
                </c:pt>
                <c:pt idx="1">
                  <c:v>369.1894736842105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095-437C-AF67-CC6A0DE0B264}"/>
            </c:ext>
          </c:extLst>
        </c:ser>
        <c:ser>
          <c:idx val="4"/>
          <c:order val="4"/>
          <c:tx>
            <c:v>Schnittpunkt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Auswertung!$G$8:$G$9</c:f>
              <c:numCache>
                <c:formatCode>0.000</c:formatCode>
                <c:ptCount val="2"/>
                <c:pt idx="0">
                  <c:v>4.1719489307877151E-3</c:v>
                </c:pt>
                <c:pt idx="1">
                  <c:v>4.1719489307877151E-3</c:v>
                </c:pt>
              </c:numCache>
            </c:numRef>
          </c:xVal>
          <c:yVal>
            <c:numRef>
              <c:f>Auswertung!$H$8:$H$9</c:f>
              <c:numCache>
                <c:formatCode>0.000</c:formatCode>
                <c:ptCount val="2"/>
                <c:pt idx="0">
                  <c:v>397</c:v>
                </c:pt>
                <c:pt idx="1">
                  <c:v>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095-437C-AF67-CC6A0DE0B264}"/>
            </c:ext>
          </c:extLst>
        </c:ser>
        <c:ser>
          <c:idx val="5"/>
          <c:order val="5"/>
          <c:tx>
            <c:strRef>
              <c:f>Auswertung!$I$5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none"/>
          </c:marker>
          <c:xVal>
            <c:numRef>
              <c:f>Auswertung!$I$8:$I$9</c:f>
              <c:numCache>
                <c:formatCode>0.000</c:formatCode>
                <c:ptCount val="2"/>
                <c:pt idx="0">
                  <c:v>0.47503526323513973</c:v>
                </c:pt>
                <c:pt idx="1">
                  <c:v>0.47753447284878864</c:v>
                </c:pt>
              </c:numCache>
            </c:numRef>
          </c:xVal>
          <c:yVal>
            <c:numRef>
              <c:f>Auswertung!$J$8:$J$9</c:f>
              <c:numCache>
                <c:formatCode>0.000</c:formatCode>
                <c:ptCount val="2"/>
                <c:pt idx="0">
                  <c:v>0</c:v>
                </c:pt>
                <c:pt idx="1">
                  <c:v>369.1894736842105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095-437C-AF67-CC6A0DE0B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307968"/>
        <c:axId val="170310272"/>
      </c:scatterChart>
      <c:valAx>
        <c:axId val="17030796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75" b="1" i="0" u="none" strike="noStrike" baseline="0">
                    <a:solidFill>
                      <a:srgbClr val="000000"/>
                    </a:solidFill>
                    <a:latin typeface="Symbol"/>
                    <a:ea typeface="Symbol"/>
                    <a:cs typeface="Symbol"/>
                  </a:defRPr>
                </a:pPr>
                <a:r>
                  <a:rPr lang="de-DE"/>
                  <a:t>e</a:t>
                </a:r>
              </a:p>
            </c:rich>
          </c:tx>
          <c:layout>
            <c:manualLayout>
              <c:xMode val="edge"/>
              <c:yMode val="edge"/>
              <c:x val="0.51594746716697937"/>
              <c:y val="0.9111578924535259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310272"/>
        <c:crosses val="autoZero"/>
        <c:crossBetween val="midCat"/>
      </c:valAx>
      <c:valAx>
        <c:axId val="1703102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 sz="1175" b="1" i="0" u="none" strike="noStrike" baseline="0">
                    <a:solidFill>
                      <a:srgbClr val="000000"/>
                    </a:solidFill>
                    <a:latin typeface="Symbol"/>
                  </a:rPr>
                  <a:t>s </a:t>
                </a:r>
                <a:r>
                  <a:rPr lang="de-DE" sz="117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[MPa]</a:t>
                </a:r>
                <a:endParaRPr lang="de-DE"/>
              </a:p>
            </c:rich>
          </c:tx>
          <c:layout>
            <c:manualLayout>
              <c:xMode val="edge"/>
              <c:yMode val="edge"/>
              <c:x val="9.3808630393996256E-3"/>
              <c:y val="0.419421921433374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3079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9525">
      <a:noFill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752808230160935E-2"/>
          <c:y val="0.11436950146627566"/>
          <c:w val="0.87459875731539305"/>
          <c:h val="0.8181818181818182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Messdaten!$P$15:$P$474</c:f>
              <c:numCache>
                <c:formatCode>0.000</c:formatCode>
                <c:ptCount val="460"/>
                <c:pt idx="0">
                  <c:v>1.0424728487886383E-3</c:v>
                </c:pt>
                <c:pt idx="1">
                  <c:v>1.0424728487886383E-3</c:v>
                </c:pt>
                <c:pt idx="2">
                  <c:v>1.0424728487886383E-3</c:v>
                </c:pt>
                <c:pt idx="3">
                  <c:v>1.0424728487886383E-3</c:v>
                </c:pt>
                <c:pt idx="4">
                  <c:v>1.0424728487886383E-3</c:v>
                </c:pt>
                <c:pt idx="5">
                  <c:v>1.0424728487886383E-3</c:v>
                </c:pt>
                <c:pt idx="6">
                  <c:v>1.0424728487886383E-3</c:v>
                </c:pt>
                <c:pt idx="7">
                  <c:v>1.0424728487886383E-3</c:v>
                </c:pt>
                <c:pt idx="8">
                  <c:v>1.0424728487886383E-3</c:v>
                </c:pt>
                <c:pt idx="9">
                  <c:v>1.0424728487886383E-3</c:v>
                </c:pt>
                <c:pt idx="10">
                  <c:v>1.0424728487886383E-3</c:v>
                </c:pt>
                <c:pt idx="11">
                  <c:v>1.0424728487886383E-3</c:v>
                </c:pt>
                <c:pt idx="12">
                  <c:v>1.0424728487886383E-3</c:v>
                </c:pt>
                <c:pt idx="13">
                  <c:v>1.0424728487886383E-3</c:v>
                </c:pt>
                <c:pt idx="14">
                  <c:v>1.0424728487886383E-3</c:v>
                </c:pt>
                <c:pt idx="15">
                  <c:v>1.0424728487886383E-3</c:v>
                </c:pt>
                <c:pt idx="16">
                  <c:v>1.0424728487886383E-3</c:v>
                </c:pt>
                <c:pt idx="17">
                  <c:v>1.0424728487886383E-3</c:v>
                </c:pt>
                <c:pt idx="18">
                  <c:v>1.0424728487886383E-3</c:v>
                </c:pt>
                <c:pt idx="19">
                  <c:v>1.0424728487886383E-3</c:v>
                </c:pt>
                <c:pt idx="20">
                  <c:v>1.0424728487886383E-3</c:v>
                </c:pt>
                <c:pt idx="21">
                  <c:v>1.0424728487886383E-3</c:v>
                </c:pt>
                <c:pt idx="22">
                  <c:v>1.0424728487886383E-3</c:v>
                </c:pt>
                <c:pt idx="23">
                  <c:v>1.0424728487886383E-3</c:v>
                </c:pt>
                <c:pt idx="24">
                  <c:v>1.0424728487886383E-3</c:v>
                </c:pt>
                <c:pt idx="25">
                  <c:v>1.0424728487886383E-3</c:v>
                </c:pt>
                <c:pt idx="26">
                  <c:v>1.0424728487886383E-3</c:v>
                </c:pt>
                <c:pt idx="27">
                  <c:v>1.0424728487886383E-3</c:v>
                </c:pt>
                <c:pt idx="28">
                  <c:v>1.0424728487886383E-3</c:v>
                </c:pt>
                <c:pt idx="29">
                  <c:v>1.0424728487886383E-3</c:v>
                </c:pt>
                <c:pt idx="30">
                  <c:v>1.0424728487886383E-3</c:v>
                </c:pt>
                <c:pt idx="31">
                  <c:v>1.0424728487886383E-3</c:v>
                </c:pt>
                <c:pt idx="32">
                  <c:v>1.0424728487886383E-3</c:v>
                </c:pt>
                <c:pt idx="33">
                  <c:v>1.0424728487886383E-3</c:v>
                </c:pt>
                <c:pt idx="34">
                  <c:v>1.0424728487886383E-3</c:v>
                </c:pt>
                <c:pt idx="35">
                  <c:v>1.0424728487886383E-3</c:v>
                </c:pt>
                <c:pt idx="36">
                  <c:v>1.0424728487886383E-3</c:v>
                </c:pt>
                <c:pt idx="37">
                  <c:v>1.0424728487886383E-3</c:v>
                </c:pt>
                <c:pt idx="38">
                  <c:v>1.0424728487886383E-3</c:v>
                </c:pt>
                <c:pt idx="39">
                  <c:v>1.0424728487886383E-3</c:v>
                </c:pt>
                <c:pt idx="40">
                  <c:v>1.0424728487886383E-3</c:v>
                </c:pt>
                <c:pt idx="41">
                  <c:v>1.0424728487886383E-3</c:v>
                </c:pt>
                <c:pt idx="42">
                  <c:v>1.0424728487886383E-3</c:v>
                </c:pt>
                <c:pt idx="43">
                  <c:v>1.0424728487886383E-3</c:v>
                </c:pt>
                <c:pt idx="44">
                  <c:v>1.0424728487886383E-3</c:v>
                </c:pt>
                <c:pt idx="45">
                  <c:v>1.0424728487886383E-3</c:v>
                </c:pt>
                <c:pt idx="46">
                  <c:v>1.0424728487886383E-3</c:v>
                </c:pt>
                <c:pt idx="47">
                  <c:v>1.0424728487886383E-3</c:v>
                </c:pt>
                <c:pt idx="48">
                  <c:v>1.0424728487886383E-3</c:v>
                </c:pt>
                <c:pt idx="49">
                  <c:v>1.0424728487886383E-3</c:v>
                </c:pt>
                <c:pt idx="50">
                  <c:v>1.0424728487886383E-3</c:v>
                </c:pt>
                <c:pt idx="51">
                  <c:v>1.0424728487886383E-3</c:v>
                </c:pt>
                <c:pt idx="52">
                  <c:v>1.0424728487886383E-3</c:v>
                </c:pt>
                <c:pt idx="53">
                  <c:v>1.0424728487886383E-3</c:v>
                </c:pt>
                <c:pt idx="54">
                  <c:v>1.0424728487886383E-3</c:v>
                </c:pt>
                <c:pt idx="55">
                  <c:v>1.0424728487886383E-3</c:v>
                </c:pt>
                <c:pt idx="56">
                  <c:v>1.0424728487886383E-3</c:v>
                </c:pt>
                <c:pt idx="57">
                  <c:v>1.0424728487886383E-3</c:v>
                </c:pt>
                <c:pt idx="58">
                  <c:v>1.0424728487886383E-3</c:v>
                </c:pt>
                <c:pt idx="59">
                  <c:v>1.0424728487886383E-3</c:v>
                </c:pt>
                <c:pt idx="60">
                  <c:v>1.0424728487886383E-3</c:v>
                </c:pt>
                <c:pt idx="61">
                  <c:v>1.0424728487886383E-3</c:v>
                </c:pt>
                <c:pt idx="62">
                  <c:v>1.0424728487886383E-3</c:v>
                </c:pt>
                <c:pt idx="63">
                  <c:v>1.0424728487886383E-3</c:v>
                </c:pt>
                <c:pt idx="64">
                  <c:v>1.0424728487886383E-3</c:v>
                </c:pt>
                <c:pt idx="65">
                  <c:v>1.0424728487886383E-3</c:v>
                </c:pt>
                <c:pt idx="66">
                  <c:v>1.0424728487886383E-3</c:v>
                </c:pt>
                <c:pt idx="67">
                  <c:v>1.0424728487886383E-3</c:v>
                </c:pt>
                <c:pt idx="68">
                  <c:v>1.0424728487886383E-3</c:v>
                </c:pt>
                <c:pt idx="69">
                  <c:v>1.0424728487886383E-3</c:v>
                </c:pt>
                <c:pt idx="70">
                  <c:v>1.0424728487886383E-3</c:v>
                </c:pt>
                <c:pt idx="71">
                  <c:v>1.0424728487886383E-3</c:v>
                </c:pt>
                <c:pt idx="72">
                  <c:v>1.0424728487886383E-3</c:v>
                </c:pt>
                <c:pt idx="73">
                  <c:v>1.0424728487886383E-3</c:v>
                </c:pt>
                <c:pt idx="74">
                  <c:v>1.0424728487886383E-3</c:v>
                </c:pt>
                <c:pt idx="75">
                  <c:v>1.0424728487886383E-3</c:v>
                </c:pt>
                <c:pt idx="76">
                  <c:v>1.0424728487886383E-3</c:v>
                </c:pt>
                <c:pt idx="77">
                  <c:v>1.0424728487886383E-3</c:v>
                </c:pt>
                <c:pt idx="78">
                  <c:v>1.0424728487886383E-3</c:v>
                </c:pt>
                <c:pt idx="79">
                  <c:v>1.0424728487886383E-3</c:v>
                </c:pt>
                <c:pt idx="80">
                  <c:v>1.0424728487886383E-3</c:v>
                </c:pt>
                <c:pt idx="81">
                  <c:v>1.0424728487886383E-3</c:v>
                </c:pt>
                <c:pt idx="82">
                  <c:v>1.0424728487886383E-3</c:v>
                </c:pt>
                <c:pt idx="83">
                  <c:v>1.0424728487886383E-3</c:v>
                </c:pt>
                <c:pt idx="84">
                  <c:v>1.0424728487886383E-3</c:v>
                </c:pt>
                <c:pt idx="85">
                  <c:v>1.0424728487886383E-3</c:v>
                </c:pt>
                <c:pt idx="86">
                  <c:v>1.0424728487886383E-3</c:v>
                </c:pt>
                <c:pt idx="87">
                  <c:v>1.0424728487886383E-3</c:v>
                </c:pt>
                <c:pt idx="88">
                  <c:v>1.0424728487886383E-3</c:v>
                </c:pt>
                <c:pt idx="89">
                  <c:v>1.0424728487886383E-3</c:v>
                </c:pt>
                <c:pt idx="90">
                  <c:v>1.0424728487886383E-3</c:v>
                </c:pt>
                <c:pt idx="91">
                  <c:v>1.0424728487886383E-3</c:v>
                </c:pt>
                <c:pt idx="92">
                  <c:v>1.0424728487886383E-3</c:v>
                </c:pt>
                <c:pt idx="93">
                  <c:v>1.0424728487886383E-3</c:v>
                </c:pt>
                <c:pt idx="94">
                  <c:v>1.0424728487886383E-3</c:v>
                </c:pt>
                <c:pt idx="95">
                  <c:v>1.0424728487886383E-3</c:v>
                </c:pt>
                <c:pt idx="96">
                  <c:v>1.0424728487886383E-3</c:v>
                </c:pt>
                <c:pt idx="97">
                  <c:v>1.0424728487886383E-3</c:v>
                </c:pt>
                <c:pt idx="98">
                  <c:v>1.0424728487886383E-3</c:v>
                </c:pt>
                <c:pt idx="99">
                  <c:v>1.0424728487886383E-3</c:v>
                </c:pt>
                <c:pt idx="100">
                  <c:v>1.0424728487886383E-3</c:v>
                </c:pt>
                <c:pt idx="101">
                  <c:v>1.0424728487886383E-3</c:v>
                </c:pt>
                <c:pt idx="102">
                  <c:v>1.0424728487886383E-3</c:v>
                </c:pt>
                <c:pt idx="103">
                  <c:v>1.0424728487886383E-3</c:v>
                </c:pt>
                <c:pt idx="104">
                  <c:v>1.0424728487886383E-3</c:v>
                </c:pt>
                <c:pt idx="105">
                  <c:v>1.0424728487886383E-3</c:v>
                </c:pt>
                <c:pt idx="106">
                  <c:v>1.0424728487886383E-3</c:v>
                </c:pt>
                <c:pt idx="107">
                  <c:v>1.0424728487886383E-3</c:v>
                </c:pt>
                <c:pt idx="108">
                  <c:v>1.0424728487886383E-3</c:v>
                </c:pt>
                <c:pt idx="109">
                  <c:v>1.0424728487886383E-3</c:v>
                </c:pt>
                <c:pt idx="110">
                  <c:v>1.0424728487886383E-3</c:v>
                </c:pt>
                <c:pt idx="111">
                  <c:v>1.0424728487886383E-3</c:v>
                </c:pt>
                <c:pt idx="112">
                  <c:v>1.0424728487886383E-3</c:v>
                </c:pt>
                <c:pt idx="113">
                  <c:v>1.0424728487886383E-3</c:v>
                </c:pt>
                <c:pt idx="114">
                  <c:v>1.0424728487886383E-3</c:v>
                </c:pt>
                <c:pt idx="115">
                  <c:v>1.0424728487886383E-3</c:v>
                </c:pt>
                <c:pt idx="116">
                  <c:v>1.0424728487886383E-3</c:v>
                </c:pt>
                <c:pt idx="117">
                  <c:v>1.0424728487886383E-3</c:v>
                </c:pt>
                <c:pt idx="118">
                  <c:v>1.0424728487886383E-3</c:v>
                </c:pt>
                <c:pt idx="119">
                  <c:v>1.0424728487886383E-3</c:v>
                </c:pt>
                <c:pt idx="120">
                  <c:v>1.0424728487886383E-3</c:v>
                </c:pt>
                <c:pt idx="121">
                  <c:v>1.0424728487886383E-3</c:v>
                </c:pt>
                <c:pt idx="122">
                  <c:v>1.0424728487886383E-3</c:v>
                </c:pt>
                <c:pt idx="123">
                  <c:v>1.0424728487886383E-3</c:v>
                </c:pt>
                <c:pt idx="124">
                  <c:v>1.0424728487886383E-3</c:v>
                </c:pt>
                <c:pt idx="125">
                  <c:v>1.0424728487886383E-3</c:v>
                </c:pt>
                <c:pt idx="126">
                  <c:v>1.0424728487886383E-3</c:v>
                </c:pt>
                <c:pt idx="127">
                  <c:v>1.0424728487886383E-3</c:v>
                </c:pt>
                <c:pt idx="128">
                  <c:v>1.0424728487886383E-3</c:v>
                </c:pt>
                <c:pt idx="129">
                  <c:v>1.0424728487886383E-3</c:v>
                </c:pt>
                <c:pt idx="130">
                  <c:v>1.0424728487886383E-3</c:v>
                </c:pt>
                <c:pt idx="131">
                  <c:v>1.0424728487886383E-3</c:v>
                </c:pt>
                <c:pt idx="132">
                  <c:v>1.0424728487886383E-3</c:v>
                </c:pt>
                <c:pt idx="133">
                  <c:v>1.0424728487886383E-3</c:v>
                </c:pt>
                <c:pt idx="134">
                  <c:v>1.0424728487886383E-3</c:v>
                </c:pt>
                <c:pt idx="135">
                  <c:v>1.0424728487886383E-3</c:v>
                </c:pt>
                <c:pt idx="136">
                  <c:v>1.0424728487886383E-3</c:v>
                </c:pt>
                <c:pt idx="137">
                  <c:v>1.0424728487886383E-3</c:v>
                </c:pt>
                <c:pt idx="138">
                  <c:v>1.0424728487886383E-3</c:v>
                </c:pt>
                <c:pt idx="139">
                  <c:v>1.0424728487886383E-3</c:v>
                </c:pt>
                <c:pt idx="140">
                  <c:v>1.0424728487886383E-3</c:v>
                </c:pt>
                <c:pt idx="141">
                  <c:v>1.0424728487886383E-3</c:v>
                </c:pt>
                <c:pt idx="142">
                  <c:v>1.0424728487886383E-3</c:v>
                </c:pt>
                <c:pt idx="143">
                  <c:v>1.0424728487886383E-3</c:v>
                </c:pt>
                <c:pt idx="144">
                  <c:v>1.0424728487886383E-3</c:v>
                </c:pt>
                <c:pt idx="145">
                  <c:v>1.0424728487886383E-3</c:v>
                </c:pt>
                <c:pt idx="146">
                  <c:v>1.0424728487886383E-3</c:v>
                </c:pt>
                <c:pt idx="147">
                  <c:v>1.0424728487886383E-3</c:v>
                </c:pt>
                <c:pt idx="148">
                  <c:v>1.0424728487886383E-3</c:v>
                </c:pt>
                <c:pt idx="149">
                  <c:v>1.0424728487886383E-3</c:v>
                </c:pt>
                <c:pt idx="150">
                  <c:v>1.0424728487886383E-3</c:v>
                </c:pt>
                <c:pt idx="151">
                  <c:v>1.0424728487886383E-3</c:v>
                </c:pt>
                <c:pt idx="152">
                  <c:v>1.0424728487886383E-3</c:v>
                </c:pt>
                <c:pt idx="153">
                  <c:v>1.0424728487886383E-3</c:v>
                </c:pt>
                <c:pt idx="154">
                  <c:v>1.0424728487886383E-3</c:v>
                </c:pt>
                <c:pt idx="155">
                  <c:v>1.0424728487886383E-3</c:v>
                </c:pt>
                <c:pt idx="156">
                  <c:v>1.0424728487886383E-3</c:v>
                </c:pt>
                <c:pt idx="157">
                  <c:v>1.0424728487886383E-3</c:v>
                </c:pt>
                <c:pt idx="158">
                  <c:v>1.0424728487886383E-3</c:v>
                </c:pt>
                <c:pt idx="159">
                  <c:v>1.0424728487886383E-3</c:v>
                </c:pt>
                <c:pt idx="160">
                  <c:v>1.0424728487886383E-3</c:v>
                </c:pt>
                <c:pt idx="161">
                  <c:v>1.0424728487886383E-3</c:v>
                </c:pt>
                <c:pt idx="162">
                  <c:v>1.0424728487886383E-3</c:v>
                </c:pt>
                <c:pt idx="163">
                  <c:v>1.0424728487886383E-3</c:v>
                </c:pt>
                <c:pt idx="164">
                  <c:v>1.0424728487886383E-3</c:v>
                </c:pt>
                <c:pt idx="165">
                  <c:v>1.0424728487886383E-3</c:v>
                </c:pt>
                <c:pt idx="166">
                  <c:v>1.0424728487886383E-3</c:v>
                </c:pt>
                <c:pt idx="167">
                  <c:v>1.0424728487886383E-3</c:v>
                </c:pt>
                <c:pt idx="168">
                  <c:v>1.0424728487886383E-3</c:v>
                </c:pt>
                <c:pt idx="169">
                  <c:v>1.0424728487886383E-3</c:v>
                </c:pt>
                <c:pt idx="170">
                  <c:v>1.0424728487886383E-3</c:v>
                </c:pt>
                <c:pt idx="171">
                  <c:v>1.0424728487886383E-3</c:v>
                </c:pt>
                <c:pt idx="172">
                  <c:v>1.0424728487886383E-3</c:v>
                </c:pt>
                <c:pt idx="173">
                  <c:v>1.0424728487886383E-3</c:v>
                </c:pt>
                <c:pt idx="174">
                  <c:v>1.0424728487886383E-3</c:v>
                </c:pt>
                <c:pt idx="175">
                  <c:v>1.0424728487886383E-3</c:v>
                </c:pt>
                <c:pt idx="176">
                  <c:v>1.0424728487886383E-3</c:v>
                </c:pt>
                <c:pt idx="177">
                  <c:v>1.0424728487886383E-3</c:v>
                </c:pt>
                <c:pt idx="178">
                  <c:v>1.0424728487886383E-3</c:v>
                </c:pt>
                <c:pt idx="179">
                  <c:v>1.0424728487886383E-3</c:v>
                </c:pt>
                <c:pt idx="180">
                  <c:v>1.0424728487886383E-3</c:v>
                </c:pt>
                <c:pt idx="181">
                  <c:v>1.0424728487886383E-3</c:v>
                </c:pt>
                <c:pt idx="182">
                  <c:v>1.0424728487886383E-3</c:v>
                </c:pt>
                <c:pt idx="183">
                  <c:v>1.0424728487886383E-3</c:v>
                </c:pt>
                <c:pt idx="184">
                  <c:v>1.0424728487886383E-3</c:v>
                </c:pt>
                <c:pt idx="185">
                  <c:v>1.0424728487886383E-3</c:v>
                </c:pt>
                <c:pt idx="186">
                  <c:v>1.0424728487886383E-3</c:v>
                </c:pt>
                <c:pt idx="187">
                  <c:v>1.0424728487886383E-3</c:v>
                </c:pt>
                <c:pt idx="188">
                  <c:v>1.0424728487886383E-3</c:v>
                </c:pt>
                <c:pt idx="189">
                  <c:v>1.0424728487886383E-3</c:v>
                </c:pt>
                <c:pt idx="190">
                  <c:v>1.0424728487886383E-3</c:v>
                </c:pt>
                <c:pt idx="191">
                  <c:v>1.0424728487886383E-3</c:v>
                </c:pt>
                <c:pt idx="192">
                  <c:v>1.0424728487886383E-3</c:v>
                </c:pt>
                <c:pt idx="193">
                  <c:v>1.0424728487886383E-3</c:v>
                </c:pt>
                <c:pt idx="194">
                  <c:v>1.0424728487886383E-3</c:v>
                </c:pt>
                <c:pt idx="195">
                  <c:v>1.0424728487886383E-3</c:v>
                </c:pt>
                <c:pt idx="196">
                  <c:v>1.0424728487886383E-3</c:v>
                </c:pt>
                <c:pt idx="197">
                  <c:v>1.0424728487886383E-3</c:v>
                </c:pt>
                <c:pt idx="198">
                  <c:v>1.0424728487886383E-3</c:v>
                </c:pt>
                <c:pt idx="199">
                  <c:v>1.0424728487886383E-3</c:v>
                </c:pt>
                <c:pt idx="200">
                  <c:v>1.0424728487886383E-3</c:v>
                </c:pt>
                <c:pt idx="201">
                  <c:v>1.0424728487886383E-3</c:v>
                </c:pt>
                <c:pt idx="202">
                  <c:v>1.0424728487886383E-3</c:v>
                </c:pt>
                <c:pt idx="203">
                  <c:v>1.0424728487886383E-3</c:v>
                </c:pt>
                <c:pt idx="204">
                  <c:v>1.0424728487886383E-3</c:v>
                </c:pt>
                <c:pt idx="205">
                  <c:v>1.0424728487886383E-3</c:v>
                </c:pt>
                <c:pt idx="206">
                  <c:v>1.0424728487886383E-3</c:v>
                </c:pt>
                <c:pt idx="207">
                  <c:v>1.0424728487886383E-3</c:v>
                </c:pt>
                <c:pt idx="208">
                  <c:v>1.0424728487886383E-3</c:v>
                </c:pt>
                <c:pt idx="209">
                  <c:v>1.0424728487886383E-3</c:v>
                </c:pt>
                <c:pt idx="210">
                  <c:v>1.0424728487886383E-3</c:v>
                </c:pt>
                <c:pt idx="211">
                  <c:v>1.0424728487886383E-3</c:v>
                </c:pt>
                <c:pt idx="212">
                  <c:v>1.0424728487886383E-3</c:v>
                </c:pt>
                <c:pt idx="213">
                  <c:v>1.0424728487886383E-3</c:v>
                </c:pt>
                <c:pt idx="214">
                  <c:v>1.0424728487886383E-3</c:v>
                </c:pt>
                <c:pt idx="215">
                  <c:v>1.0424728487886383E-3</c:v>
                </c:pt>
                <c:pt idx="216">
                  <c:v>1.0424728487886383E-3</c:v>
                </c:pt>
                <c:pt idx="217">
                  <c:v>1.0424728487886383E-3</c:v>
                </c:pt>
                <c:pt idx="218">
                  <c:v>1.0424728487886383E-3</c:v>
                </c:pt>
                <c:pt idx="219">
                  <c:v>1.0424728487886383E-3</c:v>
                </c:pt>
                <c:pt idx="220">
                  <c:v>1.0424728487886383E-3</c:v>
                </c:pt>
                <c:pt idx="221">
                  <c:v>1.0424728487886383E-3</c:v>
                </c:pt>
                <c:pt idx="222">
                  <c:v>1.0424728487886383E-3</c:v>
                </c:pt>
                <c:pt idx="223">
                  <c:v>1.0424728487886383E-3</c:v>
                </c:pt>
                <c:pt idx="224">
                  <c:v>1.0424728487886383E-3</c:v>
                </c:pt>
                <c:pt idx="225">
                  <c:v>1.0424728487886383E-3</c:v>
                </c:pt>
                <c:pt idx="226">
                  <c:v>1.0424728487886383E-3</c:v>
                </c:pt>
                <c:pt idx="227">
                  <c:v>1.0424728487886383E-3</c:v>
                </c:pt>
                <c:pt idx="228">
                  <c:v>1.0424728487886383E-3</c:v>
                </c:pt>
                <c:pt idx="229">
                  <c:v>1.0424728487886383E-3</c:v>
                </c:pt>
                <c:pt idx="230">
                  <c:v>1.0424728487886383E-3</c:v>
                </c:pt>
                <c:pt idx="231">
                  <c:v>1.0424728487886383E-3</c:v>
                </c:pt>
                <c:pt idx="232">
                  <c:v>1.0424728487886383E-3</c:v>
                </c:pt>
                <c:pt idx="233">
                  <c:v>1.0424728487886383E-3</c:v>
                </c:pt>
                <c:pt idx="234">
                  <c:v>1.0424728487886383E-3</c:v>
                </c:pt>
                <c:pt idx="235">
                  <c:v>1.0424728487886383E-3</c:v>
                </c:pt>
                <c:pt idx="236">
                  <c:v>1.0424728487886383E-3</c:v>
                </c:pt>
                <c:pt idx="237">
                  <c:v>1.0424728487886383E-3</c:v>
                </c:pt>
                <c:pt idx="238">
                  <c:v>1.0424728487886383E-3</c:v>
                </c:pt>
                <c:pt idx="239">
                  <c:v>1.0424728487886383E-3</c:v>
                </c:pt>
                <c:pt idx="240">
                  <c:v>1.0424728487886383E-3</c:v>
                </c:pt>
                <c:pt idx="241">
                  <c:v>1.0424728487886383E-3</c:v>
                </c:pt>
                <c:pt idx="242">
                  <c:v>1.0424728487886383E-3</c:v>
                </c:pt>
                <c:pt idx="243">
                  <c:v>1.0424728487886383E-3</c:v>
                </c:pt>
                <c:pt idx="244">
                  <c:v>1.0424728487886383E-3</c:v>
                </c:pt>
                <c:pt idx="245">
                  <c:v>1.0424728487886383E-3</c:v>
                </c:pt>
                <c:pt idx="246">
                  <c:v>1.0424728487886383E-3</c:v>
                </c:pt>
                <c:pt idx="247">
                  <c:v>1.0424728487886383E-3</c:v>
                </c:pt>
                <c:pt idx="248">
                  <c:v>1.0424728487886383E-3</c:v>
                </c:pt>
                <c:pt idx="249">
                  <c:v>1.0424728487886383E-3</c:v>
                </c:pt>
                <c:pt idx="250">
                  <c:v>1.0424728487886383E-3</c:v>
                </c:pt>
                <c:pt idx="251">
                  <c:v>1.0424728487886383E-3</c:v>
                </c:pt>
                <c:pt idx="252">
                  <c:v>1.0424728487886383E-3</c:v>
                </c:pt>
                <c:pt idx="253">
                  <c:v>1.0424728487886383E-3</c:v>
                </c:pt>
                <c:pt idx="254">
                  <c:v>1.0424728487886383E-3</c:v>
                </c:pt>
                <c:pt idx="255">
                  <c:v>1.0424728487886383E-3</c:v>
                </c:pt>
                <c:pt idx="256">
                  <c:v>1.0424728487886383E-3</c:v>
                </c:pt>
                <c:pt idx="257">
                  <c:v>1.0424728487886383E-3</c:v>
                </c:pt>
                <c:pt idx="258">
                  <c:v>1.0424728487886383E-3</c:v>
                </c:pt>
                <c:pt idx="259">
                  <c:v>1.0424728487886383E-3</c:v>
                </c:pt>
                <c:pt idx="260">
                  <c:v>1.0424728487886383E-3</c:v>
                </c:pt>
                <c:pt idx="261">
                  <c:v>1.0424728487886383E-3</c:v>
                </c:pt>
                <c:pt idx="262">
                  <c:v>1.0424728487886383E-3</c:v>
                </c:pt>
                <c:pt idx="263">
                  <c:v>1.0424728487886383E-3</c:v>
                </c:pt>
                <c:pt idx="264">
                  <c:v>1.0424728487886383E-3</c:v>
                </c:pt>
                <c:pt idx="265">
                  <c:v>1.0424728487886383E-3</c:v>
                </c:pt>
                <c:pt idx="266">
                  <c:v>1.0424728487886383E-3</c:v>
                </c:pt>
                <c:pt idx="267">
                  <c:v>1.0424728487886383E-3</c:v>
                </c:pt>
                <c:pt idx="268">
                  <c:v>1.0424728487886383E-3</c:v>
                </c:pt>
                <c:pt idx="269">
                  <c:v>1.0424728487886383E-3</c:v>
                </c:pt>
                <c:pt idx="270">
                  <c:v>1.0424728487886383E-3</c:v>
                </c:pt>
                <c:pt idx="271">
                  <c:v>1.0424728487886383E-3</c:v>
                </c:pt>
                <c:pt idx="272">
                  <c:v>1.0424728487886383E-3</c:v>
                </c:pt>
                <c:pt idx="273">
                  <c:v>1.0424728487886383E-3</c:v>
                </c:pt>
                <c:pt idx="274">
                  <c:v>1.0424728487886383E-3</c:v>
                </c:pt>
                <c:pt idx="275">
                  <c:v>1.0424728487886383E-3</c:v>
                </c:pt>
                <c:pt idx="276">
                  <c:v>1.0424728487886383E-3</c:v>
                </c:pt>
                <c:pt idx="277">
                  <c:v>1.0424728487886383E-3</c:v>
                </c:pt>
                <c:pt idx="278">
                  <c:v>1.0424728487886383E-3</c:v>
                </c:pt>
                <c:pt idx="279">
                  <c:v>1.0424728487886383E-3</c:v>
                </c:pt>
                <c:pt idx="280">
                  <c:v>1.0424728487886383E-3</c:v>
                </c:pt>
                <c:pt idx="281">
                  <c:v>1.0424728487886383E-3</c:v>
                </c:pt>
                <c:pt idx="282">
                  <c:v>1.0424728487886383E-3</c:v>
                </c:pt>
                <c:pt idx="283">
                  <c:v>1.0424728487886383E-3</c:v>
                </c:pt>
                <c:pt idx="284">
                  <c:v>1.0424728487886383E-3</c:v>
                </c:pt>
                <c:pt idx="285">
                  <c:v>1.0424728487886383E-3</c:v>
                </c:pt>
                <c:pt idx="286">
                  <c:v>1.0424728487886383E-3</c:v>
                </c:pt>
                <c:pt idx="287">
                  <c:v>1.0424728487886383E-3</c:v>
                </c:pt>
                <c:pt idx="288">
                  <c:v>1.0424728487886383E-3</c:v>
                </c:pt>
                <c:pt idx="289">
                  <c:v>1.0424728487886383E-3</c:v>
                </c:pt>
                <c:pt idx="290">
                  <c:v>1.0424728487886383E-3</c:v>
                </c:pt>
                <c:pt idx="291">
                  <c:v>1.0424728487886383E-3</c:v>
                </c:pt>
                <c:pt idx="292">
                  <c:v>1.0424728487886383E-3</c:v>
                </c:pt>
                <c:pt idx="293">
                  <c:v>1.0424728487886383E-3</c:v>
                </c:pt>
                <c:pt idx="294">
                  <c:v>1.0424728487886383E-3</c:v>
                </c:pt>
                <c:pt idx="295">
                  <c:v>1.0424728487886383E-3</c:v>
                </c:pt>
                <c:pt idx="296">
                  <c:v>1.0424728487886383E-3</c:v>
                </c:pt>
                <c:pt idx="297">
                  <c:v>1.0424728487886383E-3</c:v>
                </c:pt>
                <c:pt idx="298">
                  <c:v>1.0424728487886383E-3</c:v>
                </c:pt>
                <c:pt idx="299">
                  <c:v>1.0424728487886383E-3</c:v>
                </c:pt>
                <c:pt idx="300">
                  <c:v>1.0424728487886383E-3</c:v>
                </c:pt>
                <c:pt idx="301">
                  <c:v>1.0424728487886383E-3</c:v>
                </c:pt>
                <c:pt idx="302">
                  <c:v>1.0424728487886383E-3</c:v>
                </c:pt>
                <c:pt idx="303">
                  <c:v>1.0424728487886383E-3</c:v>
                </c:pt>
                <c:pt idx="304">
                  <c:v>1.0424728487886383E-3</c:v>
                </c:pt>
                <c:pt idx="305">
                  <c:v>1.0424728487886383E-3</c:v>
                </c:pt>
                <c:pt idx="306">
                  <c:v>1.0424728487886383E-3</c:v>
                </c:pt>
                <c:pt idx="307">
                  <c:v>1.0424728487886383E-3</c:v>
                </c:pt>
                <c:pt idx="308">
                  <c:v>1.0424728487886383E-3</c:v>
                </c:pt>
                <c:pt idx="309">
                  <c:v>1.0424728487886383E-3</c:v>
                </c:pt>
                <c:pt idx="310">
                  <c:v>1.0424728487886383E-3</c:v>
                </c:pt>
                <c:pt idx="311">
                  <c:v>1.0424728487886383E-3</c:v>
                </c:pt>
                <c:pt idx="312">
                  <c:v>1.0424728487886383E-3</c:v>
                </c:pt>
                <c:pt idx="313">
                  <c:v>1.0424728487886383E-3</c:v>
                </c:pt>
                <c:pt idx="314">
                  <c:v>1.0424728487886383E-3</c:v>
                </c:pt>
                <c:pt idx="315">
                  <c:v>1.0424728487886383E-3</c:v>
                </c:pt>
                <c:pt idx="316">
                  <c:v>1.0424728487886383E-3</c:v>
                </c:pt>
                <c:pt idx="317">
                  <c:v>1.0424728487886383E-3</c:v>
                </c:pt>
                <c:pt idx="318">
                  <c:v>1.0424728487886383E-3</c:v>
                </c:pt>
                <c:pt idx="319">
                  <c:v>1.0424728487886383E-3</c:v>
                </c:pt>
                <c:pt idx="320">
                  <c:v>1.0424728487886383E-3</c:v>
                </c:pt>
                <c:pt idx="321">
                  <c:v>1.0424728487886383E-3</c:v>
                </c:pt>
                <c:pt idx="322">
                  <c:v>1.0424728487886383E-3</c:v>
                </c:pt>
                <c:pt idx="323">
                  <c:v>1.0424728487886383E-3</c:v>
                </c:pt>
                <c:pt idx="324">
                  <c:v>1.0424728487886383E-3</c:v>
                </c:pt>
                <c:pt idx="325">
                  <c:v>1.0424728487886383E-3</c:v>
                </c:pt>
                <c:pt idx="326">
                  <c:v>1.0424728487886383E-3</c:v>
                </c:pt>
                <c:pt idx="327">
                  <c:v>1.0424728487886383E-3</c:v>
                </c:pt>
                <c:pt idx="328">
                  <c:v>1.0424728487886383E-3</c:v>
                </c:pt>
                <c:pt idx="329">
                  <c:v>1.0424728487886383E-3</c:v>
                </c:pt>
                <c:pt idx="330">
                  <c:v>1.0424728487886383E-3</c:v>
                </c:pt>
                <c:pt idx="331">
                  <c:v>1.0424728487886383E-3</c:v>
                </c:pt>
                <c:pt idx="332">
                  <c:v>1.0424728487886383E-3</c:v>
                </c:pt>
                <c:pt idx="333">
                  <c:v>1.0424728487886383E-3</c:v>
                </c:pt>
                <c:pt idx="334">
                  <c:v>1.0424728487886383E-3</c:v>
                </c:pt>
                <c:pt idx="335">
                  <c:v>1.0424728487886383E-3</c:v>
                </c:pt>
                <c:pt idx="336">
                  <c:v>1.0424728487886383E-3</c:v>
                </c:pt>
                <c:pt idx="337">
                  <c:v>1.0424728487886383E-3</c:v>
                </c:pt>
                <c:pt idx="338">
                  <c:v>1.0424728487886383E-3</c:v>
                </c:pt>
                <c:pt idx="339">
                  <c:v>1.0424728487886383E-3</c:v>
                </c:pt>
                <c:pt idx="340">
                  <c:v>1.0424728487886383E-3</c:v>
                </c:pt>
                <c:pt idx="341">
                  <c:v>1.0424728487886383E-3</c:v>
                </c:pt>
                <c:pt idx="342">
                  <c:v>1.0424728487886383E-3</c:v>
                </c:pt>
                <c:pt idx="343">
                  <c:v>1.0424728487886383E-3</c:v>
                </c:pt>
                <c:pt idx="344">
                  <c:v>1.0424728487886383E-3</c:v>
                </c:pt>
                <c:pt idx="345">
                  <c:v>1.0424728487886383E-3</c:v>
                </c:pt>
                <c:pt idx="346">
                  <c:v>1.0424728487886383E-3</c:v>
                </c:pt>
                <c:pt idx="347">
                  <c:v>1.0424728487886383E-3</c:v>
                </c:pt>
                <c:pt idx="348">
                  <c:v>1.0424728487886383E-3</c:v>
                </c:pt>
                <c:pt idx="349">
                  <c:v>1.0424728487886383E-3</c:v>
                </c:pt>
                <c:pt idx="350">
                  <c:v>1.0424728487886383E-3</c:v>
                </c:pt>
                <c:pt idx="351">
                  <c:v>1.0424728487886383E-3</c:v>
                </c:pt>
                <c:pt idx="352">
                  <c:v>1.0424728487886383E-3</c:v>
                </c:pt>
                <c:pt idx="353">
                  <c:v>1.0424728487886383E-3</c:v>
                </c:pt>
                <c:pt idx="354">
                  <c:v>1.0424728487886383E-3</c:v>
                </c:pt>
                <c:pt idx="355">
                  <c:v>1.0424728487886383E-3</c:v>
                </c:pt>
                <c:pt idx="356">
                  <c:v>1.0424728487886383E-3</c:v>
                </c:pt>
                <c:pt idx="357">
                  <c:v>1.0424728487886383E-3</c:v>
                </c:pt>
                <c:pt idx="358">
                  <c:v>1.0424728487886383E-3</c:v>
                </c:pt>
                <c:pt idx="359">
                  <c:v>1.0424728487886383E-3</c:v>
                </c:pt>
                <c:pt idx="360">
                  <c:v>1.0424728487886383E-3</c:v>
                </c:pt>
                <c:pt idx="361">
                  <c:v>1.0424728487886383E-3</c:v>
                </c:pt>
                <c:pt idx="362">
                  <c:v>1.0424728487886383E-3</c:v>
                </c:pt>
                <c:pt idx="363">
                  <c:v>1.0424728487886383E-3</c:v>
                </c:pt>
                <c:pt idx="364">
                  <c:v>1.0424728487886383E-3</c:v>
                </c:pt>
                <c:pt idx="365">
                  <c:v>1.0424728487886383E-3</c:v>
                </c:pt>
                <c:pt idx="366">
                  <c:v>1.0424728487886383E-3</c:v>
                </c:pt>
                <c:pt idx="367">
                  <c:v>1.0424728487886383E-3</c:v>
                </c:pt>
                <c:pt idx="368">
                  <c:v>1.0424728487886383E-3</c:v>
                </c:pt>
                <c:pt idx="369">
                  <c:v>1.0424728487886383E-3</c:v>
                </c:pt>
                <c:pt idx="370">
                  <c:v>1.0424728487886383E-3</c:v>
                </c:pt>
                <c:pt idx="371">
                  <c:v>1.0424728487886383E-3</c:v>
                </c:pt>
                <c:pt idx="372">
                  <c:v>1.0424728487886383E-3</c:v>
                </c:pt>
                <c:pt idx="373">
                  <c:v>1.0424728487886383E-3</c:v>
                </c:pt>
                <c:pt idx="374">
                  <c:v>1.0424728487886383E-3</c:v>
                </c:pt>
                <c:pt idx="375">
                  <c:v>1.0424728487886383E-3</c:v>
                </c:pt>
                <c:pt idx="376">
                  <c:v>1.0424728487886383E-3</c:v>
                </c:pt>
                <c:pt idx="377">
                  <c:v>1.0424728487886383E-3</c:v>
                </c:pt>
                <c:pt idx="378">
                  <c:v>1.0424728487886383E-3</c:v>
                </c:pt>
                <c:pt idx="379">
                  <c:v>1.0424728487886383E-3</c:v>
                </c:pt>
                <c:pt idx="380">
                  <c:v>1.0424728487886383E-3</c:v>
                </c:pt>
                <c:pt idx="381">
                  <c:v>1.0424728487886383E-3</c:v>
                </c:pt>
                <c:pt idx="382">
                  <c:v>1.0424728487886383E-3</c:v>
                </c:pt>
                <c:pt idx="383">
                  <c:v>1.0424728487886383E-3</c:v>
                </c:pt>
                <c:pt idx="384">
                  <c:v>1.0424728487886383E-3</c:v>
                </c:pt>
                <c:pt idx="385">
                  <c:v>1.0424728487886383E-3</c:v>
                </c:pt>
                <c:pt idx="386">
                  <c:v>1.0424728487886383E-3</c:v>
                </c:pt>
                <c:pt idx="387">
                  <c:v>1.0424728487886383E-3</c:v>
                </c:pt>
                <c:pt idx="388">
                  <c:v>1.0424728487886383E-3</c:v>
                </c:pt>
                <c:pt idx="389">
                  <c:v>1.0424728487886383E-3</c:v>
                </c:pt>
                <c:pt idx="390">
                  <c:v>1.0424728487886383E-3</c:v>
                </c:pt>
                <c:pt idx="391">
                  <c:v>1.0424728487886383E-3</c:v>
                </c:pt>
                <c:pt idx="392">
                  <c:v>1.0424728487886383E-3</c:v>
                </c:pt>
                <c:pt idx="393">
                  <c:v>1.0424728487886383E-3</c:v>
                </c:pt>
                <c:pt idx="394">
                  <c:v>1.0424728487886383E-3</c:v>
                </c:pt>
                <c:pt idx="395">
                  <c:v>1.0424728487886383E-3</c:v>
                </c:pt>
                <c:pt idx="396">
                  <c:v>1.0424728487886383E-3</c:v>
                </c:pt>
                <c:pt idx="397">
                  <c:v>1.0424728487886383E-3</c:v>
                </c:pt>
                <c:pt idx="398">
                  <c:v>1.0424728487886383E-3</c:v>
                </c:pt>
                <c:pt idx="399">
                  <c:v>1.0424728487886383E-3</c:v>
                </c:pt>
                <c:pt idx="400">
                  <c:v>1.0424728487886383E-3</c:v>
                </c:pt>
                <c:pt idx="401">
                  <c:v>1.0424728487886383E-3</c:v>
                </c:pt>
                <c:pt idx="402">
                  <c:v>1.0424728487886383E-3</c:v>
                </c:pt>
                <c:pt idx="403">
                  <c:v>1.0424728487886383E-3</c:v>
                </c:pt>
                <c:pt idx="404">
                  <c:v>1.0424728487886383E-3</c:v>
                </c:pt>
                <c:pt idx="405">
                  <c:v>1.0424728487886383E-3</c:v>
                </c:pt>
                <c:pt idx="406">
                  <c:v>1.0424728487886383E-3</c:v>
                </c:pt>
                <c:pt idx="407">
                  <c:v>1.0424728487886383E-3</c:v>
                </c:pt>
                <c:pt idx="408">
                  <c:v>1.0424728487886383E-3</c:v>
                </c:pt>
                <c:pt idx="409">
                  <c:v>1.0424728487886383E-3</c:v>
                </c:pt>
                <c:pt idx="410">
                  <c:v>1.0424728487886383E-3</c:v>
                </c:pt>
                <c:pt idx="411">
                  <c:v>1.0424728487886383E-3</c:v>
                </c:pt>
                <c:pt idx="412">
                  <c:v>1.0424728487886383E-3</c:v>
                </c:pt>
                <c:pt idx="413">
                  <c:v>1.0424728487886383E-3</c:v>
                </c:pt>
                <c:pt idx="414">
                  <c:v>1.0424728487886383E-3</c:v>
                </c:pt>
                <c:pt idx="415">
                  <c:v>1.0424728487886383E-3</c:v>
                </c:pt>
                <c:pt idx="416">
                  <c:v>1.0424728487886383E-3</c:v>
                </c:pt>
                <c:pt idx="417">
                  <c:v>1.0424728487886383E-3</c:v>
                </c:pt>
                <c:pt idx="418">
                  <c:v>1.0424728487886383E-3</c:v>
                </c:pt>
                <c:pt idx="419">
                  <c:v>1.0424728487886383E-3</c:v>
                </c:pt>
                <c:pt idx="420">
                  <c:v>1.0424728487886383E-3</c:v>
                </c:pt>
                <c:pt idx="421">
                  <c:v>1.0424728487886383E-3</c:v>
                </c:pt>
                <c:pt idx="422">
                  <c:v>1.0424728487886383E-3</c:v>
                </c:pt>
                <c:pt idx="423">
                  <c:v>1.0424728487886383E-3</c:v>
                </c:pt>
                <c:pt idx="424">
                  <c:v>1.0424728487886383E-3</c:v>
                </c:pt>
                <c:pt idx="425">
                  <c:v>1.0424728487886383E-3</c:v>
                </c:pt>
                <c:pt idx="426">
                  <c:v>1.0424728487886383E-3</c:v>
                </c:pt>
                <c:pt idx="427">
                  <c:v>1.0424728487886383E-3</c:v>
                </c:pt>
                <c:pt idx="428">
                  <c:v>1.0424728487886383E-3</c:v>
                </c:pt>
                <c:pt idx="429">
                  <c:v>1.0424728487886383E-3</c:v>
                </c:pt>
                <c:pt idx="430">
                  <c:v>1.0424728487886383E-3</c:v>
                </c:pt>
                <c:pt idx="431">
                  <c:v>1.0424728487886383E-3</c:v>
                </c:pt>
                <c:pt idx="432">
                  <c:v>1.0424728487886383E-3</c:v>
                </c:pt>
                <c:pt idx="433">
                  <c:v>1.0424728487886383E-3</c:v>
                </c:pt>
                <c:pt idx="434">
                  <c:v>1.0424728487886383E-3</c:v>
                </c:pt>
                <c:pt idx="435">
                  <c:v>1.0424728487886383E-3</c:v>
                </c:pt>
                <c:pt idx="436">
                  <c:v>1.0424728487886383E-3</c:v>
                </c:pt>
                <c:pt idx="437">
                  <c:v>1.0424728487886383E-3</c:v>
                </c:pt>
                <c:pt idx="438">
                  <c:v>1.0424728487886383E-3</c:v>
                </c:pt>
                <c:pt idx="439">
                  <c:v>1.0424728487886383E-3</c:v>
                </c:pt>
                <c:pt idx="440">
                  <c:v>1.0424728487886383E-3</c:v>
                </c:pt>
                <c:pt idx="441">
                  <c:v>1.0424728487886383E-3</c:v>
                </c:pt>
                <c:pt idx="442">
                  <c:v>1.0424728487886383E-3</c:v>
                </c:pt>
                <c:pt idx="443">
                  <c:v>1.0424728487886383E-3</c:v>
                </c:pt>
                <c:pt idx="444">
                  <c:v>1.0424728487886383E-3</c:v>
                </c:pt>
                <c:pt idx="445">
                  <c:v>1.0424728487886383E-3</c:v>
                </c:pt>
                <c:pt idx="446">
                  <c:v>1.0424728487886383E-3</c:v>
                </c:pt>
                <c:pt idx="447">
                  <c:v>1.0424728487886383E-3</c:v>
                </c:pt>
                <c:pt idx="448">
                  <c:v>1.0424728487886383E-3</c:v>
                </c:pt>
                <c:pt idx="449">
                  <c:v>1.0424728487886383E-3</c:v>
                </c:pt>
                <c:pt idx="450">
                  <c:v>1.0424728487886383E-3</c:v>
                </c:pt>
                <c:pt idx="451">
                  <c:v>1.0424728487886383E-3</c:v>
                </c:pt>
                <c:pt idx="452">
                  <c:v>1.0424728487886383E-3</c:v>
                </c:pt>
                <c:pt idx="453">
                  <c:v>1.0424728487886383E-3</c:v>
                </c:pt>
                <c:pt idx="454">
                  <c:v>1.0424728487886383E-3</c:v>
                </c:pt>
                <c:pt idx="455">
                  <c:v>1.0424728487886383E-3</c:v>
                </c:pt>
                <c:pt idx="456">
                  <c:v>1.0424728487886383E-3</c:v>
                </c:pt>
                <c:pt idx="457">
                  <c:v>1.0424728487886383E-3</c:v>
                </c:pt>
                <c:pt idx="458">
                  <c:v>1.0424728487886383E-3</c:v>
                </c:pt>
                <c:pt idx="459">
                  <c:v>0.47753447284878864</c:v>
                </c:pt>
              </c:numCache>
            </c:numRef>
          </c:xVal>
          <c:yVal>
            <c:numRef>
              <c:f>Messdaten!$O$15:$O$474</c:f>
              <c:numCache>
                <c:formatCode>0.000</c:formatCode>
                <c:ptCount val="460"/>
                <c:pt idx="0">
                  <c:v>97.679298245614021</c:v>
                </c:pt>
                <c:pt idx="1">
                  <c:v>97.679298245614021</c:v>
                </c:pt>
                <c:pt idx="2">
                  <c:v>97.679298245614021</c:v>
                </c:pt>
                <c:pt idx="3">
                  <c:v>97.679298245614021</c:v>
                </c:pt>
                <c:pt idx="4">
                  <c:v>97.679298245614021</c:v>
                </c:pt>
                <c:pt idx="5">
                  <c:v>97.679298245614021</c:v>
                </c:pt>
                <c:pt idx="6">
                  <c:v>97.679298245614021</c:v>
                </c:pt>
                <c:pt idx="7">
                  <c:v>97.679298245614021</c:v>
                </c:pt>
                <c:pt idx="8">
                  <c:v>97.679298245614021</c:v>
                </c:pt>
                <c:pt idx="9">
                  <c:v>97.679298245614021</c:v>
                </c:pt>
                <c:pt idx="10">
                  <c:v>97.679298245614021</c:v>
                </c:pt>
                <c:pt idx="11">
                  <c:v>97.679298245614021</c:v>
                </c:pt>
                <c:pt idx="12">
                  <c:v>97.679298245614021</c:v>
                </c:pt>
                <c:pt idx="13">
                  <c:v>97.679298245614021</c:v>
                </c:pt>
                <c:pt idx="14">
                  <c:v>97.679298245614021</c:v>
                </c:pt>
                <c:pt idx="15">
                  <c:v>97.679298245614021</c:v>
                </c:pt>
                <c:pt idx="16">
                  <c:v>97.679298245614021</c:v>
                </c:pt>
                <c:pt idx="17">
                  <c:v>97.679298245614021</c:v>
                </c:pt>
                <c:pt idx="18">
                  <c:v>97.679298245614021</c:v>
                </c:pt>
                <c:pt idx="19">
                  <c:v>97.679298245614021</c:v>
                </c:pt>
                <c:pt idx="20">
                  <c:v>97.679298245614021</c:v>
                </c:pt>
                <c:pt idx="21">
                  <c:v>97.679298245614021</c:v>
                </c:pt>
                <c:pt idx="22">
                  <c:v>97.679298245614021</c:v>
                </c:pt>
                <c:pt idx="23">
                  <c:v>97.679298245614021</c:v>
                </c:pt>
                <c:pt idx="24">
                  <c:v>97.679298245614021</c:v>
                </c:pt>
                <c:pt idx="25">
                  <c:v>97.679298245614021</c:v>
                </c:pt>
                <c:pt idx="26">
                  <c:v>97.679298245614021</c:v>
                </c:pt>
                <c:pt idx="27">
                  <c:v>97.679298245614021</c:v>
                </c:pt>
                <c:pt idx="28">
                  <c:v>97.679298245614021</c:v>
                </c:pt>
                <c:pt idx="29">
                  <c:v>97.679298245614021</c:v>
                </c:pt>
                <c:pt idx="30">
                  <c:v>97.679298245614021</c:v>
                </c:pt>
                <c:pt idx="31">
                  <c:v>97.679298245614021</c:v>
                </c:pt>
                <c:pt idx="32">
                  <c:v>97.679298245614021</c:v>
                </c:pt>
                <c:pt idx="33">
                  <c:v>97.679298245614021</c:v>
                </c:pt>
                <c:pt idx="34">
                  <c:v>97.679298245614021</c:v>
                </c:pt>
                <c:pt idx="35">
                  <c:v>97.679298245614021</c:v>
                </c:pt>
                <c:pt idx="36">
                  <c:v>97.679298245614021</c:v>
                </c:pt>
                <c:pt idx="37">
                  <c:v>97.679298245614021</c:v>
                </c:pt>
                <c:pt idx="38">
                  <c:v>97.679298245614021</c:v>
                </c:pt>
                <c:pt idx="39">
                  <c:v>97.679298245614021</c:v>
                </c:pt>
                <c:pt idx="40">
                  <c:v>97.679298245614021</c:v>
                </c:pt>
                <c:pt idx="41">
                  <c:v>97.679298245614021</c:v>
                </c:pt>
                <c:pt idx="42">
                  <c:v>97.679298245614021</c:v>
                </c:pt>
                <c:pt idx="43">
                  <c:v>97.679298245614021</c:v>
                </c:pt>
                <c:pt idx="44">
                  <c:v>97.679298245614021</c:v>
                </c:pt>
                <c:pt idx="45">
                  <c:v>97.679298245614021</c:v>
                </c:pt>
                <c:pt idx="46">
                  <c:v>97.679298245614021</c:v>
                </c:pt>
                <c:pt idx="47">
                  <c:v>97.679298245614021</c:v>
                </c:pt>
                <c:pt idx="48">
                  <c:v>97.679298245614021</c:v>
                </c:pt>
                <c:pt idx="49">
                  <c:v>97.679298245614021</c:v>
                </c:pt>
                <c:pt idx="50">
                  <c:v>97.679298245614021</c:v>
                </c:pt>
                <c:pt idx="51">
                  <c:v>97.679298245614021</c:v>
                </c:pt>
                <c:pt idx="52">
                  <c:v>97.679298245614021</c:v>
                </c:pt>
                <c:pt idx="53">
                  <c:v>97.679298245614021</c:v>
                </c:pt>
                <c:pt idx="54">
                  <c:v>97.679298245614021</c:v>
                </c:pt>
                <c:pt idx="55">
                  <c:v>97.679298245614021</c:v>
                </c:pt>
                <c:pt idx="56">
                  <c:v>97.679298245614021</c:v>
                </c:pt>
                <c:pt idx="57">
                  <c:v>97.679298245614021</c:v>
                </c:pt>
                <c:pt idx="58">
                  <c:v>97.679298245614021</c:v>
                </c:pt>
                <c:pt idx="59">
                  <c:v>97.679298245614021</c:v>
                </c:pt>
                <c:pt idx="60">
                  <c:v>97.679298245614021</c:v>
                </c:pt>
                <c:pt idx="61">
                  <c:v>97.679298245614021</c:v>
                </c:pt>
                <c:pt idx="62">
                  <c:v>97.679298245614021</c:v>
                </c:pt>
                <c:pt idx="63">
                  <c:v>97.679298245614021</c:v>
                </c:pt>
                <c:pt idx="64">
                  <c:v>97.679298245614021</c:v>
                </c:pt>
                <c:pt idx="65">
                  <c:v>97.679298245614021</c:v>
                </c:pt>
                <c:pt idx="66">
                  <c:v>97.679298245614021</c:v>
                </c:pt>
                <c:pt idx="67">
                  <c:v>97.679298245614021</c:v>
                </c:pt>
                <c:pt idx="68">
                  <c:v>97.679298245614021</c:v>
                </c:pt>
                <c:pt idx="69">
                  <c:v>97.679298245614021</c:v>
                </c:pt>
                <c:pt idx="70">
                  <c:v>97.679298245614021</c:v>
                </c:pt>
                <c:pt idx="71">
                  <c:v>97.679298245614021</c:v>
                </c:pt>
                <c:pt idx="72">
                  <c:v>97.679298245614021</c:v>
                </c:pt>
                <c:pt idx="73">
                  <c:v>97.679298245614021</c:v>
                </c:pt>
                <c:pt idx="74">
                  <c:v>97.679298245614021</c:v>
                </c:pt>
                <c:pt idx="75">
                  <c:v>97.679298245614021</c:v>
                </c:pt>
                <c:pt idx="76">
                  <c:v>97.679298245614021</c:v>
                </c:pt>
                <c:pt idx="77">
                  <c:v>97.679298245614021</c:v>
                </c:pt>
                <c:pt idx="78">
                  <c:v>97.679298245614021</c:v>
                </c:pt>
                <c:pt idx="79">
                  <c:v>97.679298245614021</c:v>
                </c:pt>
                <c:pt idx="80">
                  <c:v>97.679298245614021</c:v>
                </c:pt>
                <c:pt idx="81">
                  <c:v>97.679298245614021</c:v>
                </c:pt>
                <c:pt idx="82">
                  <c:v>97.679298245614021</c:v>
                </c:pt>
                <c:pt idx="83">
                  <c:v>97.679298245614021</c:v>
                </c:pt>
                <c:pt idx="84">
                  <c:v>97.679298245614021</c:v>
                </c:pt>
                <c:pt idx="85">
                  <c:v>97.679298245614021</c:v>
                </c:pt>
                <c:pt idx="86">
                  <c:v>97.679298245614021</c:v>
                </c:pt>
                <c:pt idx="87">
                  <c:v>97.679298245614021</c:v>
                </c:pt>
                <c:pt idx="88">
                  <c:v>97.679298245614021</c:v>
                </c:pt>
                <c:pt idx="89">
                  <c:v>97.679298245614021</c:v>
                </c:pt>
                <c:pt idx="90">
                  <c:v>97.679298245614021</c:v>
                </c:pt>
                <c:pt idx="91">
                  <c:v>97.679298245614021</c:v>
                </c:pt>
                <c:pt idx="92">
                  <c:v>97.679298245614021</c:v>
                </c:pt>
                <c:pt idx="93">
                  <c:v>97.679298245614021</c:v>
                </c:pt>
                <c:pt idx="94">
                  <c:v>97.679298245614021</c:v>
                </c:pt>
                <c:pt idx="95">
                  <c:v>97.679298245614021</c:v>
                </c:pt>
                <c:pt idx="96">
                  <c:v>97.679298245614021</c:v>
                </c:pt>
                <c:pt idx="97">
                  <c:v>97.679298245614021</c:v>
                </c:pt>
                <c:pt idx="98">
                  <c:v>97.679298245614021</c:v>
                </c:pt>
                <c:pt idx="99">
                  <c:v>97.679298245614021</c:v>
                </c:pt>
                <c:pt idx="100">
                  <c:v>97.679298245614021</c:v>
                </c:pt>
                <c:pt idx="101">
                  <c:v>97.679298245614021</c:v>
                </c:pt>
                <c:pt idx="102">
                  <c:v>97.679298245614021</c:v>
                </c:pt>
                <c:pt idx="103">
                  <c:v>97.679298245614021</c:v>
                </c:pt>
                <c:pt idx="104">
                  <c:v>97.679298245614021</c:v>
                </c:pt>
                <c:pt idx="105">
                  <c:v>97.679298245614021</c:v>
                </c:pt>
                <c:pt idx="106">
                  <c:v>97.679298245614021</c:v>
                </c:pt>
                <c:pt idx="107">
                  <c:v>97.679298245614021</c:v>
                </c:pt>
                <c:pt idx="108">
                  <c:v>97.679298245614021</c:v>
                </c:pt>
                <c:pt idx="109">
                  <c:v>97.679298245614021</c:v>
                </c:pt>
                <c:pt idx="110">
                  <c:v>97.679298245614021</c:v>
                </c:pt>
                <c:pt idx="111">
                  <c:v>97.679298245614021</c:v>
                </c:pt>
                <c:pt idx="112">
                  <c:v>97.679298245614021</c:v>
                </c:pt>
                <c:pt idx="113">
                  <c:v>97.679298245614021</c:v>
                </c:pt>
                <c:pt idx="114">
                  <c:v>97.679298245614021</c:v>
                </c:pt>
                <c:pt idx="115">
                  <c:v>97.679298245614021</c:v>
                </c:pt>
                <c:pt idx="116">
                  <c:v>97.679298245614021</c:v>
                </c:pt>
                <c:pt idx="117">
                  <c:v>97.679298245614021</c:v>
                </c:pt>
                <c:pt idx="118">
                  <c:v>97.679298245614021</c:v>
                </c:pt>
                <c:pt idx="119">
                  <c:v>97.679298245614021</c:v>
                </c:pt>
                <c:pt idx="120">
                  <c:v>97.679298245614021</c:v>
                </c:pt>
                <c:pt idx="121">
                  <c:v>97.679298245614021</c:v>
                </c:pt>
                <c:pt idx="122">
                  <c:v>97.679298245614021</c:v>
                </c:pt>
                <c:pt idx="123">
                  <c:v>97.679298245614021</c:v>
                </c:pt>
                <c:pt idx="124">
                  <c:v>97.679298245614021</c:v>
                </c:pt>
                <c:pt idx="125">
                  <c:v>97.679298245614021</c:v>
                </c:pt>
                <c:pt idx="126">
                  <c:v>97.679298245614021</c:v>
                </c:pt>
                <c:pt idx="127">
                  <c:v>97.679298245614021</c:v>
                </c:pt>
                <c:pt idx="128">
                  <c:v>97.679298245614021</c:v>
                </c:pt>
                <c:pt idx="129">
                  <c:v>97.679298245614021</c:v>
                </c:pt>
                <c:pt idx="130">
                  <c:v>97.679298245614021</c:v>
                </c:pt>
                <c:pt idx="131">
                  <c:v>97.679298245614021</c:v>
                </c:pt>
                <c:pt idx="132">
                  <c:v>97.679298245614021</c:v>
                </c:pt>
                <c:pt idx="133">
                  <c:v>97.679298245614021</c:v>
                </c:pt>
                <c:pt idx="134">
                  <c:v>97.679298245614021</c:v>
                </c:pt>
                <c:pt idx="135">
                  <c:v>97.679298245614021</c:v>
                </c:pt>
                <c:pt idx="136">
                  <c:v>97.679298245614021</c:v>
                </c:pt>
                <c:pt idx="137">
                  <c:v>97.679298245614021</c:v>
                </c:pt>
                <c:pt idx="138">
                  <c:v>97.679298245614021</c:v>
                </c:pt>
                <c:pt idx="139">
                  <c:v>97.679298245614021</c:v>
                </c:pt>
                <c:pt idx="140">
                  <c:v>97.679298245614021</c:v>
                </c:pt>
                <c:pt idx="141">
                  <c:v>97.679298245614021</c:v>
                </c:pt>
                <c:pt idx="142">
                  <c:v>97.679298245614021</c:v>
                </c:pt>
                <c:pt idx="143">
                  <c:v>97.679298245614021</c:v>
                </c:pt>
                <c:pt idx="144">
                  <c:v>97.679298245614021</c:v>
                </c:pt>
                <c:pt idx="145">
                  <c:v>97.679298245614021</c:v>
                </c:pt>
                <c:pt idx="146">
                  <c:v>97.679298245614021</c:v>
                </c:pt>
                <c:pt idx="147">
                  <c:v>97.679298245614021</c:v>
                </c:pt>
                <c:pt idx="148">
                  <c:v>97.679298245614021</c:v>
                </c:pt>
                <c:pt idx="149">
                  <c:v>97.679298245614021</c:v>
                </c:pt>
                <c:pt idx="150">
                  <c:v>97.679298245614021</c:v>
                </c:pt>
                <c:pt idx="151">
                  <c:v>97.679298245614021</c:v>
                </c:pt>
                <c:pt idx="152">
                  <c:v>97.679298245614021</c:v>
                </c:pt>
                <c:pt idx="153">
                  <c:v>97.679298245614021</c:v>
                </c:pt>
                <c:pt idx="154">
                  <c:v>97.679298245614021</c:v>
                </c:pt>
                <c:pt idx="155">
                  <c:v>97.679298245614021</c:v>
                </c:pt>
                <c:pt idx="156">
                  <c:v>97.679298245614021</c:v>
                </c:pt>
                <c:pt idx="157">
                  <c:v>97.679298245614021</c:v>
                </c:pt>
                <c:pt idx="158">
                  <c:v>97.679298245614021</c:v>
                </c:pt>
                <c:pt idx="159">
                  <c:v>97.679298245614021</c:v>
                </c:pt>
                <c:pt idx="160">
                  <c:v>97.679298245614021</c:v>
                </c:pt>
                <c:pt idx="161">
                  <c:v>97.679298245614021</c:v>
                </c:pt>
                <c:pt idx="162">
                  <c:v>97.679298245614021</c:v>
                </c:pt>
                <c:pt idx="163">
                  <c:v>97.679298245614021</c:v>
                </c:pt>
                <c:pt idx="164">
                  <c:v>97.679298245614021</c:v>
                </c:pt>
                <c:pt idx="165">
                  <c:v>97.679298245614021</c:v>
                </c:pt>
                <c:pt idx="166">
                  <c:v>97.679298245614021</c:v>
                </c:pt>
                <c:pt idx="167">
                  <c:v>97.679298245614021</c:v>
                </c:pt>
                <c:pt idx="168">
                  <c:v>97.679298245614021</c:v>
                </c:pt>
                <c:pt idx="169">
                  <c:v>97.679298245614021</c:v>
                </c:pt>
                <c:pt idx="170">
                  <c:v>97.679298245614021</c:v>
                </c:pt>
                <c:pt idx="171">
                  <c:v>97.679298245614021</c:v>
                </c:pt>
                <c:pt idx="172">
                  <c:v>97.679298245614021</c:v>
                </c:pt>
                <c:pt idx="173">
                  <c:v>97.679298245614021</c:v>
                </c:pt>
                <c:pt idx="174">
                  <c:v>97.679298245614021</c:v>
                </c:pt>
                <c:pt idx="175">
                  <c:v>97.679298245614021</c:v>
                </c:pt>
                <c:pt idx="176">
                  <c:v>97.679298245614021</c:v>
                </c:pt>
                <c:pt idx="177">
                  <c:v>97.679298245614021</c:v>
                </c:pt>
                <c:pt idx="178">
                  <c:v>97.679298245614021</c:v>
                </c:pt>
                <c:pt idx="179">
                  <c:v>97.679298245614021</c:v>
                </c:pt>
                <c:pt idx="180">
                  <c:v>97.679298245614021</c:v>
                </c:pt>
                <c:pt idx="181">
                  <c:v>97.679298245614021</c:v>
                </c:pt>
                <c:pt idx="182">
                  <c:v>97.679298245614021</c:v>
                </c:pt>
                <c:pt idx="183">
                  <c:v>97.679298245614021</c:v>
                </c:pt>
                <c:pt idx="184">
                  <c:v>97.679298245614021</c:v>
                </c:pt>
                <c:pt idx="185">
                  <c:v>97.679298245614021</c:v>
                </c:pt>
                <c:pt idx="186">
                  <c:v>97.679298245614021</c:v>
                </c:pt>
                <c:pt idx="187">
                  <c:v>97.679298245614021</c:v>
                </c:pt>
                <c:pt idx="188">
                  <c:v>97.679298245614021</c:v>
                </c:pt>
                <c:pt idx="189">
                  <c:v>97.679298245614021</c:v>
                </c:pt>
                <c:pt idx="190">
                  <c:v>97.679298245614021</c:v>
                </c:pt>
                <c:pt idx="191">
                  <c:v>97.679298245614021</c:v>
                </c:pt>
                <c:pt idx="192">
                  <c:v>97.679298245614021</c:v>
                </c:pt>
                <c:pt idx="193">
                  <c:v>97.679298245614021</c:v>
                </c:pt>
                <c:pt idx="194">
                  <c:v>97.679298245614021</c:v>
                </c:pt>
                <c:pt idx="195">
                  <c:v>97.679298245614021</c:v>
                </c:pt>
                <c:pt idx="196">
                  <c:v>97.679298245614021</c:v>
                </c:pt>
                <c:pt idx="197">
                  <c:v>97.679298245614021</c:v>
                </c:pt>
                <c:pt idx="198">
                  <c:v>97.679298245614021</c:v>
                </c:pt>
                <c:pt idx="199">
                  <c:v>97.679298245614021</c:v>
                </c:pt>
                <c:pt idx="200">
                  <c:v>97.679298245614021</c:v>
                </c:pt>
                <c:pt idx="201">
                  <c:v>97.679298245614021</c:v>
                </c:pt>
                <c:pt idx="202">
                  <c:v>97.679298245614021</c:v>
                </c:pt>
                <c:pt idx="203">
                  <c:v>97.679298245614021</c:v>
                </c:pt>
                <c:pt idx="204">
                  <c:v>97.679298245614021</c:v>
                </c:pt>
                <c:pt idx="205">
                  <c:v>97.679298245614021</c:v>
                </c:pt>
                <c:pt idx="206">
                  <c:v>97.679298245614021</c:v>
                </c:pt>
                <c:pt idx="207">
                  <c:v>97.679298245614021</c:v>
                </c:pt>
                <c:pt idx="208">
                  <c:v>97.679298245614021</c:v>
                </c:pt>
                <c:pt idx="209">
                  <c:v>97.679298245614021</c:v>
                </c:pt>
                <c:pt idx="210">
                  <c:v>97.679298245614021</c:v>
                </c:pt>
                <c:pt idx="211">
                  <c:v>97.679298245614021</c:v>
                </c:pt>
                <c:pt idx="212">
                  <c:v>97.679298245614021</c:v>
                </c:pt>
                <c:pt idx="213">
                  <c:v>97.679298245614021</c:v>
                </c:pt>
                <c:pt idx="214">
                  <c:v>97.679298245614021</c:v>
                </c:pt>
                <c:pt idx="215">
                  <c:v>97.679298245614021</c:v>
                </c:pt>
                <c:pt idx="216">
                  <c:v>97.679298245614021</c:v>
                </c:pt>
                <c:pt idx="217">
                  <c:v>97.679298245614021</c:v>
                </c:pt>
                <c:pt idx="218">
                  <c:v>97.679298245614021</c:v>
                </c:pt>
                <c:pt idx="219">
                  <c:v>97.679298245614021</c:v>
                </c:pt>
                <c:pt idx="220">
                  <c:v>97.679298245614021</c:v>
                </c:pt>
                <c:pt idx="221">
                  <c:v>97.679298245614021</c:v>
                </c:pt>
                <c:pt idx="222">
                  <c:v>97.679298245614021</c:v>
                </c:pt>
                <c:pt idx="223">
                  <c:v>97.679298245614021</c:v>
                </c:pt>
                <c:pt idx="224">
                  <c:v>97.679298245614021</c:v>
                </c:pt>
                <c:pt idx="225">
                  <c:v>97.679298245614021</c:v>
                </c:pt>
                <c:pt idx="226">
                  <c:v>97.679298245614021</c:v>
                </c:pt>
                <c:pt idx="227">
                  <c:v>97.679298245614021</c:v>
                </c:pt>
                <c:pt idx="228">
                  <c:v>97.679298245614021</c:v>
                </c:pt>
                <c:pt idx="229">
                  <c:v>97.679298245614021</c:v>
                </c:pt>
                <c:pt idx="230">
                  <c:v>97.679298245614021</c:v>
                </c:pt>
                <c:pt idx="231">
                  <c:v>97.679298245614021</c:v>
                </c:pt>
                <c:pt idx="232">
                  <c:v>97.679298245614021</c:v>
                </c:pt>
                <c:pt idx="233">
                  <c:v>97.679298245614021</c:v>
                </c:pt>
                <c:pt idx="234">
                  <c:v>97.679298245614021</c:v>
                </c:pt>
                <c:pt idx="235">
                  <c:v>97.679298245614021</c:v>
                </c:pt>
                <c:pt idx="236">
                  <c:v>97.679298245614021</c:v>
                </c:pt>
                <c:pt idx="237">
                  <c:v>97.679298245614021</c:v>
                </c:pt>
                <c:pt idx="238">
                  <c:v>97.679298245614021</c:v>
                </c:pt>
                <c:pt idx="239">
                  <c:v>97.679298245614021</c:v>
                </c:pt>
                <c:pt idx="240">
                  <c:v>97.679298245614021</c:v>
                </c:pt>
                <c:pt idx="241">
                  <c:v>97.679298245614021</c:v>
                </c:pt>
                <c:pt idx="242">
                  <c:v>97.679298245614021</c:v>
                </c:pt>
                <c:pt idx="243">
                  <c:v>97.679298245614021</c:v>
                </c:pt>
                <c:pt idx="244">
                  <c:v>97.679298245614021</c:v>
                </c:pt>
                <c:pt idx="245">
                  <c:v>97.679298245614021</c:v>
                </c:pt>
                <c:pt idx="246">
                  <c:v>97.679298245614021</c:v>
                </c:pt>
                <c:pt idx="247">
                  <c:v>97.679298245614021</c:v>
                </c:pt>
                <c:pt idx="248">
                  <c:v>97.679298245614021</c:v>
                </c:pt>
                <c:pt idx="249">
                  <c:v>97.679298245614021</c:v>
                </c:pt>
                <c:pt idx="250">
                  <c:v>97.679298245614021</c:v>
                </c:pt>
                <c:pt idx="251">
                  <c:v>97.679298245614021</c:v>
                </c:pt>
                <c:pt idx="252">
                  <c:v>97.679298245614021</c:v>
                </c:pt>
                <c:pt idx="253">
                  <c:v>97.679298245614021</c:v>
                </c:pt>
                <c:pt idx="254">
                  <c:v>97.679298245614021</c:v>
                </c:pt>
                <c:pt idx="255">
                  <c:v>97.679298245614021</c:v>
                </c:pt>
                <c:pt idx="256">
                  <c:v>97.679298245614021</c:v>
                </c:pt>
                <c:pt idx="257">
                  <c:v>97.679298245614021</c:v>
                </c:pt>
                <c:pt idx="258">
                  <c:v>97.679298245614021</c:v>
                </c:pt>
                <c:pt idx="259">
                  <c:v>97.679298245614021</c:v>
                </c:pt>
                <c:pt idx="260">
                  <c:v>97.679298245614021</c:v>
                </c:pt>
                <c:pt idx="261">
                  <c:v>97.679298245614021</c:v>
                </c:pt>
                <c:pt idx="262">
                  <c:v>97.679298245614021</c:v>
                </c:pt>
                <c:pt idx="263">
                  <c:v>97.679298245614021</c:v>
                </c:pt>
                <c:pt idx="264">
                  <c:v>97.679298245614021</c:v>
                </c:pt>
                <c:pt idx="265">
                  <c:v>97.679298245614021</c:v>
                </c:pt>
                <c:pt idx="266">
                  <c:v>97.679298245614021</c:v>
                </c:pt>
                <c:pt idx="267">
                  <c:v>97.679298245614021</c:v>
                </c:pt>
                <c:pt idx="268">
                  <c:v>97.679298245614021</c:v>
                </c:pt>
                <c:pt idx="269">
                  <c:v>97.679298245614021</c:v>
                </c:pt>
                <c:pt idx="270">
                  <c:v>97.679298245614021</c:v>
                </c:pt>
                <c:pt idx="271">
                  <c:v>97.679298245614021</c:v>
                </c:pt>
                <c:pt idx="272">
                  <c:v>97.679298245614021</c:v>
                </c:pt>
                <c:pt idx="273">
                  <c:v>97.679298245614021</c:v>
                </c:pt>
                <c:pt idx="274">
                  <c:v>97.679298245614021</c:v>
                </c:pt>
                <c:pt idx="275">
                  <c:v>97.679298245614021</c:v>
                </c:pt>
                <c:pt idx="276">
                  <c:v>97.679298245614021</c:v>
                </c:pt>
                <c:pt idx="277">
                  <c:v>97.679298245614021</c:v>
                </c:pt>
                <c:pt idx="278">
                  <c:v>97.679298245614021</c:v>
                </c:pt>
                <c:pt idx="279">
                  <c:v>97.679298245614021</c:v>
                </c:pt>
                <c:pt idx="280">
                  <c:v>97.679298245614021</c:v>
                </c:pt>
                <c:pt idx="281">
                  <c:v>97.679298245614021</c:v>
                </c:pt>
                <c:pt idx="282">
                  <c:v>97.679298245614021</c:v>
                </c:pt>
                <c:pt idx="283">
                  <c:v>97.679298245614021</c:v>
                </c:pt>
                <c:pt idx="284">
                  <c:v>97.679298245614021</c:v>
                </c:pt>
                <c:pt idx="285">
                  <c:v>97.679298245614021</c:v>
                </c:pt>
                <c:pt idx="286">
                  <c:v>97.679298245614021</c:v>
                </c:pt>
                <c:pt idx="287">
                  <c:v>97.679298245614021</c:v>
                </c:pt>
                <c:pt idx="288">
                  <c:v>97.679298245614021</c:v>
                </c:pt>
                <c:pt idx="289">
                  <c:v>97.679298245614021</c:v>
                </c:pt>
                <c:pt idx="290">
                  <c:v>97.679298245614021</c:v>
                </c:pt>
                <c:pt idx="291">
                  <c:v>97.679298245614021</c:v>
                </c:pt>
                <c:pt idx="292">
                  <c:v>97.679298245614021</c:v>
                </c:pt>
                <c:pt idx="293">
                  <c:v>97.679298245614021</c:v>
                </c:pt>
                <c:pt idx="294">
                  <c:v>97.679298245614021</c:v>
                </c:pt>
                <c:pt idx="295">
                  <c:v>97.679298245614021</c:v>
                </c:pt>
                <c:pt idx="296">
                  <c:v>97.679298245614021</c:v>
                </c:pt>
                <c:pt idx="297">
                  <c:v>97.679298245614021</c:v>
                </c:pt>
                <c:pt idx="298">
                  <c:v>97.679298245614021</c:v>
                </c:pt>
                <c:pt idx="299">
                  <c:v>97.679298245614021</c:v>
                </c:pt>
                <c:pt idx="300">
                  <c:v>97.679298245614021</c:v>
                </c:pt>
                <c:pt idx="301">
                  <c:v>97.679298245614021</c:v>
                </c:pt>
                <c:pt idx="302">
                  <c:v>97.679298245614021</c:v>
                </c:pt>
                <c:pt idx="303">
                  <c:v>97.679298245614021</c:v>
                </c:pt>
                <c:pt idx="304">
                  <c:v>97.679298245614021</c:v>
                </c:pt>
                <c:pt idx="305">
                  <c:v>97.679298245614021</c:v>
                </c:pt>
                <c:pt idx="306">
                  <c:v>97.679298245614021</c:v>
                </c:pt>
                <c:pt idx="307">
                  <c:v>97.679298245614021</c:v>
                </c:pt>
                <c:pt idx="308">
                  <c:v>97.679298245614021</c:v>
                </c:pt>
                <c:pt idx="309">
                  <c:v>97.679298245614021</c:v>
                </c:pt>
                <c:pt idx="310">
                  <c:v>97.679298245614021</c:v>
                </c:pt>
                <c:pt idx="311">
                  <c:v>97.679298245614021</c:v>
                </c:pt>
                <c:pt idx="312">
                  <c:v>97.679298245614021</c:v>
                </c:pt>
                <c:pt idx="313">
                  <c:v>97.679298245614021</c:v>
                </c:pt>
                <c:pt idx="314">
                  <c:v>97.679298245614021</c:v>
                </c:pt>
                <c:pt idx="315">
                  <c:v>97.679298245614021</c:v>
                </c:pt>
                <c:pt idx="316">
                  <c:v>97.679298245614021</c:v>
                </c:pt>
                <c:pt idx="317">
                  <c:v>97.679298245614021</c:v>
                </c:pt>
                <c:pt idx="318">
                  <c:v>97.679298245614021</c:v>
                </c:pt>
                <c:pt idx="319">
                  <c:v>97.679298245614021</c:v>
                </c:pt>
                <c:pt idx="320">
                  <c:v>97.679298245614021</c:v>
                </c:pt>
                <c:pt idx="321">
                  <c:v>97.679298245614021</c:v>
                </c:pt>
                <c:pt idx="322">
                  <c:v>97.679298245614021</c:v>
                </c:pt>
                <c:pt idx="323">
                  <c:v>97.679298245614021</c:v>
                </c:pt>
                <c:pt idx="324">
                  <c:v>97.679298245614021</c:v>
                </c:pt>
                <c:pt idx="325">
                  <c:v>97.679298245614021</c:v>
                </c:pt>
                <c:pt idx="326">
                  <c:v>97.679298245614021</c:v>
                </c:pt>
                <c:pt idx="327">
                  <c:v>97.679298245614021</c:v>
                </c:pt>
                <c:pt idx="328">
                  <c:v>97.679298245614021</c:v>
                </c:pt>
                <c:pt idx="329">
                  <c:v>97.679298245614021</c:v>
                </c:pt>
                <c:pt idx="330">
                  <c:v>97.679298245614021</c:v>
                </c:pt>
                <c:pt idx="331">
                  <c:v>97.679298245614021</c:v>
                </c:pt>
                <c:pt idx="332">
                  <c:v>97.679298245614021</c:v>
                </c:pt>
                <c:pt idx="333">
                  <c:v>97.679298245614021</c:v>
                </c:pt>
                <c:pt idx="334">
                  <c:v>97.679298245614021</c:v>
                </c:pt>
                <c:pt idx="335">
                  <c:v>97.679298245614021</c:v>
                </c:pt>
                <c:pt idx="336">
                  <c:v>97.679298245614021</c:v>
                </c:pt>
                <c:pt idx="337">
                  <c:v>97.679298245614021</c:v>
                </c:pt>
                <c:pt idx="338">
                  <c:v>97.679298245614021</c:v>
                </c:pt>
                <c:pt idx="339">
                  <c:v>97.679298245614021</c:v>
                </c:pt>
                <c:pt idx="340">
                  <c:v>97.679298245614021</c:v>
                </c:pt>
                <c:pt idx="341">
                  <c:v>97.679298245614021</c:v>
                </c:pt>
                <c:pt idx="342">
                  <c:v>97.679298245614021</c:v>
                </c:pt>
                <c:pt idx="343">
                  <c:v>97.679298245614021</c:v>
                </c:pt>
                <c:pt idx="344">
                  <c:v>97.679298245614021</c:v>
                </c:pt>
                <c:pt idx="345">
                  <c:v>97.679298245614021</c:v>
                </c:pt>
                <c:pt idx="346">
                  <c:v>97.679298245614021</c:v>
                </c:pt>
                <c:pt idx="347">
                  <c:v>97.679298245614021</c:v>
                </c:pt>
                <c:pt idx="348">
                  <c:v>97.679298245614021</c:v>
                </c:pt>
                <c:pt idx="349">
                  <c:v>97.679298245614021</c:v>
                </c:pt>
                <c:pt idx="350">
                  <c:v>97.679298245614021</c:v>
                </c:pt>
                <c:pt idx="351">
                  <c:v>97.679298245614021</c:v>
                </c:pt>
                <c:pt idx="352">
                  <c:v>97.679298245614021</c:v>
                </c:pt>
                <c:pt idx="353">
                  <c:v>97.679298245614021</c:v>
                </c:pt>
                <c:pt idx="354">
                  <c:v>97.679298245614021</c:v>
                </c:pt>
                <c:pt idx="355">
                  <c:v>97.679298245614021</c:v>
                </c:pt>
                <c:pt idx="356">
                  <c:v>97.679298245614021</c:v>
                </c:pt>
                <c:pt idx="357">
                  <c:v>97.679298245614021</c:v>
                </c:pt>
                <c:pt idx="358">
                  <c:v>97.679298245614021</c:v>
                </c:pt>
                <c:pt idx="359">
                  <c:v>97.679298245614021</c:v>
                </c:pt>
                <c:pt idx="360">
                  <c:v>97.679298245614021</c:v>
                </c:pt>
                <c:pt idx="361">
                  <c:v>97.679298245614021</c:v>
                </c:pt>
                <c:pt idx="362">
                  <c:v>97.679298245614021</c:v>
                </c:pt>
                <c:pt idx="363">
                  <c:v>97.679298245614021</c:v>
                </c:pt>
                <c:pt idx="364">
                  <c:v>97.679298245614021</c:v>
                </c:pt>
                <c:pt idx="365">
                  <c:v>97.679298245614021</c:v>
                </c:pt>
                <c:pt idx="366">
                  <c:v>97.679298245614021</c:v>
                </c:pt>
                <c:pt idx="367">
                  <c:v>97.679298245614021</c:v>
                </c:pt>
                <c:pt idx="368">
                  <c:v>97.679298245614021</c:v>
                </c:pt>
                <c:pt idx="369">
                  <c:v>97.679298245614021</c:v>
                </c:pt>
                <c:pt idx="370">
                  <c:v>97.679298245614021</c:v>
                </c:pt>
                <c:pt idx="371">
                  <c:v>97.679298245614021</c:v>
                </c:pt>
                <c:pt idx="372">
                  <c:v>97.679298245614021</c:v>
                </c:pt>
                <c:pt idx="373">
                  <c:v>97.679298245614021</c:v>
                </c:pt>
                <c:pt idx="374">
                  <c:v>97.679298245614021</c:v>
                </c:pt>
                <c:pt idx="375">
                  <c:v>97.679298245614021</c:v>
                </c:pt>
                <c:pt idx="376">
                  <c:v>97.679298245614021</c:v>
                </c:pt>
                <c:pt idx="377">
                  <c:v>97.679298245614021</c:v>
                </c:pt>
                <c:pt idx="378">
                  <c:v>97.679298245614021</c:v>
                </c:pt>
                <c:pt idx="379">
                  <c:v>97.679298245614021</c:v>
                </c:pt>
                <c:pt idx="380">
                  <c:v>97.679298245614021</c:v>
                </c:pt>
                <c:pt idx="381">
                  <c:v>97.679298245614021</c:v>
                </c:pt>
                <c:pt idx="382">
                  <c:v>97.679298245614021</c:v>
                </c:pt>
                <c:pt idx="383">
                  <c:v>97.679298245614021</c:v>
                </c:pt>
                <c:pt idx="384">
                  <c:v>97.679298245614021</c:v>
                </c:pt>
                <c:pt idx="385">
                  <c:v>97.679298245614021</c:v>
                </c:pt>
                <c:pt idx="386">
                  <c:v>97.679298245614021</c:v>
                </c:pt>
                <c:pt idx="387">
                  <c:v>97.679298245614021</c:v>
                </c:pt>
                <c:pt idx="388">
                  <c:v>97.679298245614021</c:v>
                </c:pt>
                <c:pt idx="389">
                  <c:v>97.679298245614021</c:v>
                </c:pt>
                <c:pt idx="390">
                  <c:v>97.679298245614021</c:v>
                </c:pt>
                <c:pt idx="391">
                  <c:v>97.679298245614021</c:v>
                </c:pt>
                <c:pt idx="392">
                  <c:v>97.679298245614021</c:v>
                </c:pt>
                <c:pt idx="393">
                  <c:v>97.679298245614021</c:v>
                </c:pt>
                <c:pt idx="394">
                  <c:v>97.679298245614021</c:v>
                </c:pt>
                <c:pt idx="395">
                  <c:v>97.679298245614021</c:v>
                </c:pt>
                <c:pt idx="396">
                  <c:v>97.679298245614021</c:v>
                </c:pt>
                <c:pt idx="397">
                  <c:v>97.679298245614021</c:v>
                </c:pt>
                <c:pt idx="398">
                  <c:v>97.679298245614021</c:v>
                </c:pt>
                <c:pt idx="399">
                  <c:v>97.679298245614021</c:v>
                </c:pt>
                <c:pt idx="400">
                  <c:v>97.679298245614021</c:v>
                </c:pt>
                <c:pt idx="401">
                  <c:v>97.679298245614021</c:v>
                </c:pt>
                <c:pt idx="402">
                  <c:v>97.679298245614021</c:v>
                </c:pt>
                <c:pt idx="403">
                  <c:v>97.679298245614021</c:v>
                </c:pt>
                <c:pt idx="404">
                  <c:v>97.679298245614021</c:v>
                </c:pt>
                <c:pt idx="405">
                  <c:v>97.679298245614021</c:v>
                </c:pt>
                <c:pt idx="406">
                  <c:v>97.679298245614021</c:v>
                </c:pt>
                <c:pt idx="407">
                  <c:v>97.679298245614021</c:v>
                </c:pt>
                <c:pt idx="408">
                  <c:v>97.679298245614021</c:v>
                </c:pt>
                <c:pt idx="409">
                  <c:v>97.679298245614021</c:v>
                </c:pt>
                <c:pt idx="410">
                  <c:v>97.679298245614021</c:v>
                </c:pt>
                <c:pt idx="411">
                  <c:v>97.679298245614021</c:v>
                </c:pt>
                <c:pt idx="412">
                  <c:v>97.679298245614021</c:v>
                </c:pt>
                <c:pt idx="413">
                  <c:v>97.679298245614021</c:v>
                </c:pt>
                <c:pt idx="414">
                  <c:v>97.679298245614021</c:v>
                </c:pt>
                <c:pt idx="415">
                  <c:v>97.679298245614021</c:v>
                </c:pt>
                <c:pt idx="416">
                  <c:v>97.679298245614021</c:v>
                </c:pt>
                <c:pt idx="417">
                  <c:v>97.679298245614021</c:v>
                </c:pt>
                <c:pt idx="418">
                  <c:v>97.679298245614021</c:v>
                </c:pt>
                <c:pt idx="419">
                  <c:v>97.679298245614021</c:v>
                </c:pt>
                <c:pt idx="420">
                  <c:v>97.679298245614021</c:v>
                </c:pt>
                <c:pt idx="421">
                  <c:v>97.679298245614021</c:v>
                </c:pt>
                <c:pt idx="422">
                  <c:v>97.679298245614021</c:v>
                </c:pt>
                <c:pt idx="423">
                  <c:v>97.679298245614021</c:v>
                </c:pt>
                <c:pt idx="424">
                  <c:v>97.679298245614021</c:v>
                </c:pt>
                <c:pt idx="425">
                  <c:v>97.679298245614021</c:v>
                </c:pt>
                <c:pt idx="426">
                  <c:v>97.679298245614021</c:v>
                </c:pt>
                <c:pt idx="427">
                  <c:v>97.679298245614021</c:v>
                </c:pt>
                <c:pt idx="428">
                  <c:v>97.679298245614021</c:v>
                </c:pt>
                <c:pt idx="429">
                  <c:v>97.679298245614021</c:v>
                </c:pt>
                <c:pt idx="430">
                  <c:v>97.679298245614021</c:v>
                </c:pt>
                <c:pt idx="431">
                  <c:v>97.679298245614021</c:v>
                </c:pt>
                <c:pt idx="432">
                  <c:v>97.679298245614021</c:v>
                </c:pt>
                <c:pt idx="433">
                  <c:v>97.679298245614021</c:v>
                </c:pt>
                <c:pt idx="434">
                  <c:v>97.679298245614021</c:v>
                </c:pt>
                <c:pt idx="435">
                  <c:v>97.679298245614021</c:v>
                </c:pt>
                <c:pt idx="436">
                  <c:v>97.679298245614021</c:v>
                </c:pt>
                <c:pt idx="437">
                  <c:v>97.679298245614021</c:v>
                </c:pt>
                <c:pt idx="438">
                  <c:v>97.679298245614021</c:v>
                </c:pt>
                <c:pt idx="439">
                  <c:v>97.679298245614021</c:v>
                </c:pt>
                <c:pt idx="440">
                  <c:v>97.679298245614021</c:v>
                </c:pt>
                <c:pt idx="441">
                  <c:v>97.679298245614021</c:v>
                </c:pt>
                <c:pt idx="442">
                  <c:v>97.679298245614021</c:v>
                </c:pt>
                <c:pt idx="443">
                  <c:v>97.679298245614021</c:v>
                </c:pt>
                <c:pt idx="444">
                  <c:v>97.679298245614021</c:v>
                </c:pt>
                <c:pt idx="445">
                  <c:v>97.679298245614021</c:v>
                </c:pt>
                <c:pt idx="446">
                  <c:v>97.679298245614021</c:v>
                </c:pt>
                <c:pt idx="447">
                  <c:v>97.679298245614021</c:v>
                </c:pt>
                <c:pt idx="448">
                  <c:v>97.679298245614021</c:v>
                </c:pt>
                <c:pt idx="449">
                  <c:v>97.679298245614021</c:v>
                </c:pt>
                <c:pt idx="450">
                  <c:v>97.679298245614021</c:v>
                </c:pt>
                <c:pt idx="451">
                  <c:v>97.679298245614021</c:v>
                </c:pt>
                <c:pt idx="452">
                  <c:v>97.679298245614021</c:v>
                </c:pt>
                <c:pt idx="453">
                  <c:v>97.679298245614021</c:v>
                </c:pt>
                <c:pt idx="454">
                  <c:v>97.679298245614021</c:v>
                </c:pt>
                <c:pt idx="455">
                  <c:v>97.679298245614021</c:v>
                </c:pt>
                <c:pt idx="456">
                  <c:v>97.679298245614021</c:v>
                </c:pt>
                <c:pt idx="457">
                  <c:v>97.679298245614021</c:v>
                </c:pt>
                <c:pt idx="458">
                  <c:v>97.679298245614021</c:v>
                </c:pt>
                <c:pt idx="459">
                  <c:v>369.1894736842105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A4-481D-8E6D-116B5BD7920A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Auswertung!$A$8:$A$9</c:f>
              <c:numCache>
                <c:formatCode>0.000</c:formatCode>
                <c:ptCount val="2"/>
                <c:pt idx="0">
                  <c:v>-6.9876018728959398E-7</c:v>
                </c:pt>
                <c:pt idx="1">
                  <c:v>2.4985108534616302E-3</c:v>
                </c:pt>
              </c:numCache>
            </c:numRef>
          </c:xVal>
          <c:yVal>
            <c:numRef>
              <c:f>Auswertung!$B$8:$B$9</c:f>
              <c:numCache>
                <c:formatCode>0.000</c:formatCode>
                <c:ptCount val="2"/>
                <c:pt idx="0">
                  <c:v>0</c:v>
                </c:pt>
                <c:pt idx="1">
                  <c:v>369.1894736842105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A4-481D-8E6D-116B5BD7920A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Auswertung!$C$8:$C$9</c:f>
              <c:numCache>
                <c:formatCode>0.000</c:formatCode>
                <c:ptCount val="2"/>
                <c:pt idx="0">
                  <c:v>1.9993012398127103E-3</c:v>
                </c:pt>
                <c:pt idx="1">
                  <c:v>4.4985108534616302E-3</c:v>
                </c:pt>
              </c:numCache>
            </c:numRef>
          </c:xVal>
          <c:yVal>
            <c:numRef>
              <c:f>Auswertung!$D$8:$D$9</c:f>
              <c:numCache>
                <c:formatCode>0.000</c:formatCode>
                <c:ptCount val="2"/>
                <c:pt idx="0">
                  <c:v>0</c:v>
                </c:pt>
                <c:pt idx="1">
                  <c:v>369.1894736842105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A4-481D-8E6D-116B5BD7920A}"/>
            </c:ext>
          </c:extLst>
        </c:ser>
        <c:ser>
          <c:idx val="3"/>
          <c:order val="3"/>
          <c:spPr>
            <a:ln w="12700">
              <a:solidFill>
                <a:srgbClr val="993366"/>
              </a:solidFill>
              <a:prstDash val="sysDash"/>
            </a:ln>
          </c:spPr>
          <c:marker>
            <c:symbol val="none"/>
          </c:marker>
          <c:xVal>
            <c:numRef>
              <c:f>Auswertung!$E$8:$E$9</c:f>
              <c:numCache>
                <c:formatCode>0.000</c:formatCode>
                <c:ptCount val="2"/>
                <c:pt idx="0">
                  <c:v>0.47503526323513973</c:v>
                </c:pt>
                <c:pt idx="1">
                  <c:v>0.47753447284878864</c:v>
                </c:pt>
              </c:numCache>
            </c:numRef>
          </c:xVal>
          <c:yVal>
            <c:numRef>
              <c:f>Auswertung!$F$8:$F$9</c:f>
              <c:numCache>
                <c:formatCode>0.000</c:formatCode>
                <c:ptCount val="2"/>
                <c:pt idx="0">
                  <c:v>0</c:v>
                </c:pt>
                <c:pt idx="1">
                  <c:v>369.1894736842105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9A4-481D-8E6D-116B5BD7920A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dPt>
            <c:idx val="1"/>
            <c:marker>
              <c:symbol val="circle"/>
              <c:size val="4"/>
              <c:spPr>
                <a:solidFill>
                  <a:srgbClr val="0000FF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 w="28575">
                <a:noFill/>
              </a:ln>
            </c:spPr>
            <c:extLst>
              <c:ext xmlns:c16="http://schemas.microsoft.com/office/drawing/2014/chart" uri="{C3380CC4-5D6E-409C-BE32-E72D297353CC}">
                <c16:uniqueId val="{00000005-29A4-481D-8E6D-116B5BD7920A}"/>
              </c:ext>
            </c:extLst>
          </c:dPt>
          <c:xVal>
            <c:numRef>
              <c:f>Auswertung!$G$8:$G$9</c:f>
              <c:numCache>
                <c:formatCode>0.000</c:formatCode>
                <c:ptCount val="2"/>
                <c:pt idx="0">
                  <c:v>4.1719489307877151E-3</c:v>
                </c:pt>
                <c:pt idx="1">
                  <c:v>4.1719489307877151E-3</c:v>
                </c:pt>
              </c:numCache>
            </c:numRef>
          </c:xVal>
          <c:yVal>
            <c:numRef>
              <c:f>Auswertung!$H$8:$H$9</c:f>
              <c:numCache>
                <c:formatCode>0.000</c:formatCode>
                <c:ptCount val="2"/>
                <c:pt idx="0">
                  <c:v>397</c:v>
                </c:pt>
                <c:pt idx="1">
                  <c:v>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9A4-481D-8E6D-116B5BD7920A}"/>
            </c:ext>
          </c:extLst>
        </c:ser>
        <c:ser>
          <c:idx val="5"/>
          <c:order val="5"/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Auswertung!$I$8:$I$9</c:f>
              <c:numCache>
                <c:formatCode>0.000</c:formatCode>
                <c:ptCount val="2"/>
                <c:pt idx="0">
                  <c:v>0.47503526323513973</c:v>
                </c:pt>
                <c:pt idx="1">
                  <c:v>0.47753447284878864</c:v>
                </c:pt>
              </c:numCache>
            </c:numRef>
          </c:xVal>
          <c:yVal>
            <c:numRef>
              <c:f>Auswertung!$J$8:$J$9</c:f>
              <c:numCache>
                <c:formatCode>0.000</c:formatCode>
                <c:ptCount val="2"/>
                <c:pt idx="0">
                  <c:v>0</c:v>
                </c:pt>
                <c:pt idx="1">
                  <c:v>369.1894736842105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9A4-481D-8E6D-116B5BD7920A}"/>
            </c:ext>
          </c:extLst>
        </c:ser>
        <c:ser>
          <c:idx val="6"/>
          <c:order val="6"/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Auswertung!$I$9</c:f>
              <c:numCache>
                <c:formatCode>0.000</c:formatCode>
                <c:ptCount val="1"/>
                <c:pt idx="0">
                  <c:v>0.47753447284878864</c:v>
                </c:pt>
              </c:numCache>
            </c:numRef>
          </c:xVal>
          <c:yVal>
            <c:numRef>
              <c:f>Auswertung!$J$9</c:f>
              <c:numCache>
                <c:formatCode>0.000</c:formatCode>
                <c:ptCount val="1"/>
                <c:pt idx="0">
                  <c:v>369.1894736842105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9A4-481D-8E6D-116B5BD79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971328"/>
        <c:axId val="173975424"/>
      </c:scatterChart>
      <c:valAx>
        <c:axId val="17397132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25" b="1" i="0" u="none" strike="noStrike" baseline="0">
                    <a:solidFill>
                      <a:srgbClr val="000000"/>
                    </a:solidFill>
                    <a:latin typeface="Symbol"/>
                    <a:ea typeface="Symbol"/>
                    <a:cs typeface="Symbol"/>
                  </a:defRPr>
                </a:pPr>
                <a:r>
                  <a:rPr lang="de-DE"/>
                  <a:t>e</a:t>
                </a:r>
              </a:p>
            </c:rich>
          </c:tx>
          <c:layout>
            <c:manualLayout>
              <c:xMode val="edge"/>
              <c:yMode val="edge"/>
              <c:x val="0.51125435687098597"/>
              <c:y val="0.90615835777126097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975424"/>
        <c:crosses val="autoZero"/>
        <c:crossBetween val="midCat"/>
      </c:valAx>
      <c:valAx>
        <c:axId val="1739754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 sz="850" b="1" i="0" u="none" strike="noStrike" baseline="0">
                    <a:solidFill>
                      <a:srgbClr val="000000"/>
                    </a:solidFill>
                    <a:latin typeface="Symbol"/>
                  </a:rPr>
                  <a:t>s</a:t>
                </a:r>
                <a:r>
                  <a:rPr lang="de-DE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[MPa]</a:t>
                </a:r>
                <a:endParaRPr lang="de-DE"/>
              </a:p>
            </c:rich>
          </c:tx>
          <c:layout>
            <c:manualLayout>
              <c:xMode val="edge"/>
              <c:yMode val="edge"/>
              <c:x val="1.9292604501607719E-2"/>
              <c:y val="0.3870967741935483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97132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699589259697208E-2"/>
          <c:y val="4.398826979472141E-2"/>
          <c:w val="0.7851379375898766"/>
          <c:h val="0.8005865102639295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Messdaten!$N$15:$N$474</c:f>
              <c:numCache>
                <c:formatCode>0.000</c:formatCode>
                <c:ptCount val="460"/>
                <c:pt idx="0">
                  <c:v>1.0419298513089797E-3</c:v>
                </c:pt>
                <c:pt idx="1">
                  <c:v>1.0419298513089797E-3</c:v>
                </c:pt>
                <c:pt idx="2">
                  <c:v>1.0419298513089797E-3</c:v>
                </c:pt>
                <c:pt idx="3">
                  <c:v>1.0419298513089797E-3</c:v>
                </c:pt>
                <c:pt idx="4">
                  <c:v>1.0419298513089797E-3</c:v>
                </c:pt>
                <c:pt idx="5">
                  <c:v>1.0419298513089797E-3</c:v>
                </c:pt>
                <c:pt idx="6">
                  <c:v>1.0419298513089797E-3</c:v>
                </c:pt>
                <c:pt idx="7">
                  <c:v>1.0419298513089797E-3</c:v>
                </c:pt>
                <c:pt idx="8">
                  <c:v>1.0419298513089797E-3</c:v>
                </c:pt>
                <c:pt idx="9">
                  <c:v>1.0419298513089797E-3</c:v>
                </c:pt>
                <c:pt idx="10">
                  <c:v>1.0419298513089797E-3</c:v>
                </c:pt>
                <c:pt idx="11">
                  <c:v>1.0419298513089797E-3</c:v>
                </c:pt>
                <c:pt idx="12">
                  <c:v>1.0419298513089797E-3</c:v>
                </c:pt>
                <c:pt idx="13">
                  <c:v>1.0419298513089797E-3</c:v>
                </c:pt>
                <c:pt idx="14">
                  <c:v>1.0419298513089797E-3</c:v>
                </c:pt>
                <c:pt idx="15">
                  <c:v>1.0419298513089797E-3</c:v>
                </c:pt>
                <c:pt idx="16">
                  <c:v>1.0419298513089797E-3</c:v>
                </c:pt>
                <c:pt idx="17">
                  <c:v>1.0419298513089797E-3</c:v>
                </c:pt>
                <c:pt idx="18">
                  <c:v>1.0419298513089797E-3</c:v>
                </c:pt>
                <c:pt idx="19">
                  <c:v>1.0419298513089797E-3</c:v>
                </c:pt>
                <c:pt idx="20">
                  <c:v>1.0419298513089797E-3</c:v>
                </c:pt>
                <c:pt idx="21">
                  <c:v>1.0419298513089797E-3</c:v>
                </c:pt>
                <c:pt idx="22">
                  <c:v>1.0419298513089797E-3</c:v>
                </c:pt>
                <c:pt idx="23">
                  <c:v>1.0419298513089797E-3</c:v>
                </c:pt>
                <c:pt idx="24">
                  <c:v>1.0419298513089797E-3</c:v>
                </c:pt>
                <c:pt idx="25">
                  <c:v>1.0419298513089797E-3</c:v>
                </c:pt>
                <c:pt idx="26">
                  <c:v>1.0419298513089797E-3</c:v>
                </c:pt>
                <c:pt idx="27">
                  <c:v>1.0419298513089797E-3</c:v>
                </c:pt>
                <c:pt idx="28">
                  <c:v>1.0419298513089797E-3</c:v>
                </c:pt>
                <c:pt idx="29">
                  <c:v>1.0419298513089797E-3</c:v>
                </c:pt>
                <c:pt idx="30">
                  <c:v>1.0419298513089797E-3</c:v>
                </c:pt>
                <c:pt idx="31">
                  <c:v>1.0419298513089797E-3</c:v>
                </c:pt>
                <c:pt idx="32">
                  <c:v>1.0419298513089797E-3</c:v>
                </c:pt>
                <c:pt idx="33">
                  <c:v>1.0419298513089797E-3</c:v>
                </c:pt>
                <c:pt idx="34">
                  <c:v>1.0419298513089797E-3</c:v>
                </c:pt>
                <c:pt idx="35">
                  <c:v>1.0419298513089797E-3</c:v>
                </c:pt>
                <c:pt idx="36">
                  <c:v>1.0419298513089797E-3</c:v>
                </c:pt>
                <c:pt idx="37">
                  <c:v>1.0419298513089797E-3</c:v>
                </c:pt>
                <c:pt idx="38">
                  <c:v>1.0419298513089797E-3</c:v>
                </c:pt>
                <c:pt idx="39">
                  <c:v>1.0419298513089797E-3</c:v>
                </c:pt>
                <c:pt idx="40">
                  <c:v>1.0419298513089797E-3</c:v>
                </c:pt>
                <c:pt idx="41">
                  <c:v>1.0419298513089797E-3</c:v>
                </c:pt>
                <c:pt idx="42">
                  <c:v>1.0419298513089797E-3</c:v>
                </c:pt>
                <c:pt idx="43">
                  <c:v>1.0419298513089797E-3</c:v>
                </c:pt>
                <c:pt idx="44">
                  <c:v>1.0419298513089797E-3</c:v>
                </c:pt>
                <c:pt idx="45">
                  <c:v>1.0419298513089797E-3</c:v>
                </c:pt>
                <c:pt idx="46">
                  <c:v>1.0419298513089797E-3</c:v>
                </c:pt>
                <c:pt idx="47">
                  <c:v>1.0419298513089797E-3</c:v>
                </c:pt>
                <c:pt idx="48">
                  <c:v>1.0419298513089797E-3</c:v>
                </c:pt>
                <c:pt idx="49">
                  <c:v>1.0419298513089797E-3</c:v>
                </c:pt>
                <c:pt idx="50">
                  <c:v>1.0419298513089797E-3</c:v>
                </c:pt>
                <c:pt idx="51">
                  <c:v>1.0419298513089797E-3</c:v>
                </c:pt>
                <c:pt idx="52">
                  <c:v>1.0419298513089797E-3</c:v>
                </c:pt>
                <c:pt idx="53">
                  <c:v>1.0419298513089797E-3</c:v>
                </c:pt>
                <c:pt idx="54">
                  <c:v>1.0419298513089797E-3</c:v>
                </c:pt>
                <c:pt idx="55">
                  <c:v>1.0419298513089797E-3</c:v>
                </c:pt>
                <c:pt idx="56">
                  <c:v>1.0419298513089797E-3</c:v>
                </c:pt>
                <c:pt idx="57">
                  <c:v>1.0419298513089797E-3</c:v>
                </c:pt>
                <c:pt idx="58">
                  <c:v>1.0419298513089797E-3</c:v>
                </c:pt>
                <c:pt idx="59">
                  <c:v>1.0419298513089797E-3</c:v>
                </c:pt>
                <c:pt idx="60">
                  <c:v>1.0419298513089797E-3</c:v>
                </c:pt>
                <c:pt idx="61">
                  <c:v>1.0419298513089797E-3</c:v>
                </c:pt>
                <c:pt idx="62">
                  <c:v>1.0419298513089797E-3</c:v>
                </c:pt>
                <c:pt idx="63">
                  <c:v>1.0419298513089797E-3</c:v>
                </c:pt>
                <c:pt idx="64">
                  <c:v>1.0419298513089797E-3</c:v>
                </c:pt>
                <c:pt idx="65">
                  <c:v>1.0419298513089797E-3</c:v>
                </c:pt>
                <c:pt idx="66">
                  <c:v>1.0419298513089797E-3</c:v>
                </c:pt>
                <c:pt idx="67">
                  <c:v>1.0419298513089797E-3</c:v>
                </c:pt>
                <c:pt idx="68">
                  <c:v>1.0419298513089797E-3</c:v>
                </c:pt>
                <c:pt idx="69">
                  <c:v>1.0419298513089797E-3</c:v>
                </c:pt>
                <c:pt idx="70">
                  <c:v>1.0419298513089797E-3</c:v>
                </c:pt>
                <c:pt idx="71">
                  <c:v>1.0419298513089797E-3</c:v>
                </c:pt>
                <c:pt idx="72">
                  <c:v>1.0419298513089797E-3</c:v>
                </c:pt>
                <c:pt idx="73">
                  <c:v>1.0419298513089797E-3</c:v>
                </c:pt>
                <c:pt idx="74">
                  <c:v>1.0419298513089797E-3</c:v>
                </c:pt>
                <c:pt idx="75">
                  <c:v>1.0419298513089797E-3</c:v>
                </c:pt>
                <c:pt idx="76">
                  <c:v>1.0419298513089797E-3</c:v>
                </c:pt>
                <c:pt idx="77">
                  <c:v>1.0419298513089797E-3</c:v>
                </c:pt>
                <c:pt idx="78">
                  <c:v>1.0419298513089797E-3</c:v>
                </c:pt>
                <c:pt idx="79">
                  <c:v>1.0419298513089797E-3</c:v>
                </c:pt>
                <c:pt idx="80">
                  <c:v>1.0419298513089797E-3</c:v>
                </c:pt>
                <c:pt idx="81">
                  <c:v>1.0419298513089797E-3</c:v>
                </c:pt>
                <c:pt idx="82">
                  <c:v>1.0419298513089797E-3</c:v>
                </c:pt>
                <c:pt idx="83">
                  <c:v>1.0419298513089797E-3</c:v>
                </c:pt>
                <c:pt idx="84">
                  <c:v>1.0419298513089797E-3</c:v>
                </c:pt>
                <c:pt idx="85">
                  <c:v>1.0419298513089797E-3</c:v>
                </c:pt>
                <c:pt idx="86">
                  <c:v>1.0419298513089797E-3</c:v>
                </c:pt>
                <c:pt idx="87">
                  <c:v>1.0419298513089797E-3</c:v>
                </c:pt>
                <c:pt idx="88">
                  <c:v>1.0419298513089797E-3</c:v>
                </c:pt>
                <c:pt idx="89">
                  <c:v>1.0419298513089797E-3</c:v>
                </c:pt>
                <c:pt idx="90">
                  <c:v>1.0419298513089797E-3</c:v>
                </c:pt>
                <c:pt idx="91">
                  <c:v>1.0419298513089797E-3</c:v>
                </c:pt>
                <c:pt idx="92">
                  <c:v>1.0419298513089797E-3</c:v>
                </c:pt>
                <c:pt idx="93">
                  <c:v>1.0419298513089797E-3</c:v>
                </c:pt>
                <c:pt idx="94">
                  <c:v>1.0419298513089797E-3</c:v>
                </c:pt>
                <c:pt idx="95">
                  <c:v>1.0419298513089797E-3</c:v>
                </c:pt>
                <c:pt idx="96">
                  <c:v>1.0419298513089797E-3</c:v>
                </c:pt>
                <c:pt idx="97">
                  <c:v>1.0419298513089797E-3</c:v>
                </c:pt>
                <c:pt idx="98">
                  <c:v>1.0419298513089797E-3</c:v>
                </c:pt>
                <c:pt idx="99">
                  <c:v>1.0419298513089797E-3</c:v>
                </c:pt>
                <c:pt idx="100">
                  <c:v>1.0419298513089797E-3</c:v>
                </c:pt>
                <c:pt idx="101">
                  <c:v>1.0419298513089797E-3</c:v>
                </c:pt>
                <c:pt idx="102">
                  <c:v>1.0419298513089797E-3</c:v>
                </c:pt>
                <c:pt idx="103">
                  <c:v>1.0419298513089797E-3</c:v>
                </c:pt>
                <c:pt idx="104">
                  <c:v>1.0419298513089797E-3</c:v>
                </c:pt>
                <c:pt idx="105">
                  <c:v>1.0419298513089797E-3</c:v>
                </c:pt>
                <c:pt idx="106">
                  <c:v>1.0419298513089797E-3</c:v>
                </c:pt>
                <c:pt idx="107">
                  <c:v>1.0419298513089797E-3</c:v>
                </c:pt>
                <c:pt idx="108">
                  <c:v>1.0419298513089797E-3</c:v>
                </c:pt>
                <c:pt idx="109">
                  <c:v>1.0419298513089797E-3</c:v>
                </c:pt>
                <c:pt idx="110">
                  <c:v>1.0419298513089797E-3</c:v>
                </c:pt>
                <c:pt idx="111">
                  <c:v>1.0419298513089797E-3</c:v>
                </c:pt>
                <c:pt idx="112">
                  <c:v>1.0419298513089797E-3</c:v>
                </c:pt>
                <c:pt idx="113">
                  <c:v>1.0419298513089797E-3</c:v>
                </c:pt>
                <c:pt idx="114">
                  <c:v>1.0419298513089797E-3</c:v>
                </c:pt>
                <c:pt idx="115">
                  <c:v>1.0419298513089797E-3</c:v>
                </c:pt>
                <c:pt idx="116">
                  <c:v>1.0419298513089797E-3</c:v>
                </c:pt>
                <c:pt idx="117">
                  <c:v>1.0419298513089797E-3</c:v>
                </c:pt>
                <c:pt idx="118">
                  <c:v>1.0419298513089797E-3</c:v>
                </c:pt>
                <c:pt idx="119">
                  <c:v>1.0419298513089797E-3</c:v>
                </c:pt>
                <c:pt idx="120">
                  <c:v>1.0419298513089797E-3</c:v>
                </c:pt>
                <c:pt idx="121">
                  <c:v>1.0419298513089797E-3</c:v>
                </c:pt>
                <c:pt idx="122">
                  <c:v>1.0419298513089797E-3</c:v>
                </c:pt>
                <c:pt idx="123">
                  <c:v>1.0419298513089797E-3</c:v>
                </c:pt>
                <c:pt idx="124">
                  <c:v>1.0419298513089797E-3</c:v>
                </c:pt>
                <c:pt idx="125">
                  <c:v>1.0419298513089797E-3</c:v>
                </c:pt>
                <c:pt idx="126">
                  <c:v>1.0419298513089797E-3</c:v>
                </c:pt>
                <c:pt idx="127">
                  <c:v>1.0419298513089797E-3</c:v>
                </c:pt>
                <c:pt idx="128">
                  <c:v>1.0419298513089797E-3</c:v>
                </c:pt>
                <c:pt idx="129">
                  <c:v>1.0419298513089797E-3</c:v>
                </c:pt>
                <c:pt idx="130">
                  <c:v>1.0419298513089797E-3</c:v>
                </c:pt>
                <c:pt idx="131">
                  <c:v>1.0419298513089797E-3</c:v>
                </c:pt>
                <c:pt idx="132">
                  <c:v>1.0419298513089797E-3</c:v>
                </c:pt>
                <c:pt idx="133">
                  <c:v>1.0419298513089797E-3</c:v>
                </c:pt>
                <c:pt idx="134">
                  <c:v>1.0419298513089797E-3</c:v>
                </c:pt>
                <c:pt idx="135">
                  <c:v>1.0419298513089797E-3</c:v>
                </c:pt>
                <c:pt idx="136">
                  <c:v>1.0419298513089797E-3</c:v>
                </c:pt>
                <c:pt idx="137">
                  <c:v>1.0419298513089797E-3</c:v>
                </c:pt>
                <c:pt idx="138">
                  <c:v>1.0419298513089797E-3</c:v>
                </c:pt>
                <c:pt idx="139">
                  <c:v>1.0419298513089797E-3</c:v>
                </c:pt>
                <c:pt idx="140">
                  <c:v>1.0419298513089797E-3</c:v>
                </c:pt>
                <c:pt idx="141">
                  <c:v>1.0419298513089797E-3</c:v>
                </c:pt>
                <c:pt idx="142">
                  <c:v>1.0419298513089797E-3</c:v>
                </c:pt>
                <c:pt idx="143">
                  <c:v>1.0419298513089797E-3</c:v>
                </c:pt>
                <c:pt idx="144">
                  <c:v>1.0419298513089797E-3</c:v>
                </c:pt>
                <c:pt idx="145">
                  <c:v>1.0419298513089797E-3</c:v>
                </c:pt>
                <c:pt idx="146">
                  <c:v>1.0419298513089797E-3</c:v>
                </c:pt>
                <c:pt idx="147">
                  <c:v>1.0419298513089797E-3</c:v>
                </c:pt>
                <c:pt idx="148">
                  <c:v>1.0419298513089797E-3</c:v>
                </c:pt>
                <c:pt idx="149">
                  <c:v>1.0419298513089797E-3</c:v>
                </c:pt>
                <c:pt idx="150">
                  <c:v>1.0419298513089797E-3</c:v>
                </c:pt>
                <c:pt idx="151">
                  <c:v>1.0419298513089797E-3</c:v>
                </c:pt>
                <c:pt idx="152">
                  <c:v>1.0419298513089797E-3</c:v>
                </c:pt>
                <c:pt idx="153">
                  <c:v>1.0419298513089797E-3</c:v>
                </c:pt>
                <c:pt idx="154">
                  <c:v>1.0419298513089797E-3</c:v>
                </c:pt>
                <c:pt idx="155">
                  <c:v>1.0419298513089797E-3</c:v>
                </c:pt>
                <c:pt idx="156">
                  <c:v>1.0419298513089797E-3</c:v>
                </c:pt>
                <c:pt idx="157">
                  <c:v>1.0419298513089797E-3</c:v>
                </c:pt>
                <c:pt idx="158">
                  <c:v>1.0419298513089797E-3</c:v>
                </c:pt>
                <c:pt idx="159">
                  <c:v>1.0419298513089797E-3</c:v>
                </c:pt>
                <c:pt idx="160">
                  <c:v>1.0419298513089797E-3</c:v>
                </c:pt>
                <c:pt idx="161">
                  <c:v>1.0419298513089797E-3</c:v>
                </c:pt>
                <c:pt idx="162">
                  <c:v>1.0419298513089797E-3</c:v>
                </c:pt>
                <c:pt idx="163">
                  <c:v>1.0419298513089797E-3</c:v>
                </c:pt>
                <c:pt idx="164">
                  <c:v>1.0419298513089797E-3</c:v>
                </c:pt>
                <c:pt idx="165">
                  <c:v>1.0419298513089797E-3</c:v>
                </c:pt>
                <c:pt idx="166">
                  <c:v>1.0419298513089797E-3</c:v>
                </c:pt>
                <c:pt idx="167">
                  <c:v>1.0419298513089797E-3</c:v>
                </c:pt>
                <c:pt idx="168">
                  <c:v>1.0419298513089797E-3</c:v>
                </c:pt>
                <c:pt idx="169">
                  <c:v>1.0419298513089797E-3</c:v>
                </c:pt>
                <c:pt idx="170">
                  <c:v>1.0419298513089797E-3</c:v>
                </c:pt>
                <c:pt idx="171">
                  <c:v>1.0419298513089797E-3</c:v>
                </c:pt>
                <c:pt idx="172">
                  <c:v>1.0419298513089797E-3</c:v>
                </c:pt>
                <c:pt idx="173">
                  <c:v>1.0419298513089797E-3</c:v>
                </c:pt>
                <c:pt idx="174">
                  <c:v>1.0419298513089797E-3</c:v>
                </c:pt>
                <c:pt idx="175">
                  <c:v>1.0419298513089797E-3</c:v>
                </c:pt>
                <c:pt idx="176">
                  <c:v>1.0419298513089797E-3</c:v>
                </c:pt>
                <c:pt idx="177">
                  <c:v>1.0419298513089797E-3</c:v>
                </c:pt>
                <c:pt idx="178">
                  <c:v>1.0419298513089797E-3</c:v>
                </c:pt>
                <c:pt idx="179">
                  <c:v>1.0419298513089797E-3</c:v>
                </c:pt>
                <c:pt idx="180">
                  <c:v>1.0419298513089797E-3</c:v>
                </c:pt>
                <c:pt idx="181">
                  <c:v>1.0419298513089797E-3</c:v>
                </c:pt>
                <c:pt idx="182">
                  <c:v>1.0419298513089797E-3</c:v>
                </c:pt>
                <c:pt idx="183">
                  <c:v>1.0419298513089797E-3</c:v>
                </c:pt>
                <c:pt idx="184">
                  <c:v>1.0419298513089797E-3</c:v>
                </c:pt>
                <c:pt idx="185">
                  <c:v>1.0419298513089797E-3</c:v>
                </c:pt>
                <c:pt idx="186">
                  <c:v>1.0419298513089797E-3</c:v>
                </c:pt>
                <c:pt idx="187">
                  <c:v>1.0419298513089797E-3</c:v>
                </c:pt>
                <c:pt idx="188">
                  <c:v>1.0419298513089797E-3</c:v>
                </c:pt>
                <c:pt idx="189">
                  <c:v>1.0419298513089797E-3</c:v>
                </c:pt>
                <c:pt idx="190">
                  <c:v>1.0419298513089797E-3</c:v>
                </c:pt>
                <c:pt idx="191">
                  <c:v>1.0419298513089797E-3</c:v>
                </c:pt>
                <c:pt idx="192">
                  <c:v>1.0419298513089797E-3</c:v>
                </c:pt>
                <c:pt idx="193">
                  <c:v>1.0419298513089797E-3</c:v>
                </c:pt>
                <c:pt idx="194">
                  <c:v>1.0419298513089797E-3</c:v>
                </c:pt>
                <c:pt idx="195">
                  <c:v>1.0419298513089797E-3</c:v>
                </c:pt>
                <c:pt idx="196">
                  <c:v>1.0419298513089797E-3</c:v>
                </c:pt>
                <c:pt idx="197">
                  <c:v>1.0419298513089797E-3</c:v>
                </c:pt>
                <c:pt idx="198">
                  <c:v>1.0419298513089797E-3</c:v>
                </c:pt>
                <c:pt idx="199">
                  <c:v>1.0419298513089797E-3</c:v>
                </c:pt>
                <c:pt idx="200">
                  <c:v>1.0419298513089797E-3</c:v>
                </c:pt>
                <c:pt idx="201">
                  <c:v>1.0419298513089797E-3</c:v>
                </c:pt>
                <c:pt idx="202">
                  <c:v>1.0419298513089797E-3</c:v>
                </c:pt>
                <c:pt idx="203">
                  <c:v>1.0419298513089797E-3</c:v>
                </c:pt>
                <c:pt idx="204">
                  <c:v>1.0419298513089797E-3</c:v>
                </c:pt>
                <c:pt idx="205">
                  <c:v>1.0419298513089797E-3</c:v>
                </c:pt>
                <c:pt idx="206">
                  <c:v>1.0419298513089797E-3</c:v>
                </c:pt>
                <c:pt idx="207">
                  <c:v>1.0419298513089797E-3</c:v>
                </c:pt>
                <c:pt idx="208">
                  <c:v>1.0419298513089797E-3</c:v>
                </c:pt>
                <c:pt idx="209">
                  <c:v>1.0419298513089797E-3</c:v>
                </c:pt>
                <c:pt idx="210">
                  <c:v>1.0419298513089797E-3</c:v>
                </c:pt>
                <c:pt idx="211">
                  <c:v>1.0419298513089797E-3</c:v>
                </c:pt>
                <c:pt idx="212">
                  <c:v>1.0419298513089797E-3</c:v>
                </c:pt>
                <c:pt idx="213">
                  <c:v>1.0419298513089797E-3</c:v>
                </c:pt>
                <c:pt idx="214">
                  <c:v>1.0419298513089797E-3</c:v>
                </c:pt>
                <c:pt idx="215">
                  <c:v>1.0419298513089797E-3</c:v>
                </c:pt>
                <c:pt idx="216">
                  <c:v>1.0419298513089797E-3</c:v>
                </c:pt>
                <c:pt idx="217">
                  <c:v>1.0419298513089797E-3</c:v>
                </c:pt>
                <c:pt idx="218">
                  <c:v>1.0419298513089797E-3</c:v>
                </c:pt>
                <c:pt idx="219">
                  <c:v>1.0419298513089797E-3</c:v>
                </c:pt>
                <c:pt idx="220">
                  <c:v>1.0419298513089797E-3</c:v>
                </c:pt>
                <c:pt idx="221">
                  <c:v>1.0419298513089797E-3</c:v>
                </c:pt>
                <c:pt idx="222">
                  <c:v>1.0419298513089797E-3</c:v>
                </c:pt>
                <c:pt idx="223">
                  <c:v>1.0419298513089797E-3</c:v>
                </c:pt>
                <c:pt idx="224">
                  <c:v>1.0419298513089797E-3</c:v>
                </c:pt>
                <c:pt idx="225">
                  <c:v>1.0419298513089797E-3</c:v>
                </c:pt>
                <c:pt idx="226">
                  <c:v>1.0419298513089797E-3</c:v>
                </c:pt>
                <c:pt idx="227">
                  <c:v>1.0419298513089797E-3</c:v>
                </c:pt>
                <c:pt idx="228">
                  <c:v>1.0419298513089797E-3</c:v>
                </c:pt>
                <c:pt idx="229">
                  <c:v>1.0419298513089797E-3</c:v>
                </c:pt>
                <c:pt idx="230">
                  <c:v>1.0419298513089797E-3</c:v>
                </c:pt>
                <c:pt idx="231">
                  <c:v>1.0419298513089797E-3</c:v>
                </c:pt>
                <c:pt idx="232">
                  <c:v>1.0419298513089797E-3</c:v>
                </c:pt>
                <c:pt idx="233">
                  <c:v>1.0419298513089797E-3</c:v>
                </c:pt>
                <c:pt idx="234">
                  <c:v>1.0419298513089797E-3</c:v>
                </c:pt>
                <c:pt idx="235">
                  <c:v>1.0419298513089797E-3</c:v>
                </c:pt>
                <c:pt idx="236">
                  <c:v>1.0419298513089797E-3</c:v>
                </c:pt>
                <c:pt idx="237">
                  <c:v>1.0419298513089797E-3</c:v>
                </c:pt>
                <c:pt idx="238">
                  <c:v>1.0419298513089797E-3</c:v>
                </c:pt>
                <c:pt idx="239">
                  <c:v>1.0419298513089797E-3</c:v>
                </c:pt>
                <c:pt idx="240">
                  <c:v>1.0419298513089797E-3</c:v>
                </c:pt>
                <c:pt idx="241">
                  <c:v>1.0419298513089797E-3</c:v>
                </c:pt>
                <c:pt idx="242">
                  <c:v>1.0419298513089797E-3</c:v>
                </c:pt>
                <c:pt idx="243">
                  <c:v>1.0419298513089797E-3</c:v>
                </c:pt>
                <c:pt idx="244">
                  <c:v>1.0419298513089797E-3</c:v>
                </c:pt>
                <c:pt idx="245">
                  <c:v>1.0419298513089797E-3</c:v>
                </c:pt>
                <c:pt idx="246">
                  <c:v>1.0419298513089797E-3</c:v>
                </c:pt>
                <c:pt idx="247">
                  <c:v>1.0419298513089797E-3</c:v>
                </c:pt>
                <c:pt idx="248">
                  <c:v>1.0419298513089797E-3</c:v>
                </c:pt>
                <c:pt idx="249">
                  <c:v>1.0419298513089797E-3</c:v>
                </c:pt>
                <c:pt idx="250">
                  <c:v>1.0419298513089797E-3</c:v>
                </c:pt>
                <c:pt idx="251">
                  <c:v>1.0419298513089797E-3</c:v>
                </c:pt>
                <c:pt idx="252">
                  <c:v>1.0419298513089797E-3</c:v>
                </c:pt>
                <c:pt idx="253">
                  <c:v>1.0419298513089797E-3</c:v>
                </c:pt>
                <c:pt idx="254">
                  <c:v>1.0419298513089797E-3</c:v>
                </c:pt>
                <c:pt idx="255">
                  <c:v>1.0419298513089797E-3</c:v>
                </c:pt>
                <c:pt idx="256">
                  <c:v>1.0419298513089797E-3</c:v>
                </c:pt>
                <c:pt idx="257">
                  <c:v>1.0419298513089797E-3</c:v>
                </c:pt>
                <c:pt idx="258">
                  <c:v>1.0419298513089797E-3</c:v>
                </c:pt>
                <c:pt idx="259">
                  <c:v>1.0419298513089797E-3</c:v>
                </c:pt>
                <c:pt idx="260">
                  <c:v>1.0419298513089797E-3</c:v>
                </c:pt>
                <c:pt idx="261">
                  <c:v>1.0419298513089797E-3</c:v>
                </c:pt>
                <c:pt idx="262">
                  <c:v>1.0419298513089797E-3</c:v>
                </c:pt>
                <c:pt idx="263">
                  <c:v>1.0419298513089797E-3</c:v>
                </c:pt>
                <c:pt idx="264">
                  <c:v>1.0419298513089797E-3</c:v>
                </c:pt>
                <c:pt idx="265">
                  <c:v>1.0419298513089797E-3</c:v>
                </c:pt>
                <c:pt idx="266">
                  <c:v>1.0419298513089797E-3</c:v>
                </c:pt>
                <c:pt idx="267">
                  <c:v>1.0419298513089797E-3</c:v>
                </c:pt>
                <c:pt idx="268">
                  <c:v>1.0419298513089797E-3</c:v>
                </c:pt>
                <c:pt idx="269">
                  <c:v>1.0419298513089797E-3</c:v>
                </c:pt>
                <c:pt idx="270">
                  <c:v>1.0419298513089797E-3</c:v>
                </c:pt>
                <c:pt idx="271">
                  <c:v>1.0419298513089797E-3</c:v>
                </c:pt>
                <c:pt idx="272">
                  <c:v>1.0419298513089797E-3</c:v>
                </c:pt>
                <c:pt idx="273">
                  <c:v>1.0419298513089797E-3</c:v>
                </c:pt>
                <c:pt idx="274">
                  <c:v>1.0419298513089797E-3</c:v>
                </c:pt>
                <c:pt idx="275">
                  <c:v>1.0419298513089797E-3</c:v>
                </c:pt>
                <c:pt idx="276">
                  <c:v>1.0419298513089797E-3</c:v>
                </c:pt>
                <c:pt idx="277">
                  <c:v>1.0419298513089797E-3</c:v>
                </c:pt>
                <c:pt idx="278">
                  <c:v>1.0419298513089797E-3</c:v>
                </c:pt>
                <c:pt idx="279">
                  <c:v>1.0419298513089797E-3</c:v>
                </c:pt>
                <c:pt idx="280">
                  <c:v>1.0419298513089797E-3</c:v>
                </c:pt>
                <c:pt idx="281">
                  <c:v>1.0419298513089797E-3</c:v>
                </c:pt>
                <c:pt idx="282">
                  <c:v>1.0419298513089797E-3</c:v>
                </c:pt>
                <c:pt idx="283">
                  <c:v>1.0419298513089797E-3</c:v>
                </c:pt>
                <c:pt idx="284">
                  <c:v>1.0419298513089797E-3</c:v>
                </c:pt>
                <c:pt idx="285">
                  <c:v>1.0419298513089797E-3</c:v>
                </c:pt>
                <c:pt idx="286">
                  <c:v>1.0419298513089797E-3</c:v>
                </c:pt>
                <c:pt idx="287">
                  <c:v>1.0419298513089797E-3</c:v>
                </c:pt>
                <c:pt idx="288">
                  <c:v>1.0419298513089797E-3</c:v>
                </c:pt>
                <c:pt idx="289">
                  <c:v>1.0419298513089797E-3</c:v>
                </c:pt>
                <c:pt idx="290">
                  <c:v>1.0419298513089797E-3</c:v>
                </c:pt>
                <c:pt idx="291">
                  <c:v>1.0419298513089797E-3</c:v>
                </c:pt>
                <c:pt idx="292">
                  <c:v>1.0419298513089797E-3</c:v>
                </c:pt>
                <c:pt idx="293">
                  <c:v>1.0419298513089797E-3</c:v>
                </c:pt>
                <c:pt idx="294">
                  <c:v>1.0419298513089797E-3</c:v>
                </c:pt>
                <c:pt idx="295">
                  <c:v>1.0419298513089797E-3</c:v>
                </c:pt>
                <c:pt idx="296">
                  <c:v>1.0419298513089797E-3</c:v>
                </c:pt>
                <c:pt idx="297">
                  <c:v>1.0419298513089797E-3</c:v>
                </c:pt>
                <c:pt idx="298">
                  <c:v>1.0419298513089797E-3</c:v>
                </c:pt>
                <c:pt idx="299">
                  <c:v>1.0419298513089797E-3</c:v>
                </c:pt>
                <c:pt idx="300">
                  <c:v>1.0419298513089797E-3</c:v>
                </c:pt>
                <c:pt idx="301">
                  <c:v>1.0419298513089797E-3</c:v>
                </c:pt>
                <c:pt idx="302">
                  <c:v>1.0419298513089797E-3</c:v>
                </c:pt>
                <c:pt idx="303">
                  <c:v>1.0419298513089797E-3</c:v>
                </c:pt>
                <c:pt idx="304">
                  <c:v>1.0419298513089797E-3</c:v>
                </c:pt>
                <c:pt idx="305">
                  <c:v>1.0419298513089797E-3</c:v>
                </c:pt>
                <c:pt idx="306">
                  <c:v>1.0419298513089797E-3</c:v>
                </c:pt>
                <c:pt idx="307">
                  <c:v>1.0419298513089797E-3</c:v>
                </c:pt>
                <c:pt idx="308">
                  <c:v>1.0419298513089797E-3</c:v>
                </c:pt>
                <c:pt idx="309">
                  <c:v>1.0419298513089797E-3</c:v>
                </c:pt>
                <c:pt idx="310">
                  <c:v>1.0419298513089797E-3</c:v>
                </c:pt>
                <c:pt idx="311">
                  <c:v>1.0419298513089797E-3</c:v>
                </c:pt>
                <c:pt idx="312">
                  <c:v>1.0419298513089797E-3</c:v>
                </c:pt>
                <c:pt idx="313">
                  <c:v>1.0419298513089797E-3</c:v>
                </c:pt>
                <c:pt idx="314">
                  <c:v>1.0419298513089797E-3</c:v>
                </c:pt>
                <c:pt idx="315">
                  <c:v>1.0419298513089797E-3</c:v>
                </c:pt>
                <c:pt idx="316">
                  <c:v>1.0419298513089797E-3</c:v>
                </c:pt>
                <c:pt idx="317">
                  <c:v>1.0419298513089797E-3</c:v>
                </c:pt>
                <c:pt idx="318">
                  <c:v>1.0419298513089797E-3</c:v>
                </c:pt>
                <c:pt idx="319">
                  <c:v>1.0419298513089797E-3</c:v>
                </c:pt>
                <c:pt idx="320">
                  <c:v>1.0419298513089797E-3</c:v>
                </c:pt>
                <c:pt idx="321">
                  <c:v>1.0419298513089797E-3</c:v>
                </c:pt>
                <c:pt idx="322">
                  <c:v>1.0419298513089797E-3</c:v>
                </c:pt>
                <c:pt idx="323">
                  <c:v>1.0419298513089797E-3</c:v>
                </c:pt>
                <c:pt idx="324">
                  <c:v>1.0419298513089797E-3</c:v>
                </c:pt>
                <c:pt idx="325">
                  <c:v>1.0419298513089797E-3</c:v>
                </c:pt>
                <c:pt idx="326">
                  <c:v>1.0419298513089797E-3</c:v>
                </c:pt>
                <c:pt idx="327">
                  <c:v>1.0419298513089797E-3</c:v>
                </c:pt>
                <c:pt idx="328">
                  <c:v>1.0419298513089797E-3</c:v>
                </c:pt>
                <c:pt idx="329">
                  <c:v>1.0419298513089797E-3</c:v>
                </c:pt>
                <c:pt idx="330">
                  <c:v>1.0419298513089797E-3</c:v>
                </c:pt>
                <c:pt idx="331">
                  <c:v>1.0419298513089797E-3</c:v>
                </c:pt>
                <c:pt idx="332">
                  <c:v>1.0419298513089797E-3</c:v>
                </c:pt>
                <c:pt idx="333">
                  <c:v>1.0419298513089797E-3</c:v>
                </c:pt>
                <c:pt idx="334">
                  <c:v>1.0419298513089797E-3</c:v>
                </c:pt>
                <c:pt idx="335">
                  <c:v>1.0419298513089797E-3</c:v>
                </c:pt>
                <c:pt idx="336">
                  <c:v>1.0419298513089797E-3</c:v>
                </c:pt>
                <c:pt idx="337">
                  <c:v>1.0419298513089797E-3</c:v>
                </c:pt>
                <c:pt idx="338">
                  <c:v>1.0419298513089797E-3</c:v>
                </c:pt>
                <c:pt idx="339">
                  <c:v>1.0419298513089797E-3</c:v>
                </c:pt>
                <c:pt idx="340">
                  <c:v>1.0419298513089797E-3</c:v>
                </c:pt>
                <c:pt idx="341">
                  <c:v>1.0419298513089797E-3</c:v>
                </c:pt>
                <c:pt idx="342">
                  <c:v>1.0419298513089797E-3</c:v>
                </c:pt>
                <c:pt idx="343">
                  <c:v>1.0419298513089797E-3</c:v>
                </c:pt>
                <c:pt idx="344">
                  <c:v>1.0419298513089797E-3</c:v>
                </c:pt>
                <c:pt idx="345">
                  <c:v>1.0419298513089797E-3</c:v>
                </c:pt>
                <c:pt idx="346">
                  <c:v>1.0419298513089797E-3</c:v>
                </c:pt>
                <c:pt idx="347">
                  <c:v>1.0419298513089797E-3</c:v>
                </c:pt>
                <c:pt idx="348">
                  <c:v>1.0419298513089797E-3</c:v>
                </c:pt>
                <c:pt idx="349">
                  <c:v>1.0419298513089797E-3</c:v>
                </c:pt>
                <c:pt idx="350">
                  <c:v>1.0419298513089797E-3</c:v>
                </c:pt>
                <c:pt idx="351">
                  <c:v>1.0419298513089797E-3</c:v>
                </c:pt>
                <c:pt idx="352">
                  <c:v>1.0419298513089797E-3</c:v>
                </c:pt>
                <c:pt idx="353">
                  <c:v>1.0419298513089797E-3</c:v>
                </c:pt>
                <c:pt idx="354">
                  <c:v>1.0419298513089797E-3</c:v>
                </c:pt>
                <c:pt idx="355">
                  <c:v>1.0419298513089797E-3</c:v>
                </c:pt>
                <c:pt idx="356">
                  <c:v>1.0419298513089797E-3</c:v>
                </c:pt>
                <c:pt idx="357">
                  <c:v>1.0419298513089797E-3</c:v>
                </c:pt>
                <c:pt idx="358">
                  <c:v>1.0419298513089797E-3</c:v>
                </c:pt>
                <c:pt idx="359">
                  <c:v>1.0419298513089797E-3</c:v>
                </c:pt>
                <c:pt idx="360">
                  <c:v>1.0419298513089797E-3</c:v>
                </c:pt>
                <c:pt idx="361">
                  <c:v>1.0419298513089797E-3</c:v>
                </c:pt>
                <c:pt idx="362">
                  <c:v>1.0419298513089797E-3</c:v>
                </c:pt>
                <c:pt idx="363">
                  <c:v>1.0419298513089797E-3</c:v>
                </c:pt>
                <c:pt idx="364">
                  <c:v>1.0419298513089797E-3</c:v>
                </c:pt>
                <c:pt idx="365">
                  <c:v>1.0419298513089797E-3</c:v>
                </c:pt>
                <c:pt idx="366">
                  <c:v>1.0419298513089797E-3</c:v>
                </c:pt>
                <c:pt idx="367">
                  <c:v>1.0419298513089797E-3</c:v>
                </c:pt>
                <c:pt idx="368">
                  <c:v>1.0419298513089797E-3</c:v>
                </c:pt>
                <c:pt idx="369">
                  <c:v>1.0419298513089797E-3</c:v>
                </c:pt>
                <c:pt idx="370">
                  <c:v>1.0419298513089797E-3</c:v>
                </c:pt>
                <c:pt idx="371">
                  <c:v>1.0419298513089797E-3</c:v>
                </c:pt>
                <c:pt idx="372">
                  <c:v>1.0419298513089797E-3</c:v>
                </c:pt>
                <c:pt idx="373">
                  <c:v>1.0419298513089797E-3</c:v>
                </c:pt>
                <c:pt idx="374">
                  <c:v>1.0419298513089797E-3</c:v>
                </c:pt>
                <c:pt idx="375">
                  <c:v>1.0419298513089797E-3</c:v>
                </c:pt>
                <c:pt idx="376">
                  <c:v>1.0419298513089797E-3</c:v>
                </c:pt>
                <c:pt idx="377">
                  <c:v>1.0419298513089797E-3</c:v>
                </c:pt>
                <c:pt idx="378">
                  <c:v>1.0419298513089797E-3</c:v>
                </c:pt>
                <c:pt idx="379">
                  <c:v>1.0419298513089797E-3</c:v>
                </c:pt>
                <c:pt idx="380">
                  <c:v>1.0419298513089797E-3</c:v>
                </c:pt>
                <c:pt idx="381">
                  <c:v>1.0419298513089797E-3</c:v>
                </c:pt>
                <c:pt idx="382">
                  <c:v>1.0419298513089797E-3</c:v>
                </c:pt>
                <c:pt idx="383">
                  <c:v>1.0419298513089797E-3</c:v>
                </c:pt>
                <c:pt idx="384">
                  <c:v>1.0419298513089797E-3</c:v>
                </c:pt>
                <c:pt idx="385">
                  <c:v>1.0419298513089797E-3</c:v>
                </c:pt>
                <c:pt idx="386">
                  <c:v>1.0419298513089797E-3</c:v>
                </c:pt>
                <c:pt idx="387">
                  <c:v>1.0419298513089797E-3</c:v>
                </c:pt>
                <c:pt idx="388">
                  <c:v>1.0419298513089797E-3</c:v>
                </c:pt>
                <c:pt idx="389">
                  <c:v>1.0419298513089797E-3</c:v>
                </c:pt>
                <c:pt idx="390">
                  <c:v>1.0419298513089797E-3</c:v>
                </c:pt>
                <c:pt idx="391">
                  <c:v>1.0419298513089797E-3</c:v>
                </c:pt>
                <c:pt idx="392">
                  <c:v>1.0419298513089797E-3</c:v>
                </c:pt>
                <c:pt idx="393">
                  <c:v>1.0419298513089797E-3</c:v>
                </c:pt>
                <c:pt idx="394">
                  <c:v>1.0419298513089797E-3</c:v>
                </c:pt>
                <c:pt idx="395">
                  <c:v>1.0419298513089797E-3</c:v>
                </c:pt>
                <c:pt idx="396">
                  <c:v>1.0419298513089797E-3</c:v>
                </c:pt>
                <c:pt idx="397">
                  <c:v>1.0419298513089797E-3</c:v>
                </c:pt>
                <c:pt idx="398">
                  <c:v>1.0419298513089797E-3</c:v>
                </c:pt>
                <c:pt idx="399">
                  <c:v>1.0419298513089797E-3</c:v>
                </c:pt>
                <c:pt idx="400">
                  <c:v>1.0419298513089797E-3</c:v>
                </c:pt>
                <c:pt idx="401">
                  <c:v>1.0419298513089797E-3</c:v>
                </c:pt>
                <c:pt idx="402">
                  <c:v>1.0419298513089797E-3</c:v>
                </c:pt>
                <c:pt idx="403">
                  <c:v>1.0419298513089797E-3</c:v>
                </c:pt>
                <c:pt idx="404">
                  <c:v>1.0419298513089797E-3</c:v>
                </c:pt>
                <c:pt idx="405">
                  <c:v>1.0419298513089797E-3</c:v>
                </c:pt>
                <c:pt idx="406">
                  <c:v>1.0419298513089797E-3</c:v>
                </c:pt>
                <c:pt idx="407">
                  <c:v>1.0419298513089797E-3</c:v>
                </c:pt>
                <c:pt idx="408">
                  <c:v>1.0419298513089797E-3</c:v>
                </c:pt>
                <c:pt idx="409">
                  <c:v>1.0419298513089797E-3</c:v>
                </c:pt>
                <c:pt idx="410">
                  <c:v>1.0419298513089797E-3</c:v>
                </c:pt>
                <c:pt idx="411">
                  <c:v>1.0419298513089797E-3</c:v>
                </c:pt>
                <c:pt idx="412">
                  <c:v>1.0419298513089797E-3</c:v>
                </c:pt>
                <c:pt idx="413">
                  <c:v>1.0419298513089797E-3</c:v>
                </c:pt>
                <c:pt idx="414">
                  <c:v>1.0419298513089797E-3</c:v>
                </c:pt>
                <c:pt idx="415">
                  <c:v>1.0419298513089797E-3</c:v>
                </c:pt>
                <c:pt idx="416">
                  <c:v>1.0419298513089797E-3</c:v>
                </c:pt>
                <c:pt idx="417">
                  <c:v>1.0419298513089797E-3</c:v>
                </c:pt>
                <c:pt idx="418">
                  <c:v>1.0419298513089797E-3</c:v>
                </c:pt>
                <c:pt idx="419">
                  <c:v>1.0419298513089797E-3</c:v>
                </c:pt>
                <c:pt idx="420">
                  <c:v>1.0419298513089797E-3</c:v>
                </c:pt>
                <c:pt idx="421">
                  <c:v>1.0419298513089797E-3</c:v>
                </c:pt>
                <c:pt idx="422">
                  <c:v>1.0419298513089797E-3</c:v>
                </c:pt>
                <c:pt idx="423">
                  <c:v>1.0419298513089797E-3</c:v>
                </c:pt>
                <c:pt idx="424">
                  <c:v>1.0419298513089797E-3</c:v>
                </c:pt>
                <c:pt idx="425">
                  <c:v>1.0419298513089797E-3</c:v>
                </c:pt>
                <c:pt idx="426">
                  <c:v>1.0419298513089797E-3</c:v>
                </c:pt>
                <c:pt idx="427">
                  <c:v>1.0419298513089797E-3</c:v>
                </c:pt>
                <c:pt idx="428">
                  <c:v>1.0419298513089797E-3</c:v>
                </c:pt>
                <c:pt idx="429">
                  <c:v>1.0419298513089797E-3</c:v>
                </c:pt>
                <c:pt idx="430">
                  <c:v>1.0419298513089797E-3</c:v>
                </c:pt>
                <c:pt idx="431">
                  <c:v>1.0419298513089797E-3</c:v>
                </c:pt>
                <c:pt idx="432">
                  <c:v>1.0419298513089797E-3</c:v>
                </c:pt>
                <c:pt idx="433">
                  <c:v>1.0419298513089797E-3</c:v>
                </c:pt>
                <c:pt idx="434">
                  <c:v>1.0419298513089797E-3</c:v>
                </c:pt>
                <c:pt idx="435">
                  <c:v>1.0419298513089797E-3</c:v>
                </c:pt>
                <c:pt idx="436">
                  <c:v>1.0419298513089797E-3</c:v>
                </c:pt>
                <c:pt idx="437">
                  <c:v>1.0419298513089797E-3</c:v>
                </c:pt>
                <c:pt idx="438">
                  <c:v>1.0419298513089797E-3</c:v>
                </c:pt>
                <c:pt idx="439">
                  <c:v>1.0419298513089797E-3</c:v>
                </c:pt>
                <c:pt idx="440">
                  <c:v>1.0419298513089797E-3</c:v>
                </c:pt>
                <c:pt idx="441">
                  <c:v>1.0419298513089797E-3</c:v>
                </c:pt>
                <c:pt idx="442">
                  <c:v>1.0419298513089797E-3</c:v>
                </c:pt>
                <c:pt idx="443">
                  <c:v>1.0419298513089797E-3</c:v>
                </c:pt>
                <c:pt idx="444">
                  <c:v>1.0419298513089797E-3</c:v>
                </c:pt>
                <c:pt idx="445">
                  <c:v>1.0419298513089797E-3</c:v>
                </c:pt>
                <c:pt idx="446">
                  <c:v>1.0419298513089797E-3</c:v>
                </c:pt>
                <c:pt idx="447">
                  <c:v>1.0419298513089797E-3</c:v>
                </c:pt>
                <c:pt idx="448">
                  <c:v>1.0419298513089797E-3</c:v>
                </c:pt>
                <c:pt idx="449">
                  <c:v>1.0419298513089797E-3</c:v>
                </c:pt>
                <c:pt idx="450">
                  <c:v>1.0419298513089797E-3</c:v>
                </c:pt>
                <c:pt idx="451">
                  <c:v>1.0419298513089797E-3</c:v>
                </c:pt>
                <c:pt idx="452">
                  <c:v>1.0419298513089797E-3</c:v>
                </c:pt>
                <c:pt idx="453">
                  <c:v>1.0419298513089797E-3</c:v>
                </c:pt>
                <c:pt idx="454">
                  <c:v>1.0419298513089797E-3</c:v>
                </c:pt>
                <c:pt idx="455">
                  <c:v>1.0419298513089797E-3</c:v>
                </c:pt>
                <c:pt idx="456">
                  <c:v>1.0419298513089797E-3</c:v>
                </c:pt>
                <c:pt idx="457">
                  <c:v>1.0419298513089797E-3</c:v>
                </c:pt>
                <c:pt idx="458">
                  <c:v>1.0419298513089797E-3</c:v>
                </c:pt>
                <c:pt idx="459">
                  <c:v>#N/A</c:v>
                </c:pt>
              </c:numCache>
            </c:numRef>
          </c:xVal>
          <c:yVal>
            <c:numRef>
              <c:f>Messdaten!$M$15:$M$474</c:f>
              <c:numCache>
                <c:formatCode>0.000</c:formatCode>
                <c:ptCount val="460"/>
                <c:pt idx="0">
                  <c:v>97.781126261923788</c:v>
                </c:pt>
                <c:pt idx="1">
                  <c:v>97.781126261923788</c:v>
                </c:pt>
                <c:pt idx="2">
                  <c:v>97.781126261923788</c:v>
                </c:pt>
                <c:pt idx="3">
                  <c:v>97.781126261923788</c:v>
                </c:pt>
                <c:pt idx="4">
                  <c:v>97.781126261923788</c:v>
                </c:pt>
                <c:pt idx="5">
                  <c:v>97.781126261923788</c:v>
                </c:pt>
                <c:pt idx="6">
                  <c:v>97.781126261923788</c:v>
                </c:pt>
                <c:pt idx="7">
                  <c:v>97.781126261923788</c:v>
                </c:pt>
                <c:pt idx="8">
                  <c:v>97.781126261923788</c:v>
                </c:pt>
                <c:pt idx="9">
                  <c:v>97.781126261923788</c:v>
                </c:pt>
                <c:pt idx="10">
                  <c:v>97.781126261923788</c:v>
                </c:pt>
                <c:pt idx="11">
                  <c:v>97.781126261923788</c:v>
                </c:pt>
                <c:pt idx="12">
                  <c:v>97.781126261923788</c:v>
                </c:pt>
                <c:pt idx="13">
                  <c:v>97.781126261923788</c:v>
                </c:pt>
                <c:pt idx="14">
                  <c:v>97.781126261923788</c:v>
                </c:pt>
                <c:pt idx="15">
                  <c:v>97.781126261923788</c:v>
                </c:pt>
                <c:pt idx="16">
                  <c:v>97.781126261923788</c:v>
                </c:pt>
                <c:pt idx="17">
                  <c:v>97.781126261923788</c:v>
                </c:pt>
                <c:pt idx="18">
                  <c:v>97.781126261923788</c:v>
                </c:pt>
                <c:pt idx="19">
                  <c:v>97.781126261923788</c:v>
                </c:pt>
                <c:pt idx="20">
                  <c:v>97.781126261923788</c:v>
                </c:pt>
                <c:pt idx="21">
                  <c:v>97.781126261923788</c:v>
                </c:pt>
                <c:pt idx="22">
                  <c:v>97.781126261923788</c:v>
                </c:pt>
                <c:pt idx="23">
                  <c:v>97.781126261923788</c:v>
                </c:pt>
                <c:pt idx="24">
                  <c:v>97.781126261923788</c:v>
                </c:pt>
                <c:pt idx="25">
                  <c:v>97.781126261923788</c:v>
                </c:pt>
                <c:pt idx="26">
                  <c:v>97.781126261923788</c:v>
                </c:pt>
                <c:pt idx="27">
                  <c:v>97.781126261923788</c:v>
                </c:pt>
                <c:pt idx="28">
                  <c:v>97.781126261923788</c:v>
                </c:pt>
                <c:pt idx="29">
                  <c:v>97.781126261923788</c:v>
                </c:pt>
                <c:pt idx="30">
                  <c:v>97.781126261923788</c:v>
                </c:pt>
                <c:pt idx="31">
                  <c:v>97.781126261923788</c:v>
                </c:pt>
                <c:pt idx="32">
                  <c:v>97.781126261923788</c:v>
                </c:pt>
                <c:pt idx="33">
                  <c:v>97.781126261923788</c:v>
                </c:pt>
                <c:pt idx="34">
                  <c:v>97.781126261923788</c:v>
                </c:pt>
                <c:pt idx="35">
                  <c:v>97.781126261923788</c:v>
                </c:pt>
                <c:pt idx="36">
                  <c:v>97.781126261923788</c:v>
                </c:pt>
                <c:pt idx="37">
                  <c:v>97.781126261923788</c:v>
                </c:pt>
                <c:pt idx="38">
                  <c:v>97.781126261923788</c:v>
                </c:pt>
                <c:pt idx="39">
                  <c:v>97.781126261923788</c:v>
                </c:pt>
                <c:pt idx="40">
                  <c:v>97.781126261923788</c:v>
                </c:pt>
                <c:pt idx="41">
                  <c:v>97.781126261923788</c:v>
                </c:pt>
                <c:pt idx="42">
                  <c:v>97.781126261923788</c:v>
                </c:pt>
                <c:pt idx="43">
                  <c:v>97.781126261923788</c:v>
                </c:pt>
                <c:pt idx="44">
                  <c:v>97.781126261923788</c:v>
                </c:pt>
                <c:pt idx="45">
                  <c:v>97.781126261923788</c:v>
                </c:pt>
                <c:pt idx="46">
                  <c:v>97.781126261923788</c:v>
                </c:pt>
                <c:pt idx="47">
                  <c:v>97.781126261923788</c:v>
                </c:pt>
                <c:pt idx="48">
                  <c:v>97.781126261923788</c:v>
                </c:pt>
                <c:pt idx="49">
                  <c:v>97.781126261923788</c:v>
                </c:pt>
                <c:pt idx="50">
                  <c:v>97.781126261923788</c:v>
                </c:pt>
                <c:pt idx="51">
                  <c:v>97.781126261923788</c:v>
                </c:pt>
                <c:pt idx="52">
                  <c:v>97.781126261923788</c:v>
                </c:pt>
                <c:pt idx="53">
                  <c:v>97.781126261923788</c:v>
                </c:pt>
                <c:pt idx="54">
                  <c:v>97.781126261923788</c:v>
                </c:pt>
                <c:pt idx="55">
                  <c:v>97.781126261923788</c:v>
                </c:pt>
                <c:pt idx="56">
                  <c:v>97.781126261923788</c:v>
                </c:pt>
                <c:pt idx="57">
                  <c:v>97.781126261923788</c:v>
                </c:pt>
                <c:pt idx="58">
                  <c:v>97.781126261923788</c:v>
                </c:pt>
                <c:pt idx="59">
                  <c:v>97.781126261923788</c:v>
                </c:pt>
                <c:pt idx="60">
                  <c:v>97.781126261923788</c:v>
                </c:pt>
                <c:pt idx="61">
                  <c:v>97.781126261923788</c:v>
                </c:pt>
                <c:pt idx="62">
                  <c:v>97.781126261923788</c:v>
                </c:pt>
                <c:pt idx="63">
                  <c:v>97.781126261923788</c:v>
                </c:pt>
                <c:pt idx="64">
                  <c:v>97.781126261923788</c:v>
                </c:pt>
                <c:pt idx="65">
                  <c:v>97.781126261923788</c:v>
                </c:pt>
                <c:pt idx="66">
                  <c:v>97.781126261923788</c:v>
                </c:pt>
                <c:pt idx="67">
                  <c:v>97.781126261923788</c:v>
                </c:pt>
                <c:pt idx="68">
                  <c:v>97.781126261923788</c:v>
                </c:pt>
                <c:pt idx="69">
                  <c:v>97.781126261923788</c:v>
                </c:pt>
                <c:pt idx="70">
                  <c:v>97.781126261923788</c:v>
                </c:pt>
                <c:pt idx="71">
                  <c:v>97.781126261923788</c:v>
                </c:pt>
                <c:pt idx="72">
                  <c:v>97.781126261923788</c:v>
                </c:pt>
                <c:pt idx="73">
                  <c:v>97.781126261923788</c:v>
                </c:pt>
                <c:pt idx="74">
                  <c:v>97.781126261923788</c:v>
                </c:pt>
                <c:pt idx="75">
                  <c:v>97.781126261923788</c:v>
                </c:pt>
                <c:pt idx="76">
                  <c:v>97.781126261923788</c:v>
                </c:pt>
                <c:pt idx="77">
                  <c:v>97.781126261923788</c:v>
                </c:pt>
                <c:pt idx="78">
                  <c:v>97.781126261923788</c:v>
                </c:pt>
                <c:pt idx="79">
                  <c:v>97.781126261923788</c:v>
                </c:pt>
                <c:pt idx="80">
                  <c:v>97.781126261923788</c:v>
                </c:pt>
                <c:pt idx="81">
                  <c:v>97.781126261923788</c:v>
                </c:pt>
                <c:pt idx="82">
                  <c:v>97.781126261923788</c:v>
                </c:pt>
                <c:pt idx="83">
                  <c:v>97.781126261923788</c:v>
                </c:pt>
                <c:pt idx="84">
                  <c:v>97.781126261923788</c:v>
                </c:pt>
                <c:pt idx="85">
                  <c:v>97.781126261923788</c:v>
                </c:pt>
                <c:pt idx="86">
                  <c:v>97.781126261923788</c:v>
                </c:pt>
                <c:pt idx="87">
                  <c:v>97.781126261923788</c:v>
                </c:pt>
                <c:pt idx="88">
                  <c:v>97.781126261923788</c:v>
                </c:pt>
                <c:pt idx="89">
                  <c:v>97.781126261923788</c:v>
                </c:pt>
                <c:pt idx="90">
                  <c:v>97.781126261923788</c:v>
                </c:pt>
                <c:pt idx="91">
                  <c:v>97.781126261923788</c:v>
                </c:pt>
                <c:pt idx="92">
                  <c:v>97.781126261923788</c:v>
                </c:pt>
                <c:pt idx="93">
                  <c:v>97.781126261923788</c:v>
                </c:pt>
                <c:pt idx="94">
                  <c:v>97.781126261923788</c:v>
                </c:pt>
                <c:pt idx="95">
                  <c:v>97.781126261923788</c:v>
                </c:pt>
                <c:pt idx="96">
                  <c:v>97.781126261923788</c:v>
                </c:pt>
                <c:pt idx="97">
                  <c:v>97.781126261923788</c:v>
                </c:pt>
                <c:pt idx="98">
                  <c:v>97.781126261923788</c:v>
                </c:pt>
                <c:pt idx="99">
                  <c:v>97.781126261923788</c:v>
                </c:pt>
                <c:pt idx="100">
                  <c:v>97.781126261923788</c:v>
                </c:pt>
                <c:pt idx="101">
                  <c:v>97.781126261923788</c:v>
                </c:pt>
                <c:pt idx="102">
                  <c:v>97.781126261923788</c:v>
                </c:pt>
                <c:pt idx="103">
                  <c:v>97.781126261923788</c:v>
                </c:pt>
                <c:pt idx="104">
                  <c:v>97.781126261923788</c:v>
                </c:pt>
                <c:pt idx="105">
                  <c:v>97.781126261923788</c:v>
                </c:pt>
                <c:pt idx="106">
                  <c:v>97.781126261923788</c:v>
                </c:pt>
                <c:pt idx="107">
                  <c:v>97.781126261923788</c:v>
                </c:pt>
                <c:pt idx="108">
                  <c:v>97.781126261923788</c:v>
                </c:pt>
                <c:pt idx="109">
                  <c:v>97.781126261923788</c:v>
                </c:pt>
                <c:pt idx="110">
                  <c:v>97.781126261923788</c:v>
                </c:pt>
                <c:pt idx="111">
                  <c:v>97.781126261923788</c:v>
                </c:pt>
                <c:pt idx="112">
                  <c:v>97.781126261923788</c:v>
                </c:pt>
                <c:pt idx="113">
                  <c:v>97.781126261923788</c:v>
                </c:pt>
                <c:pt idx="114">
                  <c:v>97.781126261923788</c:v>
                </c:pt>
                <c:pt idx="115">
                  <c:v>97.781126261923788</c:v>
                </c:pt>
                <c:pt idx="116">
                  <c:v>97.781126261923788</c:v>
                </c:pt>
                <c:pt idx="117">
                  <c:v>97.781126261923788</c:v>
                </c:pt>
                <c:pt idx="118">
                  <c:v>97.781126261923788</c:v>
                </c:pt>
                <c:pt idx="119">
                  <c:v>97.781126261923788</c:v>
                </c:pt>
                <c:pt idx="120">
                  <c:v>97.781126261923788</c:v>
                </c:pt>
                <c:pt idx="121">
                  <c:v>97.781126261923788</c:v>
                </c:pt>
                <c:pt idx="122">
                  <c:v>97.781126261923788</c:v>
                </c:pt>
                <c:pt idx="123">
                  <c:v>97.781126261923788</c:v>
                </c:pt>
                <c:pt idx="124">
                  <c:v>97.781126261923788</c:v>
                </c:pt>
                <c:pt idx="125">
                  <c:v>97.781126261923788</c:v>
                </c:pt>
                <c:pt idx="126">
                  <c:v>97.781126261923788</c:v>
                </c:pt>
                <c:pt idx="127">
                  <c:v>97.781126261923788</c:v>
                </c:pt>
                <c:pt idx="128">
                  <c:v>97.781126261923788</c:v>
                </c:pt>
                <c:pt idx="129">
                  <c:v>97.781126261923788</c:v>
                </c:pt>
                <c:pt idx="130">
                  <c:v>97.781126261923788</c:v>
                </c:pt>
                <c:pt idx="131">
                  <c:v>97.781126261923788</c:v>
                </c:pt>
                <c:pt idx="132">
                  <c:v>97.781126261923788</c:v>
                </c:pt>
                <c:pt idx="133">
                  <c:v>97.781126261923788</c:v>
                </c:pt>
                <c:pt idx="134">
                  <c:v>97.781126261923788</c:v>
                </c:pt>
                <c:pt idx="135">
                  <c:v>97.781126261923788</c:v>
                </c:pt>
                <c:pt idx="136">
                  <c:v>97.781126261923788</c:v>
                </c:pt>
                <c:pt idx="137">
                  <c:v>97.781126261923788</c:v>
                </c:pt>
                <c:pt idx="138">
                  <c:v>97.781126261923788</c:v>
                </c:pt>
                <c:pt idx="139">
                  <c:v>97.781126261923788</c:v>
                </c:pt>
                <c:pt idx="140">
                  <c:v>97.781126261923788</c:v>
                </c:pt>
                <c:pt idx="141">
                  <c:v>97.781126261923788</c:v>
                </c:pt>
                <c:pt idx="142">
                  <c:v>97.781126261923788</c:v>
                </c:pt>
                <c:pt idx="143">
                  <c:v>97.781126261923788</c:v>
                </c:pt>
                <c:pt idx="144">
                  <c:v>97.781126261923788</c:v>
                </c:pt>
                <c:pt idx="145">
                  <c:v>97.781126261923788</c:v>
                </c:pt>
                <c:pt idx="146">
                  <c:v>97.781126261923788</c:v>
                </c:pt>
                <c:pt idx="147">
                  <c:v>97.781126261923788</c:v>
                </c:pt>
                <c:pt idx="148">
                  <c:v>97.781126261923788</c:v>
                </c:pt>
                <c:pt idx="149">
                  <c:v>97.781126261923788</c:v>
                </c:pt>
                <c:pt idx="150">
                  <c:v>97.781126261923788</c:v>
                </c:pt>
                <c:pt idx="151">
                  <c:v>97.781126261923788</c:v>
                </c:pt>
                <c:pt idx="152">
                  <c:v>97.781126261923788</c:v>
                </c:pt>
                <c:pt idx="153">
                  <c:v>97.781126261923788</c:v>
                </c:pt>
                <c:pt idx="154">
                  <c:v>97.781126261923788</c:v>
                </c:pt>
                <c:pt idx="155">
                  <c:v>97.781126261923788</c:v>
                </c:pt>
                <c:pt idx="156">
                  <c:v>97.781126261923788</c:v>
                </c:pt>
                <c:pt idx="157">
                  <c:v>97.781126261923788</c:v>
                </c:pt>
                <c:pt idx="158">
                  <c:v>97.781126261923788</c:v>
                </c:pt>
                <c:pt idx="159">
                  <c:v>97.781126261923788</c:v>
                </c:pt>
                <c:pt idx="160">
                  <c:v>97.781126261923788</c:v>
                </c:pt>
                <c:pt idx="161">
                  <c:v>97.781126261923788</c:v>
                </c:pt>
                <c:pt idx="162">
                  <c:v>97.781126261923788</c:v>
                </c:pt>
                <c:pt idx="163">
                  <c:v>97.781126261923788</c:v>
                </c:pt>
                <c:pt idx="164">
                  <c:v>97.781126261923788</c:v>
                </c:pt>
                <c:pt idx="165">
                  <c:v>97.781126261923788</c:v>
                </c:pt>
                <c:pt idx="166">
                  <c:v>97.781126261923788</c:v>
                </c:pt>
                <c:pt idx="167">
                  <c:v>97.781126261923788</c:v>
                </c:pt>
                <c:pt idx="168">
                  <c:v>97.781126261923788</c:v>
                </c:pt>
                <c:pt idx="169">
                  <c:v>97.781126261923788</c:v>
                </c:pt>
                <c:pt idx="170">
                  <c:v>97.781126261923788</c:v>
                </c:pt>
                <c:pt idx="171">
                  <c:v>97.781126261923788</c:v>
                </c:pt>
                <c:pt idx="172">
                  <c:v>97.781126261923788</c:v>
                </c:pt>
                <c:pt idx="173">
                  <c:v>97.781126261923788</c:v>
                </c:pt>
                <c:pt idx="174">
                  <c:v>97.781126261923788</c:v>
                </c:pt>
                <c:pt idx="175">
                  <c:v>97.781126261923788</c:v>
                </c:pt>
                <c:pt idx="176">
                  <c:v>97.781126261923788</c:v>
                </c:pt>
                <c:pt idx="177">
                  <c:v>97.781126261923788</c:v>
                </c:pt>
                <c:pt idx="178">
                  <c:v>97.781126261923788</c:v>
                </c:pt>
                <c:pt idx="179">
                  <c:v>97.781126261923788</c:v>
                </c:pt>
                <c:pt idx="180">
                  <c:v>97.781126261923788</c:v>
                </c:pt>
                <c:pt idx="181">
                  <c:v>97.781126261923788</c:v>
                </c:pt>
                <c:pt idx="182">
                  <c:v>97.781126261923788</c:v>
                </c:pt>
                <c:pt idx="183">
                  <c:v>97.781126261923788</c:v>
                </c:pt>
                <c:pt idx="184">
                  <c:v>97.781126261923788</c:v>
                </c:pt>
                <c:pt idx="185">
                  <c:v>97.781126261923788</c:v>
                </c:pt>
                <c:pt idx="186">
                  <c:v>97.781126261923788</c:v>
                </c:pt>
                <c:pt idx="187">
                  <c:v>97.781126261923788</c:v>
                </c:pt>
                <c:pt idx="188">
                  <c:v>97.781126261923788</c:v>
                </c:pt>
                <c:pt idx="189">
                  <c:v>97.781126261923788</c:v>
                </c:pt>
                <c:pt idx="190">
                  <c:v>97.781126261923788</c:v>
                </c:pt>
                <c:pt idx="191">
                  <c:v>97.781126261923788</c:v>
                </c:pt>
                <c:pt idx="192">
                  <c:v>97.781126261923788</c:v>
                </c:pt>
                <c:pt idx="193">
                  <c:v>97.781126261923788</c:v>
                </c:pt>
                <c:pt idx="194">
                  <c:v>97.781126261923788</c:v>
                </c:pt>
                <c:pt idx="195">
                  <c:v>97.781126261923788</c:v>
                </c:pt>
                <c:pt idx="196">
                  <c:v>97.781126261923788</c:v>
                </c:pt>
                <c:pt idx="197">
                  <c:v>97.781126261923788</c:v>
                </c:pt>
                <c:pt idx="198">
                  <c:v>97.781126261923788</c:v>
                </c:pt>
                <c:pt idx="199">
                  <c:v>97.781126261923788</c:v>
                </c:pt>
                <c:pt idx="200">
                  <c:v>97.781126261923788</c:v>
                </c:pt>
                <c:pt idx="201">
                  <c:v>97.781126261923788</c:v>
                </c:pt>
                <c:pt idx="202">
                  <c:v>97.781126261923788</c:v>
                </c:pt>
                <c:pt idx="203">
                  <c:v>97.781126261923788</c:v>
                </c:pt>
                <c:pt idx="204">
                  <c:v>97.781126261923788</c:v>
                </c:pt>
                <c:pt idx="205">
                  <c:v>97.781126261923788</c:v>
                </c:pt>
                <c:pt idx="206">
                  <c:v>97.781126261923788</c:v>
                </c:pt>
                <c:pt idx="207">
                  <c:v>97.781126261923788</c:v>
                </c:pt>
                <c:pt idx="208">
                  <c:v>97.781126261923788</c:v>
                </c:pt>
                <c:pt idx="209">
                  <c:v>97.781126261923788</c:v>
                </c:pt>
                <c:pt idx="210">
                  <c:v>97.781126261923788</c:v>
                </c:pt>
                <c:pt idx="211">
                  <c:v>97.781126261923788</c:v>
                </c:pt>
                <c:pt idx="212">
                  <c:v>97.781126261923788</c:v>
                </c:pt>
                <c:pt idx="213">
                  <c:v>97.781126261923788</c:v>
                </c:pt>
                <c:pt idx="214">
                  <c:v>97.781126261923788</c:v>
                </c:pt>
                <c:pt idx="215">
                  <c:v>97.781126261923788</c:v>
                </c:pt>
                <c:pt idx="216">
                  <c:v>97.781126261923788</c:v>
                </c:pt>
                <c:pt idx="217">
                  <c:v>97.781126261923788</c:v>
                </c:pt>
                <c:pt idx="218">
                  <c:v>97.781126261923788</c:v>
                </c:pt>
                <c:pt idx="219">
                  <c:v>97.781126261923788</c:v>
                </c:pt>
                <c:pt idx="220">
                  <c:v>97.781126261923788</c:v>
                </c:pt>
                <c:pt idx="221">
                  <c:v>97.781126261923788</c:v>
                </c:pt>
                <c:pt idx="222">
                  <c:v>97.781126261923788</c:v>
                </c:pt>
                <c:pt idx="223">
                  <c:v>97.781126261923788</c:v>
                </c:pt>
                <c:pt idx="224">
                  <c:v>97.781126261923788</c:v>
                </c:pt>
                <c:pt idx="225">
                  <c:v>97.781126261923788</c:v>
                </c:pt>
                <c:pt idx="226">
                  <c:v>97.781126261923788</c:v>
                </c:pt>
                <c:pt idx="227">
                  <c:v>97.781126261923788</c:v>
                </c:pt>
                <c:pt idx="228">
                  <c:v>97.781126261923788</c:v>
                </c:pt>
                <c:pt idx="229">
                  <c:v>97.781126261923788</c:v>
                </c:pt>
                <c:pt idx="230">
                  <c:v>97.781126261923788</c:v>
                </c:pt>
                <c:pt idx="231">
                  <c:v>97.781126261923788</c:v>
                </c:pt>
                <c:pt idx="232">
                  <c:v>97.781126261923788</c:v>
                </c:pt>
                <c:pt idx="233">
                  <c:v>97.781126261923788</c:v>
                </c:pt>
                <c:pt idx="234">
                  <c:v>97.781126261923788</c:v>
                </c:pt>
                <c:pt idx="235">
                  <c:v>97.781126261923788</c:v>
                </c:pt>
                <c:pt idx="236">
                  <c:v>97.781126261923788</c:v>
                </c:pt>
                <c:pt idx="237">
                  <c:v>97.781126261923788</c:v>
                </c:pt>
                <c:pt idx="238">
                  <c:v>97.781126261923788</c:v>
                </c:pt>
                <c:pt idx="239">
                  <c:v>97.781126261923788</c:v>
                </c:pt>
                <c:pt idx="240">
                  <c:v>97.781126261923788</c:v>
                </c:pt>
                <c:pt idx="241">
                  <c:v>97.781126261923788</c:v>
                </c:pt>
                <c:pt idx="242">
                  <c:v>97.781126261923788</c:v>
                </c:pt>
                <c:pt idx="243">
                  <c:v>97.781126261923788</c:v>
                </c:pt>
                <c:pt idx="244">
                  <c:v>97.781126261923788</c:v>
                </c:pt>
                <c:pt idx="245">
                  <c:v>97.781126261923788</c:v>
                </c:pt>
                <c:pt idx="246">
                  <c:v>97.781126261923788</c:v>
                </c:pt>
                <c:pt idx="247">
                  <c:v>97.781126261923788</c:v>
                </c:pt>
                <c:pt idx="248">
                  <c:v>97.781126261923788</c:v>
                </c:pt>
                <c:pt idx="249">
                  <c:v>97.781126261923788</c:v>
                </c:pt>
                <c:pt idx="250">
                  <c:v>97.781126261923788</c:v>
                </c:pt>
                <c:pt idx="251">
                  <c:v>97.781126261923788</c:v>
                </c:pt>
                <c:pt idx="252">
                  <c:v>97.781126261923788</c:v>
                </c:pt>
                <c:pt idx="253">
                  <c:v>97.781126261923788</c:v>
                </c:pt>
                <c:pt idx="254">
                  <c:v>97.781126261923788</c:v>
                </c:pt>
                <c:pt idx="255">
                  <c:v>97.781126261923788</c:v>
                </c:pt>
                <c:pt idx="256">
                  <c:v>97.781126261923788</c:v>
                </c:pt>
                <c:pt idx="257">
                  <c:v>97.781126261923788</c:v>
                </c:pt>
                <c:pt idx="258">
                  <c:v>97.781126261923788</c:v>
                </c:pt>
                <c:pt idx="259">
                  <c:v>97.781126261923788</c:v>
                </c:pt>
                <c:pt idx="260">
                  <c:v>97.781126261923788</c:v>
                </c:pt>
                <c:pt idx="261">
                  <c:v>97.781126261923788</c:v>
                </c:pt>
                <c:pt idx="262">
                  <c:v>97.781126261923788</c:v>
                </c:pt>
                <c:pt idx="263">
                  <c:v>97.781126261923788</c:v>
                </c:pt>
                <c:pt idx="264">
                  <c:v>97.781126261923788</c:v>
                </c:pt>
                <c:pt idx="265">
                  <c:v>97.781126261923788</c:v>
                </c:pt>
                <c:pt idx="266">
                  <c:v>97.781126261923788</c:v>
                </c:pt>
                <c:pt idx="267">
                  <c:v>97.781126261923788</c:v>
                </c:pt>
                <c:pt idx="268">
                  <c:v>97.781126261923788</c:v>
                </c:pt>
                <c:pt idx="269">
                  <c:v>97.781126261923788</c:v>
                </c:pt>
                <c:pt idx="270">
                  <c:v>97.781126261923788</c:v>
                </c:pt>
                <c:pt idx="271">
                  <c:v>97.781126261923788</c:v>
                </c:pt>
                <c:pt idx="272">
                  <c:v>97.781126261923788</c:v>
                </c:pt>
                <c:pt idx="273">
                  <c:v>97.781126261923788</c:v>
                </c:pt>
                <c:pt idx="274">
                  <c:v>97.781126261923788</c:v>
                </c:pt>
                <c:pt idx="275">
                  <c:v>97.781126261923788</c:v>
                </c:pt>
                <c:pt idx="276">
                  <c:v>97.781126261923788</c:v>
                </c:pt>
                <c:pt idx="277">
                  <c:v>97.781126261923788</c:v>
                </c:pt>
                <c:pt idx="278">
                  <c:v>97.781126261923788</c:v>
                </c:pt>
                <c:pt idx="279">
                  <c:v>97.781126261923788</c:v>
                </c:pt>
                <c:pt idx="280">
                  <c:v>97.781126261923788</c:v>
                </c:pt>
                <c:pt idx="281">
                  <c:v>97.781126261923788</c:v>
                </c:pt>
                <c:pt idx="282">
                  <c:v>97.781126261923788</c:v>
                </c:pt>
                <c:pt idx="283">
                  <c:v>97.781126261923788</c:v>
                </c:pt>
                <c:pt idx="284">
                  <c:v>97.781126261923788</c:v>
                </c:pt>
                <c:pt idx="285">
                  <c:v>97.781126261923788</c:v>
                </c:pt>
                <c:pt idx="286">
                  <c:v>97.781126261923788</c:v>
                </c:pt>
                <c:pt idx="287">
                  <c:v>97.781126261923788</c:v>
                </c:pt>
                <c:pt idx="288">
                  <c:v>97.781126261923788</c:v>
                </c:pt>
                <c:pt idx="289">
                  <c:v>97.781126261923788</c:v>
                </c:pt>
                <c:pt idx="290">
                  <c:v>97.781126261923788</c:v>
                </c:pt>
                <c:pt idx="291">
                  <c:v>97.781126261923788</c:v>
                </c:pt>
                <c:pt idx="292">
                  <c:v>97.781126261923788</c:v>
                </c:pt>
                <c:pt idx="293">
                  <c:v>97.781126261923788</c:v>
                </c:pt>
                <c:pt idx="294">
                  <c:v>97.781126261923788</c:v>
                </c:pt>
                <c:pt idx="295">
                  <c:v>97.781126261923788</c:v>
                </c:pt>
                <c:pt idx="296">
                  <c:v>97.781126261923788</c:v>
                </c:pt>
                <c:pt idx="297">
                  <c:v>97.781126261923788</c:v>
                </c:pt>
                <c:pt idx="298">
                  <c:v>97.781126261923788</c:v>
                </c:pt>
                <c:pt idx="299">
                  <c:v>97.781126261923788</c:v>
                </c:pt>
                <c:pt idx="300">
                  <c:v>97.781126261923788</c:v>
                </c:pt>
                <c:pt idx="301">
                  <c:v>97.781126261923788</c:v>
                </c:pt>
                <c:pt idx="302">
                  <c:v>97.781126261923788</c:v>
                </c:pt>
                <c:pt idx="303">
                  <c:v>97.781126261923788</c:v>
                </c:pt>
                <c:pt idx="304">
                  <c:v>97.781126261923788</c:v>
                </c:pt>
                <c:pt idx="305">
                  <c:v>97.781126261923788</c:v>
                </c:pt>
                <c:pt idx="306">
                  <c:v>97.781126261923788</c:v>
                </c:pt>
                <c:pt idx="307">
                  <c:v>97.781126261923788</c:v>
                </c:pt>
                <c:pt idx="308">
                  <c:v>97.781126261923788</c:v>
                </c:pt>
                <c:pt idx="309">
                  <c:v>97.781126261923788</c:v>
                </c:pt>
                <c:pt idx="310">
                  <c:v>97.781126261923788</c:v>
                </c:pt>
                <c:pt idx="311">
                  <c:v>97.781126261923788</c:v>
                </c:pt>
                <c:pt idx="312">
                  <c:v>97.781126261923788</c:v>
                </c:pt>
                <c:pt idx="313">
                  <c:v>97.781126261923788</c:v>
                </c:pt>
                <c:pt idx="314">
                  <c:v>97.781126261923788</c:v>
                </c:pt>
                <c:pt idx="315">
                  <c:v>97.781126261923788</c:v>
                </c:pt>
                <c:pt idx="316">
                  <c:v>97.781126261923788</c:v>
                </c:pt>
                <c:pt idx="317">
                  <c:v>97.781126261923788</c:v>
                </c:pt>
                <c:pt idx="318">
                  <c:v>97.781126261923788</c:v>
                </c:pt>
                <c:pt idx="319">
                  <c:v>97.781126261923788</c:v>
                </c:pt>
                <c:pt idx="320">
                  <c:v>97.781126261923788</c:v>
                </c:pt>
                <c:pt idx="321">
                  <c:v>97.781126261923788</c:v>
                </c:pt>
                <c:pt idx="322">
                  <c:v>97.781126261923788</c:v>
                </c:pt>
                <c:pt idx="323">
                  <c:v>97.781126261923788</c:v>
                </c:pt>
                <c:pt idx="324">
                  <c:v>97.781126261923788</c:v>
                </c:pt>
                <c:pt idx="325">
                  <c:v>97.781126261923788</c:v>
                </c:pt>
                <c:pt idx="326">
                  <c:v>97.781126261923788</c:v>
                </c:pt>
                <c:pt idx="327">
                  <c:v>97.781126261923788</c:v>
                </c:pt>
                <c:pt idx="328">
                  <c:v>97.781126261923788</c:v>
                </c:pt>
                <c:pt idx="329">
                  <c:v>97.781126261923788</c:v>
                </c:pt>
                <c:pt idx="330">
                  <c:v>97.781126261923788</c:v>
                </c:pt>
                <c:pt idx="331">
                  <c:v>97.781126261923788</c:v>
                </c:pt>
                <c:pt idx="332">
                  <c:v>97.781126261923788</c:v>
                </c:pt>
                <c:pt idx="333">
                  <c:v>97.781126261923788</c:v>
                </c:pt>
                <c:pt idx="334">
                  <c:v>97.781126261923788</c:v>
                </c:pt>
                <c:pt idx="335">
                  <c:v>97.781126261923788</c:v>
                </c:pt>
                <c:pt idx="336">
                  <c:v>97.781126261923788</c:v>
                </c:pt>
                <c:pt idx="337">
                  <c:v>97.781126261923788</c:v>
                </c:pt>
                <c:pt idx="338">
                  <c:v>97.781126261923788</c:v>
                </c:pt>
                <c:pt idx="339">
                  <c:v>97.781126261923788</c:v>
                </c:pt>
                <c:pt idx="340">
                  <c:v>97.781126261923788</c:v>
                </c:pt>
                <c:pt idx="341">
                  <c:v>97.781126261923788</c:v>
                </c:pt>
                <c:pt idx="342">
                  <c:v>97.781126261923788</c:v>
                </c:pt>
                <c:pt idx="343">
                  <c:v>97.781126261923788</c:v>
                </c:pt>
                <c:pt idx="344">
                  <c:v>97.781126261923788</c:v>
                </c:pt>
                <c:pt idx="345">
                  <c:v>97.781126261923788</c:v>
                </c:pt>
                <c:pt idx="346">
                  <c:v>97.781126261923788</c:v>
                </c:pt>
                <c:pt idx="347">
                  <c:v>97.781126261923788</c:v>
                </c:pt>
                <c:pt idx="348">
                  <c:v>97.781126261923788</c:v>
                </c:pt>
                <c:pt idx="349">
                  <c:v>97.781126261923788</c:v>
                </c:pt>
                <c:pt idx="350">
                  <c:v>97.781126261923788</c:v>
                </c:pt>
                <c:pt idx="351">
                  <c:v>97.781126261923788</c:v>
                </c:pt>
                <c:pt idx="352">
                  <c:v>97.781126261923788</c:v>
                </c:pt>
                <c:pt idx="353">
                  <c:v>97.781126261923788</c:v>
                </c:pt>
                <c:pt idx="354">
                  <c:v>97.781126261923788</c:v>
                </c:pt>
                <c:pt idx="355">
                  <c:v>97.781126261923788</c:v>
                </c:pt>
                <c:pt idx="356">
                  <c:v>97.781126261923788</c:v>
                </c:pt>
                <c:pt idx="357">
                  <c:v>97.781126261923788</c:v>
                </c:pt>
                <c:pt idx="358">
                  <c:v>97.781126261923788</c:v>
                </c:pt>
                <c:pt idx="359">
                  <c:v>97.781126261923788</c:v>
                </c:pt>
                <c:pt idx="360">
                  <c:v>97.781126261923788</c:v>
                </c:pt>
                <c:pt idx="361">
                  <c:v>97.781126261923788</c:v>
                </c:pt>
                <c:pt idx="362">
                  <c:v>97.781126261923788</c:v>
                </c:pt>
                <c:pt idx="363">
                  <c:v>97.781126261923788</c:v>
                </c:pt>
                <c:pt idx="364">
                  <c:v>97.781126261923788</c:v>
                </c:pt>
                <c:pt idx="365">
                  <c:v>97.781126261923788</c:v>
                </c:pt>
                <c:pt idx="366">
                  <c:v>97.781126261923788</c:v>
                </c:pt>
                <c:pt idx="367">
                  <c:v>97.781126261923788</c:v>
                </c:pt>
                <c:pt idx="368">
                  <c:v>97.781126261923788</c:v>
                </c:pt>
                <c:pt idx="369">
                  <c:v>97.781126261923788</c:v>
                </c:pt>
                <c:pt idx="370">
                  <c:v>97.781126261923788</c:v>
                </c:pt>
                <c:pt idx="371">
                  <c:v>97.781126261923788</c:v>
                </c:pt>
                <c:pt idx="372">
                  <c:v>97.781126261923788</c:v>
                </c:pt>
                <c:pt idx="373">
                  <c:v>97.781126261923788</c:v>
                </c:pt>
                <c:pt idx="374">
                  <c:v>97.781126261923788</c:v>
                </c:pt>
                <c:pt idx="375">
                  <c:v>97.781126261923788</c:v>
                </c:pt>
                <c:pt idx="376">
                  <c:v>97.781126261923788</c:v>
                </c:pt>
                <c:pt idx="377">
                  <c:v>97.781126261923788</c:v>
                </c:pt>
                <c:pt idx="378">
                  <c:v>97.781126261923788</c:v>
                </c:pt>
                <c:pt idx="379">
                  <c:v>97.781126261923788</c:v>
                </c:pt>
                <c:pt idx="380">
                  <c:v>97.781126261923788</c:v>
                </c:pt>
                <c:pt idx="381">
                  <c:v>97.781126261923788</c:v>
                </c:pt>
                <c:pt idx="382">
                  <c:v>97.781126261923788</c:v>
                </c:pt>
                <c:pt idx="383">
                  <c:v>97.781126261923788</c:v>
                </c:pt>
                <c:pt idx="384">
                  <c:v>97.781126261923788</c:v>
                </c:pt>
                <c:pt idx="385">
                  <c:v>97.781126261923788</c:v>
                </c:pt>
                <c:pt idx="386">
                  <c:v>97.781126261923788</c:v>
                </c:pt>
                <c:pt idx="387">
                  <c:v>97.781126261923788</c:v>
                </c:pt>
                <c:pt idx="388">
                  <c:v>97.781126261923788</c:v>
                </c:pt>
                <c:pt idx="389">
                  <c:v>97.781126261923788</c:v>
                </c:pt>
                <c:pt idx="390">
                  <c:v>97.781126261923788</c:v>
                </c:pt>
                <c:pt idx="391">
                  <c:v>97.781126261923788</c:v>
                </c:pt>
                <c:pt idx="392">
                  <c:v>97.781126261923788</c:v>
                </c:pt>
                <c:pt idx="393">
                  <c:v>97.781126261923788</c:v>
                </c:pt>
                <c:pt idx="394">
                  <c:v>97.781126261923788</c:v>
                </c:pt>
                <c:pt idx="395">
                  <c:v>97.781126261923788</c:v>
                </c:pt>
                <c:pt idx="396">
                  <c:v>97.781126261923788</c:v>
                </c:pt>
                <c:pt idx="397">
                  <c:v>97.781126261923788</c:v>
                </c:pt>
                <c:pt idx="398">
                  <c:v>97.781126261923788</c:v>
                </c:pt>
                <c:pt idx="399">
                  <c:v>97.781126261923788</c:v>
                </c:pt>
                <c:pt idx="400">
                  <c:v>97.781126261923788</c:v>
                </c:pt>
                <c:pt idx="401">
                  <c:v>97.781126261923788</c:v>
                </c:pt>
                <c:pt idx="402">
                  <c:v>97.781126261923788</c:v>
                </c:pt>
                <c:pt idx="403">
                  <c:v>97.781126261923788</c:v>
                </c:pt>
                <c:pt idx="404">
                  <c:v>97.781126261923788</c:v>
                </c:pt>
                <c:pt idx="405">
                  <c:v>97.781126261923788</c:v>
                </c:pt>
                <c:pt idx="406">
                  <c:v>97.781126261923788</c:v>
                </c:pt>
                <c:pt idx="407">
                  <c:v>97.781126261923788</c:v>
                </c:pt>
                <c:pt idx="408">
                  <c:v>97.781126261923788</c:v>
                </c:pt>
                <c:pt idx="409">
                  <c:v>97.781126261923788</c:v>
                </c:pt>
                <c:pt idx="410">
                  <c:v>97.781126261923788</c:v>
                </c:pt>
                <c:pt idx="411">
                  <c:v>97.781126261923788</c:v>
                </c:pt>
                <c:pt idx="412">
                  <c:v>97.781126261923788</c:v>
                </c:pt>
                <c:pt idx="413">
                  <c:v>97.781126261923788</c:v>
                </c:pt>
                <c:pt idx="414">
                  <c:v>97.781126261923788</c:v>
                </c:pt>
                <c:pt idx="415">
                  <c:v>97.781126261923788</c:v>
                </c:pt>
                <c:pt idx="416">
                  <c:v>97.781126261923788</c:v>
                </c:pt>
                <c:pt idx="417">
                  <c:v>97.781126261923788</c:v>
                </c:pt>
                <c:pt idx="418">
                  <c:v>97.781126261923788</c:v>
                </c:pt>
                <c:pt idx="419">
                  <c:v>97.781126261923788</c:v>
                </c:pt>
                <c:pt idx="420">
                  <c:v>97.781126261923788</c:v>
                </c:pt>
                <c:pt idx="421">
                  <c:v>97.781126261923788</c:v>
                </c:pt>
                <c:pt idx="422">
                  <c:v>97.781126261923788</c:v>
                </c:pt>
                <c:pt idx="423">
                  <c:v>97.781126261923788</c:v>
                </c:pt>
                <c:pt idx="424">
                  <c:v>97.781126261923788</c:v>
                </c:pt>
                <c:pt idx="425">
                  <c:v>97.781126261923788</c:v>
                </c:pt>
                <c:pt idx="426">
                  <c:v>97.781126261923788</c:v>
                </c:pt>
                <c:pt idx="427">
                  <c:v>97.781126261923788</c:v>
                </c:pt>
                <c:pt idx="428">
                  <c:v>97.781126261923788</c:v>
                </c:pt>
                <c:pt idx="429">
                  <c:v>97.781126261923788</c:v>
                </c:pt>
                <c:pt idx="430">
                  <c:v>97.781126261923788</c:v>
                </c:pt>
                <c:pt idx="431">
                  <c:v>97.781126261923788</c:v>
                </c:pt>
                <c:pt idx="432">
                  <c:v>97.781126261923788</c:v>
                </c:pt>
                <c:pt idx="433">
                  <c:v>97.781126261923788</c:v>
                </c:pt>
                <c:pt idx="434">
                  <c:v>97.781126261923788</c:v>
                </c:pt>
                <c:pt idx="435">
                  <c:v>97.781126261923788</c:v>
                </c:pt>
                <c:pt idx="436">
                  <c:v>97.781126261923788</c:v>
                </c:pt>
                <c:pt idx="437">
                  <c:v>97.781126261923788</c:v>
                </c:pt>
                <c:pt idx="438">
                  <c:v>97.781126261923788</c:v>
                </c:pt>
                <c:pt idx="439">
                  <c:v>97.781126261923788</c:v>
                </c:pt>
                <c:pt idx="440">
                  <c:v>97.781126261923788</c:v>
                </c:pt>
                <c:pt idx="441">
                  <c:v>97.781126261923788</c:v>
                </c:pt>
                <c:pt idx="442">
                  <c:v>97.781126261923788</c:v>
                </c:pt>
                <c:pt idx="443">
                  <c:v>97.781126261923788</c:v>
                </c:pt>
                <c:pt idx="444">
                  <c:v>97.781126261923788</c:v>
                </c:pt>
                <c:pt idx="445">
                  <c:v>97.781126261923788</c:v>
                </c:pt>
                <c:pt idx="446">
                  <c:v>97.781126261923788</c:v>
                </c:pt>
                <c:pt idx="447">
                  <c:v>97.781126261923788</c:v>
                </c:pt>
                <c:pt idx="448">
                  <c:v>97.781126261923788</c:v>
                </c:pt>
                <c:pt idx="449">
                  <c:v>97.781126261923788</c:v>
                </c:pt>
                <c:pt idx="450">
                  <c:v>97.781126261923788</c:v>
                </c:pt>
                <c:pt idx="451">
                  <c:v>97.781126261923788</c:v>
                </c:pt>
                <c:pt idx="452">
                  <c:v>97.781126261923788</c:v>
                </c:pt>
                <c:pt idx="453">
                  <c:v>97.781126261923788</c:v>
                </c:pt>
                <c:pt idx="454">
                  <c:v>97.781126261923788</c:v>
                </c:pt>
                <c:pt idx="455">
                  <c:v>97.781126261923788</c:v>
                </c:pt>
                <c:pt idx="456">
                  <c:v>97.781126261923788</c:v>
                </c:pt>
                <c:pt idx="457">
                  <c:v>97.781126261923788</c:v>
                </c:pt>
                <c:pt idx="458">
                  <c:v>97.781126261923788</c:v>
                </c:pt>
                <c:pt idx="45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F0-4310-8250-8D100F6FA1F2}"/>
            </c:ext>
          </c:extLst>
        </c:ser>
        <c:ser>
          <c:idx val="4"/>
          <c:order val="1"/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Messdaten!$P$15:$P$474</c:f>
              <c:numCache>
                <c:formatCode>0.000</c:formatCode>
                <c:ptCount val="460"/>
                <c:pt idx="0">
                  <c:v>1.0424728487886383E-3</c:v>
                </c:pt>
                <c:pt idx="1">
                  <c:v>1.0424728487886383E-3</c:v>
                </c:pt>
                <c:pt idx="2">
                  <c:v>1.0424728487886383E-3</c:v>
                </c:pt>
                <c:pt idx="3">
                  <c:v>1.0424728487886383E-3</c:v>
                </c:pt>
                <c:pt idx="4">
                  <c:v>1.0424728487886383E-3</c:v>
                </c:pt>
                <c:pt idx="5">
                  <c:v>1.0424728487886383E-3</c:v>
                </c:pt>
                <c:pt idx="6">
                  <c:v>1.0424728487886383E-3</c:v>
                </c:pt>
                <c:pt idx="7">
                  <c:v>1.0424728487886383E-3</c:v>
                </c:pt>
                <c:pt idx="8">
                  <c:v>1.0424728487886383E-3</c:v>
                </c:pt>
                <c:pt idx="9">
                  <c:v>1.0424728487886383E-3</c:v>
                </c:pt>
                <c:pt idx="10">
                  <c:v>1.0424728487886383E-3</c:v>
                </c:pt>
                <c:pt idx="11">
                  <c:v>1.0424728487886383E-3</c:v>
                </c:pt>
                <c:pt idx="12">
                  <c:v>1.0424728487886383E-3</c:v>
                </c:pt>
                <c:pt idx="13">
                  <c:v>1.0424728487886383E-3</c:v>
                </c:pt>
                <c:pt idx="14">
                  <c:v>1.0424728487886383E-3</c:v>
                </c:pt>
                <c:pt idx="15">
                  <c:v>1.0424728487886383E-3</c:v>
                </c:pt>
                <c:pt idx="16">
                  <c:v>1.0424728487886383E-3</c:v>
                </c:pt>
                <c:pt idx="17">
                  <c:v>1.0424728487886383E-3</c:v>
                </c:pt>
                <c:pt idx="18">
                  <c:v>1.0424728487886383E-3</c:v>
                </c:pt>
                <c:pt idx="19">
                  <c:v>1.0424728487886383E-3</c:v>
                </c:pt>
                <c:pt idx="20">
                  <c:v>1.0424728487886383E-3</c:v>
                </c:pt>
                <c:pt idx="21">
                  <c:v>1.0424728487886383E-3</c:v>
                </c:pt>
                <c:pt idx="22">
                  <c:v>1.0424728487886383E-3</c:v>
                </c:pt>
                <c:pt idx="23">
                  <c:v>1.0424728487886383E-3</c:v>
                </c:pt>
                <c:pt idx="24">
                  <c:v>1.0424728487886383E-3</c:v>
                </c:pt>
                <c:pt idx="25">
                  <c:v>1.0424728487886383E-3</c:v>
                </c:pt>
                <c:pt idx="26">
                  <c:v>1.0424728487886383E-3</c:v>
                </c:pt>
                <c:pt idx="27">
                  <c:v>1.0424728487886383E-3</c:v>
                </c:pt>
                <c:pt idx="28">
                  <c:v>1.0424728487886383E-3</c:v>
                </c:pt>
                <c:pt idx="29">
                  <c:v>1.0424728487886383E-3</c:v>
                </c:pt>
                <c:pt idx="30">
                  <c:v>1.0424728487886383E-3</c:v>
                </c:pt>
                <c:pt idx="31">
                  <c:v>1.0424728487886383E-3</c:v>
                </c:pt>
                <c:pt idx="32">
                  <c:v>1.0424728487886383E-3</c:v>
                </c:pt>
                <c:pt idx="33">
                  <c:v>1.0424728487886383E-3</c:v>
                </c:pt>
                <c:pt idx="34">
                  <c:v>1.0424728487886383E-3</c:v>
                </c:pt>
                <c:pt idx="35">
                  <c:v>1.0424728487886383E-3</c:v>
                </c:pt>
                <c:pt idx="36">
                  <c:v>1.0424728487886383E-3</c:v>
                </c:pt>
                <c:pt idx="37">
                  <c:v>1.0424728487886383E-3</c:v>
                </c:pt>
                <c:pt idx="38">
                  <c:v>1.0424728487886383E-3</c:v>
                </c:pt>
                <c:pt idx="39">
                  <c:v>1.0424728487886383E-3</c:v>
                </c:pt>
                <c:pt idx="40">
                  <c:v>1.0424728487886383E-3</c:v>
                </c:pt>
                <c:pt idx="41">
                  <c:v>1.0424728487886383E-3</c:v>
                </c:pt>
                <c:pt idx="42">
                  <c:v>1.0424728487886383E-3</c:v>
                </c:pt>
                <c:pt idx="43">
                  <c:v>1.0424728487886383E-3</c:v>
                </c:pt>
                <c:pt idx="44">
                  <c:v>1.0424728487886383E-3</c:v>
                </c:pt>
                <c:pt idx="45">
                  <c:v>1.0424728487886383E-3</c:v>
                </c:pt>
                <c:pt idx="46">
                  <c:v>1.0424728487886383E-3</c:v>
                </c:pt>
                <c:pt idx="47">
                  <c:v>1.0424728487886383E-3</c:v>
                </c:pt>
                <c:pt idx="48">
                  <c:v>1.0424728487886383E-3</c:v>
                </c:pt>
                <c:pt idx="49">
                  <c:v>1.0424728487886383E-3</c:v>
                </c:pt>
                <c:pt idx="50">
                  <c:v>1.0424728487886383E-3</c:v>
                </c:pt>
                <c:pt idx="51">
                  <c:v>1.0424728487886383E-3</c:v>
                </c:pt>
                <c:pt idx="52">
                  <c:v>1.0424728487886383E-3</c:v>
                </c:pt>
                <c:pt idx="53">
                  <c:v>1.0424728487886383E-3</c:v>
                </c:pt>
                <c:pt idx="54">
                  <c:v>1.0424728487886383E-3</c:v>
                </c:pt>
                <c:pt idx="55">
                  <c:v>1.0424728487886383E-3</c:v>
                </c:pt>
                <c:pt idx="56">
                  <c:v>1.0424728487886383E-3</c:v>
                </c:pt>
                <c:pt idx="57">
                  <c:v>1.0424728487886383E-3</c:v>
                </c:pt>
                <c:pt idx="58">
                  <c:v>1.0424728487886383E-3</c:v>
                </c:pt>
                <c:pt idx="59">
                  <c:v>1.0424728487886383E-3</c:v>
                </c:pt>
                <c:pt idx="60">
                  <c:v>1.0424728487886383E-3</c:v>
                </c:pt>
                <c:pt idx="61">
                  <c:v>1.0424728487886383E-3</c:v>
                </c:pt>
                <c:pt idx="62">
                  <c:v>1.0424728487886383E-3</c:v>
                </c:pt>
                <c:pt idx="63">
                  <c:v>1.0424728487886383E-3</c:v>
                </c:pt>
                <c:pt idx="64">
                  <c:v>1.0424728487886383E-3</c:v>
                </c:pt>
                <c:pt idx="65">
                  <c:v>1.0424728487886383E-3</c:v>
                </c:pt>
                <c:pt idx="66">
                  <c:v>1.0424728487886383E-3</c:v>
                </c:pt>
                <c:pt idx="67">
                  <c:v>1.0424728487886383E-3</c:v>
                </c:pt>
                <c:pt idx="68">
                  <c:v>1.0424728487886383E-3</c:v>
                </c:pt>
                <c:pt idx="69">
                  <c:v>1.0424728487886383E-3</c:v>
                </c:pt>
                <c:pt idx="70">
                  <c:v>1.0424728487886383E-3</c:v>
                </c:pt>
                <c:pt idx="71">
                  <c:v>1.0424728487886383E-3</c:v>
                </c:pt>
                <c:pt idx="72">
                  <c:v>1.0424728487886383E-3</c:v>
                </c:pt>
                <c:pt idx="73">
                  <c:v>1.0424728487886383E-3</c:v>
                </c:pt>
                <c:pt idx="74">
                  <c:v>1.0424728487886383E-3</c:v>
                </c:pt>
                <c:pt idx="75">
                  <c:v>1.0424728487886383E-3</c:v>
                </c:pt>
                <c:pt idx="76">
                  <c:v>1.0424728487886383E-3</c:v>
                </c:pt>
                <c:pt idx="77">
                  <c:v>1.0424728487886383E-3</c:v>
                </c:pt>
                <c:pt idx="78">
                  <c:v>1.0424728487886383E-3</c:v>
                </c:pt>
                <c:pt idx="79">
                  <c:v>1.0424728487886383E-3</c:v>
                </c:pt>
                <c:pt idx="80">
                  <c:v>1.0424728487886383E-3</c:v>
                </c:pt>
                <c:pt idx="81">
                  <c:v>1.0424728487886383E-3</c:v>
                </c:pt>
                <c:pt idx="82">
                  <c:v>1.0424728487886383E-3</c:v>
                </c:pt>
                <c:pt idx="83">
                  <c:v>1.0424728487886383E-3</c:v>
                </c:pt>
                <c:pt idx="84">
                  <c:v>1.0424728487886383E-3</c:v>
                </c:pt>
                <c:pt idx="85">
                  <c:v>1.0424728487886383E-3</c:v>
                </c:pt>
                <c:pt idx="86">
                  <c:v>1.0424728487886383E-3</c:v>
                </c:pt>
                <c:pt idx="87">
                  <c:v>1.0424728487886383E-3</c:v>
                </c:pt>
                <c:pt idx="88">
                  <c:v>1.0424728487886383E-3</c:v>
                </c:pt>
                <c:pt idx="89">
                  <c:v>1.0424728487886383E-3</c:v>
                </c:pt>
                <c:pt idx="90">
                  <c:v>1.0424728487886383E-3</c:v>
                </c:pt>
                <c:pt idx="91">
                  <c:v>1.0424728487886383E-3</c:v>
                </c:pt>
                <c:pt idx="92">
                  <c:v>1.0424728487886383E-3</c:v>
                </c:pt>
                <c:pt idx="93">
                  <c:v>1.0424728487886383E-3</c:v>
                </c:pt>
                <c:pt idx="94">
                  <c:v>1.0424728487886383E-3</c:v>
                </c:pt>
                <c:pt idx="95">
                  <c:v>1.0424728487886383E-3</c:v>
                </c:pt>
                <c:pt idx="96">
                  <c:v>1.0424728487886383E-3</c:v>
                </c:pt>
                <c:pt idx="97">
                  <c:v>1.0424728487886383E-3</c:v>
                </c:pt>
                <c:pt idx="98">
                  <c:v>1.0424728487886383E-3</c:v>
                </c:pt>
                <c:pt idx="99">
                  <c:v>1.0424728487886383E-3</c:v>
                </c:pt>
                <c:pt idx="100">
                  <c:v>1.0424728487886383E-3</c:v>
                </c:pt>
                <c:pt idx="101">
                  <c:v>1.0424728487886383E-3</c:v>
                </c:pt>
                <c:pt idx="102">
                  <c:v>1.0424728487886383E-3</c:v>
                </c:pt>
                <c:pt idx="103">
                  <c:v>1.0424728487886383E-3</c:v>
                </c:pt>
                <c:pt idx="104">
                  <c:v>1.0424728487886383E-3</c:v>
                </c:pt>
                <c:pt idx="105">
                  <c:v>1.0424728487886383E-3</c:v>
                </c:pt>
                <c:pt idx="106">
                  <c:v>1.0424728487886383E-3</c:v>
                </c:pt>
                <c:pt idx="107">
                  <c:v>1.0424728487886383E-3</c:v>
                </c:pt>
                <c:pt idx="108">
                  <c:v>1.0424728487886383E-3</c:v>
                </c:pt>
                <c:pt idx="109">
                  <c:v>1.0424728487886383E-3</c:v>
                </c:pt>
                <c:pt idx="110">
                  <c:v>1.0424728487886383E-3</c:v>
                </c:pt>
                <c:pt idx="111">
                  <c:v>1.0424728487886383E-3</c:v>
                </c:pt>
                <c:pt idx="112">
                  <c:v>1.0424728487886383E-3</c:v>
                </c:pt>
                <c:pt idx="113">
                  <c:v>1.0424728487886383E-3</c:v>
                </c:pt>
                <c:pt idx="114">
                  <c:v>1.0424728487886383E-3</c:v>
                </c:pt>
                <c:pt idx="115">
                  <c:v>1.0424728487886383E-3</c:v>
                </c:pt>
                <c:pt idx="116">
                  <c:v>1.0424728487886383E-3</c:v>
                </c:pt>
                <c:pt idx="117">
                  <c:v>1.0424728487886383E-3</c:v>
                </c:pt>
                <c:pt idx="118">
                  <c:v>1.0424728487886383E-3</c:v>
                </c:pt>
                <c:pt idx="119">
                  <c:v>1.0424728487886383E-3</c:v>
                </c:pt>
                <c:pt idx="120">
                  <c:v>1.0424728487886383E-3</c:v>
                </c:pt>
                <c:pt idx="121">
                  <c:v>1.0424728487886383E-3</c:v>
                </c:pt>
                <c:pt idx="122">
                  <c:v>1.0424728487886383E-3</c:v>
                </c:pt>
                <c:pt idx="123">
                  <c:v>1.0424728487886383E-3</c:v>
                </c:pt>
                <c:pt idx="124">
                  <c:v>1.0424728487886383E-3</c:v>
                </c:pt>
                <c:pt idx="125">
                  <c:v>1.0424728487886383E-3</c:v>
                </c:pt>
                <c:pt idx="126">
                  <c:v>1.0424728487886383E-3</c:v>
                </c:pt>
                <c:pt idx="127">
                  <c:v>1.0424728487886383E-3</c:v>
                </c:pt>
                <c:pt idx="128">
                  <c:v>1.0424728487886383E-3</c:v>
                </c:pt>
                <c:pt idx="129">
                  <c:v>1.0424728487886383E-3</c:v>
                </c:pt>
                <c:pt idx="130">
                  <c:v>1.0424728487886383E-3</c:v>
                </c:pt>
                <c:pt idx="131">
                  <c:v>1.0424728487886383E-3</c:v>
                </c:pt>
                <c:pt idx="132">
                  <c:v>1.0424728487886383E-3</c:v>
                </c:pt>
                <c:pt idx="133">
                  <c:v>1.0424728487886383E-3</c:v>
                </c:pt>
                <c:pt idx="134">
                  <c:v>1.0424728487886383E-3</c:v>
                </c:pt>
                <c:pt idx="135">
                  <c:v>1.0424728487886383E-3</c:v>
                </c:pt>
                <c:pt idx="136">
                  <c:v>1.0424728487886383E-3</c:v>
                </c:pt>
                <c:pt idx="137">
                  <c:v>1.0424728487886383E-3</c:v>
                </c:pt>
                <c:pt idx="138">
                  <c:v>1.0424728487886383E-3</c:v>
                </c:pt>
                <c:pt idx="139">
                  <c:v>1.0424728487886383E-3</c:v>
                </c:pt>
                <c:pt idx="140">
                  <c:v>1.0424728487886383E-3</c:v>
                </c:pt>
                <c:pt idx="141">
                  <c:v>1.0424728487886383E-3</c:v>
                </c:pt>
                <c:pt idx="142">
                  <c:v>1.0424728487886383E-3</c:v>
                </c:pt>
                <c:pt idx="143">
                  <c:v>1.0424728487886383E-3</c:v>
                </c:pt>
                <c:pt idx="144">
                  <c:v>1.0424728487886383E-3</c:v>
                </c:pt>
                <c:pt idx="145">
                  <c:v>1.0424728487886383E-3</c:v>
                </c:pt>
                <c:pt idx="146">
                  <c:v>1.0424728487886383E-3</c:v>
                </c:pt>
                <c:pt idx="147">
                  <c:v>1.0424728487886383E-3</c:v>
                </c:pt>
                <c:pt idx="148">
                  <c:v>1.0424728487886383E-3</c:v>
                </c:pt>
                <c:pt idx="149">
                  <c:v>1.0424728487886383E-3</c:v>
                </c:pt>
                <c:pt idx="150">
                  <c:v>1.0424728487886383E-3</c:v>
                </c:pt>
                <c:pt idx="151">
                  <c:v>1.0424728487886383E-3</c:v>
                </c:pt>
                <c:pt idx="152">
                  <c:v>1.0424728487886383E-3</c:v>
                </c:pt>
                <c:pt idx="153">
                  <c:v>1.0424728487886383E-3</c:v>
                </c:pt>
                <c:pt idx="154">
                  <c:v>1.0424728487886383E-3</c:v>
                </c:pt>
                <c:pt idx="155">
                  <c:v>1.0424728487886383E-3</c:v>
                </c:pt>
                <c:pt idx="156">
                  <c:v>1.0424728487886383E-3</c:v>
                </c:pt>
                <c:pt idx="157">
                  <c:v>1.0424728487886383E-3</c:v>
                </c:pt>
                <c:pt idx="158">
                  <c:v>1.0424728487886383E-3</c:v>
                </c:pt>
                <c:pt idx="159">
                  <c:v>1.0424728487886383E-3</c:v>
                </c:pt>
                <c:pt idx="160">
                  <c:v>1.0424728487886383E-3</c:v>
                </c:pt>
                <c:pt idx="161">
                  <c:v>1.0424728487886383E-3</c:v>
                </c:pt>
                <c:pt idx="162">
                  <c:v>1.0424728487886383E-3</c:v>
                </c:pt>
                <c:pt idx="163">
                  <c:v>1.0424728487886383E-3</c:v>
                </c:pt>
                <c:pt idx="164">
                  <c:v>1.0424728487886383E-3</c:v>
                </c:pt>
                <c:pt idx="165">
                  <c:v>1.0424728487886383E-3</c:v>
                </c:pt>
                <c:pt idx="166">
                  <c:v>1.0424728487886383E-3</c:v>
                </c:pt>
                <c:pt idx="167">
                  <c:v>1.0424728487886383E-3</c:v>
                </c:pt>
                <c:pt idx="168">
                  <c:v>1.0424728487886383E-3</c:v>
                </c:pt>
                <c:pt idx="169">
                  <c:v>1.0424728487886383E-3</c:v>
                </c:pt>
                <c:pt idx="170">
                  <c:v>1.0424728487886383E-3</c:v>
                </c:pt>
                <c:pt idx="171">
                  <c:v>1.0424728487886383E-3</c:v>
                </c:pt>
                <c:pt idx="172">
                  <c:v>1.0424728487886383E-3</c:v>
                </c:pt>
                <c:pt idx="173">
                  <c:v>1.0424728487886383E-3</c:v>
                </c:pt>
                <c:pt idx="174">
                  <c:v>1.0424728487886383E-3</c:v>
                </c:pt>
                <c:pt idx="175">
                  <c:v>1.0424728487886383E-3</c:v>
                </c:pt>
                <c:pt idx="176">
                  <c:v>1.0424728487886383E-3</c:v>
                </c:pt>
                <c:pt idx="177">
                  <c:v>1.0424728487886383E-3</c:v>
                </c:pt>
                <c:pt idx="178">
                  <c:v>1.0424728487886383E-3</c:v>
                </c:pt>
                <c:pt idx="179">
                  <c:v>1.0424728487886383E-3</c:v>
                </c:pt>
                <c:pt idx="180">
                  <c:v>1.0424728487886383E-3</c:v>
                </c:pt>
                <c:pt idx="181">
                  <c:v>1.0424728487886383E-3</c:v>
                </c:pt>
                <c:pt idx="182">
                  <c:v>1.0424728487886383E-3</c:v>
                </c:pt>
                <c:pt idx="183">
                  <c:v>1.0424728487886383E-3</c:v>
                </c:pt>
                <c:pt idx="184">
                  <c:v>1.0424728487886383E-3</c:v>
                </c:pt>
                <c:pt idx="185">
                  <c:v>1.0424728487886383E-3</c:v>
                </c:pt>
                <c:pt idx="186">
                  <c:v>1.0424728487886383E-3</c:v>
                </c:pt>
                <c:pt idx="187">
                  <c:v>1.0424728487886383E-3</c:v>
                </c:pt>
                <c:pt idx="188">
                  <c:v>1.0424728487886383E-3</c:v>
                </c:pt>
                <c:pt idx="189">
                  <c:v>1.0424728487886383E-3</c:v>
                </c:pt>
                <c:pt idx="190">
                  <c:v>1.0424728487886383E-3</c:v>
                </c:pt>
                <c:pt idx="191">
                  <c:v>1.0424728487886383E-3</c:v>
                </c:pt>
                <c:pt idx="192">
                  <c:v>1.0424728487886383E-3</c:v>
                </c:pt>
                <c:pt idx="193">
                  <c:v>1.0424728487886383E-3</c:v>
                </c:pt>
                <c:pt idx="194">
                  <c:v>1.0424728487886383E-3</c:v>
                </c:pt>
                <c:pt idx="195">
                  <c:v>1.0424728487886383E-3</c:v>
                </c:pt>
                <c:pt idx="196">
                  <c:v>1.0424728487886383E-3</c:v>
                </c:pt>
                <c:pt idx="197">
                  <c:v>1.0424728487886383E-3</c:v>
                </c:pt>
                <c:pt idx="198">
                  <c:v>1.0424728487886383E-3</c:v>
                </c:pt>
                <c:pt idx="199">
                  <c:v>1.0424728487886383E-3</c:v>
                </c:pt>
                <c:pt idx="200">
                  <c:v>1.0424728487886383E-3</c:v>
                </c:pt>
                <c:pt idx="201">
                  <c:v>1.0424728487886383E-3</c:v>
                </c:pt>
                <c:pt idx="202">
                  <c:v>1.0424728487886383E-3</c:v>
                </c:pt>
                <c:pt idx="203">
                  <c:v>1.0424728487886383E-3</c:v>
                </c:pt>
                <c:pt idx="204">
                  <c:v>1.0424728487886383E-3</c:v>
                </c:pt>
                <c:pt idx="205">
                  <c:v>1.0424728487886383E-3</c:v>
                </c:pt>
                <c:pt idx="206">
                  <c:v>1.0424728487886383E-3</c:v>
                </c:pt>
                <c:pt idx="207">
                  <c:v>1.0424728487886383E-3</c:v>
                </c:pt>
                <c:pt idx="208">
                  <c:v>1.0424728487886383E-3</c:v>
                </c:pt>
                <c:pt idx="209">
                  <c:v>1.0424728487886383E-3</c:v>
                </c:pt>
                <c:pt idx="210">
                  <c:v>1.0424728487886383E-3</c:v>
                </c:pt>
                <c:pt idx="211">
                  <c:v>1.0424728487886383E-3</c:v>
                </c:pt>
                <c:pt idx="212">
                  <c:v>1.0424728487886383E-3</c:v>
                </c:pt>
                <c:pt idx="213">
                  <c:v>1.0424728487886383E-3</c:v>
                </c:pt>
                <c:pt idx="214">
                  <c:v>1.0424728487886383E-3</c:v>
                </c:pt>
                <c:pt idx="215">
                  <c:v>1.0424728487886383E-3</c:v>
                </c:pt>
                <c:pt idx="216">
                  <c:v>1.0424728487886383E-3</c:v>
                </c:pt>
                <c:pt idx="217">
                  <c:v>1.0424728487886383E-3</c:v>
                </c:pt>
                <c:pt idx="218">
                  <c:v>1.0424728487886383E-3</c:v>
                </c:pt>
                <c:pt idx="219">
                  <c:v>1.0424728487886383E-3</c:v>
                </c:pt>
                <c:pt idx="220">
                  <c:v>1.0424728487886383E-3</c:v>
                </c:pt>
                <c:pt idx="221">
                  <c:v>1.0424728487886383E-3</c:v>
                </c:pt>
                <c:pt idx="222">
                  <c:v>1.0424728487886383E-3</c:v>
                </c:pt>
                <c:pt idx="223">
                  <c:v>1.0424728487886383E-3</c:v>
                </c:pt>
                <c:pt idx="224">
                  <c:v>1.0424728487886383E-3</c:v>
                </c:pt>
                <c:pt idx="225">
                  <c:v>1.0424728487886383E-3</c:v>
                </c:pt>
                <c:pt idx="226">
                  <c:v>1.0424728487886383E-3</c:v>
                </c:pt>
                <c:pt idx="227">
                  <c:v>1.0424728487886383E-3</c:v>
                </c:pt>
                <c:pt idx="228">
                  <c:v>1.0424728487886383E-3</c:v>
                </c:pt>
                <c:pt idx="229">
                  <c:v>1.0424728487886383E-3</c:v>
                </c:pt>
                <c:pt idx="230">
                  <c:v>1.0424728487886383E-3</c:v>
                </c:pt>
                <c:pt idx="231">
                  <c:v>1.0424728487886383E-3</c:v>
                </c:pt>
                <c:pt idx="232">
                  <c:v>1.0424728487886383E-3</c:v>
                </c:pt>
                <c:pt idx="233">
                  <c:v>1.0424728487886383E-3</c:v>
                </c:pt>
                <c:pt idx="234">
                  <c:v>1.0424728487886383E-3</c:v>
                </c:pt>
                <c:pt idx="235">
                  <c:v>1.0424728487886383E-3</c:v>
                </c:pt>
                <c:pt idx="236">
                  <c:v>1.0424728487886383E-3</c:v>
                </c:pt>
                <c:pt idx="237">
                  <c:v>1.0424728487886383E-3</c:v>
                </c:pt>
                <c:pt idx="238">
                  <c:v>1.0424728487886383E-3</c:v>
                </c:pt>
                <c:pt idx="239">
                  <c:v>1.0424728487886383E-3</c:v>
                </c:pt>
                <c:pt idx="240">
                  <c:v>1.0424728487886383E-3</c:v>
                </c:pt>
                <c:pt idx="241">
                  <c:v>1.0424728487886383E-3</c:v>
                </c:pt>
                <c:pt idx="242">
                  <c:v>1.0424728487886383E-3</c:v>
                </c:pt>
                <c:pt idx="243">
                  <c:v>1.0424728487886383E-3</c:v>
                </c:pt>
                <c:pt idx="244">
                  <c:v>1.0424728487886383E-3</c:v>
                </c:pt>
                <c:pt idx="245">
                  <c:v>1.0424728487886383E-3</c:v>
                </c:pt>
                <c:pt idx="246">
                  <c:v>1.0424728487886383E-3</c:v>
                </c:pt>
                <c:pt idx="247">
                  <c:v>1.0424728487886383E-3</c:v>
                </c:pt>
                <c:pt idx="248">
                  <c:v>1.0424728487886383E-3</c:v>
                </c:pt>
                <c:pt idx="249">
                  <c:v>1.0424728487886383E-3</c:v>
                </c:pt>
                <c:pt idx="250">
                  <c:v>1.0424728487886383E-3</c:v>
                </c:pt>
                <c:pt idx="251">
                  <c:v>1.0424728487886383E-3</c:v>
                </c:pt>
                <c:pt idx="252">
                  <c:v>1.0424728487886383E-3</c:v>
                </c:pt>
                <c:pt idx="253">
                  <c:v>1.0424728487886383E-3</c:v>
                </c:pt>
                <c:pt idx="254">
                  <c:v>1.0424728487886383E-3</c:v>
                </c:pt>
                <c:pt idx="255">
                  <c:v>1.0424728487886383E-3</c:v>
                </c:pt>
                <c:pt idx="256">
                  <c:v>1.0424728487886383E-3</c:v>
                </c:pt>
                <c:pt idx="257">
                  <c:v>1.0424728487886383E-3</c:v>
                </c:pt>
                <c:pt idx="258">
                  <c:v>1.0424728487886383E-3</c:v>
                </c:pt>
                <c:pt idx="259">
                  <c:v>1.0424728487886383E-3</c:v>
                </c:pt>
                <c:pt idx="260">
                  <c:v>1.0424728487886383E-3</c:v>
                </c:pt>
                <c:pt idx="261">
                  <c:v>1.0424728487886383E-3</c:v>
                </c:pt>
                <c:pt idx="262">
                  <c:v>1.0424728487886383E-3</c:v>
                </c:pt>
                <c:pt idx="263">
                  <c:v>1.0424728487886383E-3</c:v>
                </c:pt>
                <c:pt idx="264">
                  <c:v>1.0424728487886383E-3</c:v>
                </c:pt>
                <c:pt idx="265">
                  <c:v>1.0424728487886383E-3</c:v>
                </c:pt>
                <c:pt idx="266">
                  <c:v>1.0424728487886383E-3</c:v>
                </c:pt>
                <c:pt idx="267">
                  <c:v>1.0424728487886383E-3</c:v>
                </c:pt>
                <c:pt idx="268">
                  <c:v>1.0424728487886383E-3</c:v>
                </c:pt>
                <c:pt idx="269">
                  <c:v>1.0424728487886383E-3</c:v>
                </c:pt>
                <c:pt idx="270">
                  <c:v>1.0424728487886383E-3</c:v>
                </c:pt>
                <c:pt idx="271">
                  <c:v>1.0424728487886383E-3</c:v>
                </c:pt>
                <c:pt idx="272">
                  <c:v>1.0424728487886383E-3</c:v>
                </c:pt>
                <c:pt idx="273">
                  <c:v>1.0424728487886383E-3</c:v>
                </c:pt>
                <c:pt idx="274">
                  <c:v>1.0424728487886383E-3</c:v>
                </c:pt>
                <c:pt idx="275">
                  <c:v>1.0424728487886383E-3</c:v>
                </c:pt>
                <c:pt idx="276">
                  <c:v>1.0424728487886383E-3</c:v>
                </c:pt>
                <c:pt idx="277">
                  <c:v>1.0424728487886383E-3</c:v>
                </c:pt>
                <c:pt idx="278">
                  <c:v>1.0424728487886383E-3</c:v>
                </c:pt>
                <c:pt idx="279">
                  <c:v>1.0424728487886383E-3</c:v>
                </c:pt>
                <c:pt idx="280">
                  <c:v>1.0424728487886383E-3</c:v>
                </c:pt>
                <c:pt idx="281">
                  <c:v>1.0424728487886383E-3</c:v>
                </c:pt>
                <c:pt idx="282">
                  <c:v>1.0424728487886383E-3</c:v>
                </c:pt>
                <c:pt idx="283">
                  <c:v>1.0424728487886383E-3</c:v>
                </c:pt>
                <c:pt idx="284">
                  <c:v>1.0424728487886383E-3</c:v>
                </c:pt>
                <c:pt idx="285">
                  <c:v>1.0424728487886383E-3</c:v>
                </c:pt>
                <c:pt idx="286">
                  <c:v>1.0424728487886383E-3</c:v>
                </c:pt>
                <c:pt idx="287">
                  <c:v>1.0424728487886383E-3</c:v>
                </c:pt>
                <c:pt idx="288">
                  <c:v>1.0424728487886383E-3</c:v>
                </c:pt>
                <c:pt idx="289">
                  <c:v>1.0424728487886383E-3</c:v>
                </c:pt>
                <c:pt idx="290">
                  <c:v>1.0424728487886383E-3</c:v>
                </c:pt>
                <c:pt idx="291">
                  <c:v>1.0424728487886383E-3</c:v>
                </c:pt>
                <c:pt idx="292">
                  <c:v>1.0424728487886383E-3</c:v>
                </c:pt>
                <c:pt idx="293">
                  <c:v>1.0424728487886383E-3</c:v>
                </c:pt>
                <c:pt idx="294">
                  <c:v>1.0424728487886383E-3</c:v>
                </c:pt>
                <c:pt idx="295">
                  <c:v>1.0424728487886383E-3</c:v>
                </c:pt>
                <c:pt idx="296">
                  <c:v>1.0424728487886383E-3</c:v>
                </c:pt>
                <c:pt idx="297">
                  <c:v>1.0424728487886383E-3</c:v>
                </c:pt>
                <c:pt idx="298">
                  <c:v>1.0424728487886383E-3</c:v>
                </c:pt>
                <c:pt idx="299">
                  <c:v>1.0424728487886383E-3</c:v>
                </c:pt>
                <c:pt idx="300">
                  <c:v>1.0424728487886383E-3</c:v>
                </c:pt>
                <c:pt idx="301">
                  <c:v>1.0424728487886383E-3</c:v>
                </c:pt>
                <c:pt idx="302">
                  <c:v>1.0424728487886383E-3</c:v>
                </c:pt>
                <c:pt idx="303">
                  <c:v>1.0424728487886383E-3</c:v>
                </c:pt>
                <c:pt idx="304">
                  <c:v>1.0424728487886383E-3</c:v>
                </c:pt>
                <c:pt idx="305">
                  <c:v>1.0424728487886383E-3</c:v>
                </c:pt>
                <c:pt idx="306">
                  <c:v>1.0424728487886383E-3</c:v>
                </c:pt>
                <c:pt idx="307">
                  <c:v>1.0424728487886383E-3</c:v>
                </c:pt>
                <c:pt idx="308">
                  <c:v>1.0424728487886383E-3</c:v>
                </c:pt>
                <c:pt idx="309">
                  <c:v>1.0424728487886383E-3</c:v>
                </c:pt>
                <c:pt idx="310">
                  <c:v>1.0424728487886383E-3</c:v>
                </c:pt>
                <c:pt idx="311">
                  <c:v>1.0424728487886383E-3</c:v>
                </c:pt>
                <c:pt idx="312">
                  <c:v>1.0424728487886383E-3</c:v>
                </c:pt>
                <c:pt idx="313">
                  <c:v>1.0424728487886383E-3</c:v>
                </c:pt>
                <c:pt idx="314">
                  <c:v>1.0424728487886383E-3</c:v>
                </c:pt>
                <c:pt idx="315">
                  <c:v>1.0424728487886383E-3</c:v>
                </c:pt>
                <c:pt idx="316">
                  <c:v>1.0424728487886383E-3</c:v>
                </c:pt>
                <c:pt idx="317">
                  <c:v>1.0424728487886383E-3</c:v>
                </c:pt>
                <c:pt idx="318">
                  <c:v>1.0424728487886383E-3</c:v>
                </c:pt>
                <c:pt idx="319">
                  <c:v>1.0424728487886383E-3</c:v>
                </c:pt>
                <c:pt idx="320">
                  <c:v>1.0424728487886383E-3</c:v>
                </c:pt>
                <c:pt idx="321">
                  <c:v>1.0424728487886383E-3</c:v>
                </c:pt>
                <c:pt idx="322">
                  <c:v>1.0424728487886383E-3</c:v>
                </c:pt>
                <c:pt idx="323">
                  <c:v>1.0424728487886383E-3</c:v>
                </c:pt>
                <c:pt idx="324">
                  <c:v>1.0424728487886383E-3</c:v>
                </c:pt>
                <c:pt idx="325">
                  <c:v>1.0424728487886383E-3</c:v>
                </c:pt>
                <c:pt idx="326">
                  <c:v>1.0424728487886383E-3</c:v>
                </c:pt>
                <c:pt idx="327">
                  <c:v>1.0424728487886383E-3</c:v>
                </c:pt>
                <c:pt idx="328">
                  <c:v>1.0424728487886383E-3</c:v>
                </c:pt>
                <c:pt idx="329">
                  <c:v>1.0424728487886383E-3</c:v>
                </c:pt>
                <c:pt idx="330">
                  <c:v>1.0424728487886383E-3</c:v>
                </c:pt>
                <c:pt idx="331">
                  <c:v>1.0424728487886383E-3</c:v>
                </c:pt>
                <c:pt idx="332">
                  <c:v>1.0424728487886383E-3</c:v>
                </c:pt>
                <c:pt idx="333">
                  <c:v>1.0424728487886383E-3</c:v>
                </c:pt>
                <c:pt idx="334">
                  <c:v>1.0424728487886383E-3</c:v>
                </c:pt>
                <c:pt idx="335">
                  <c:v>1.0424728487886383E-3</c:v>
                </c:pt>
                <c:pt idx="336">
                  <c:v>1.0424728487886383E-3</c:v>
                </c:pt>
                <c:pt idx="337">
                  <c:v>1.0424728487886383E-3</c:v>
                </c:pt>
                <c:pt idx="338">
                  <c:v>1.0424728487886383E-3</c:v>
                </c:pt>
                <c:pt idx="339">
                  <c:v>1.0424728487886383E-3</c:v>
                </c:pt>
                <c:pt idx="340">
                  <c:v>1.0424728487886383E-3</c:v>
                </c:pt>
                <c:pt idx="341">
                  <c:v>1.0424728487886383E-3</c:v>
                </c:pt>
                <c:pt idx="342">
                  <c:v>1.0424728487886383E-3</c:v>
                </c:pt>
                <c:pt idx="343">
                  <c:v>1.0424728487886383E-3</c:v>
                </c:pt>
                <c:pt idx="344">
                  <c:v>1.0424728487886383E-3</c:v>
                </c:pt>
                <c:pt idx="345">
                  <c:v>1.0424728487886383E-3</c:v>
                </c:pt>
                <c:pt idx="346">
                  <c:v>1.0424728487886383E-3</c:v>
                </c:pt>
                <c:pt idx="347">
                  <c:v>1.0424728487886383E-3</c:v>
                </c:pt>
                <c:pt idx="348">
                  <c:v>1.0424728487886383E-3</c:v>
                </c:pt>
                <c:pt idx="349">
                  <c:v>1.0424728487886383E-3</c:v>
                </c:pt>
                <c:pt idx="350">
                  <c:v>1.0424728487886383E-3</c:v>
                </c:pt>
                <c:pt idx="351">
                  <c:v>1.0424728487886383E-3</c:v>
                </c:pt>
                <c:pt idx="352">
                  <c:v>1.0424728487886383E-3</c:v>
                </c:pt>
                <c:pt idx="353">
                  <c:v>1.0424728487886383E-3</c:v>
                </c:pt>
                <c:pt idx="354">
                  <c:v>1.0424728487886383E-3</c:v>
                </c:pt>
                <c:pt idx="355">
                  <c:v>1.0424728487886383E-3</c:v>
                </c:pt>
                <c:pt idx="356">
                  <c:v>1.0424728487886383E-3</c:v>
                </c:pt>
                <c:pt idx="357">
                  <c:v>1.0424728487886383E-3</c:v>
                </c:pt>
                <c:pt idx="358">
                  <c:v>1.0424728487886383E-3</c:v>
                </c:pt>
                <c:pt idx="359">
                  <c:v>1.0424728487886383E-3</c:v>
                </c:pt>
                <c:pt idx="360">
                  <c:v>1.0424728487886383E-3</c:v>
                </c:pt>
                <c:pt idx="361">
                  <c:v>1.0424728487886383E-3</c:v>
                </c:pt>
                <c:pt idx="362">
                  <c:v>1.0424728487886383E-3</c:v>
                </c:pt>
                <c:pt idx="363">
                  <c:v>1.0424728487886383E-3</c:v>
                </c:pt>
                <c:pt idx="364">
                  <c:v>1.0424728487886383E-3</c:v>
                </c:pt>
                <c:pt idx="365">
                  <c:v>1.0424728487886383E-3</c:v>
                </c:pt>
                <c:pt idx="366">
                  <c:v>1.0424728487886383E-3</c:v>
                </c:pt>
                <c:pt idx="367">
                  <c:v>1.0424728487886383E-3</c:v>
                </c:pt>
                <c:pt idx="368">
                  <c:v>1.0424728487886383E-3</c:v>
                </c:pt>
                <c:pt idx="369">
                  <c:v>1.0424728487886383E-3</c:v>
                </c:pt>
                <c:pt idx="370">
                  <c:v>1.0424728487886383E-3</c:v>
                </c:pt>
                <c:pt idx="371">
                  <c:v>1.0424728487886383E-3</c:v>
                </c:pt>
                <c:pt idx="372">
                  <c:v>1.0424728487886383E-3</c:v>
                </c:pt>
                <c:pt idx="373">
                  <c:v>1.0424728487886383E-3</c:v>
                </c:pt>
                <c:pt idx="374">
                  <c:v>1.0424728487886383E-3</c:v>
                </c:pt>
                <c:pt idx="375">
                  <c:v>1.0424728487886383E-3</c:v>
                </c:pt>
                <c:pt idx="376">
                  <c:v>1.0424728487886383E-3</c:v>
                </c:pt>
                <c:pt idx="377">
                  <c:v>1.0424728487886383E-3</c:v>
                </c:pt>
                <c:pt idx="378">
                  <c:v>1.0424728487886383E-3</c:v>
                </c:pt>
                <c:pt idx="379">
                  <c:v>1.0424728487886383E-3</c:v>
                </c:pt>
                <c:pt idx="380">
                  <c:v>1.0424728487886383E-3</c:v>
                </c:pt>
                <c:pt idx="381">
                  <c:v>1.0424728487886383E-3</c:v>
                </c:pt>
                <c:pt idx="382">
                  <c:v>1.0424728487886383E-3</c:v>
                </c:pt>
                <c:pt idx="383">
                  <c:v>1.0424728487886383E-3</c:v>
                </c:pt>
                <c:pt idx="384">
                  <c:v>1.0424728487886383E-3</c:v>
                </c:pt>
                <c:pt idx="385">
                  <c:v>1.0424728487886383E-3</c:v>
                </c:pt>
                <c:pt idx="386">
                  <c:v>1.0424728487886383E-3</c:v>
                </c:pt>
                <c:pt idx="387">
                  <c:v>1.0424728487886383E-3</c:v>
                </c:pt>
                <c:pt idx="388">
                  <c:v>1.0424728487886383E-3</c:v>
                </c:pt>
                <c:pt idx="389">
                  <c:v>1.0424728487886383E-3</c:v>
                </c:pt>
                <c:pt idx="390">
                  <c:v>1.0424728487886383E-3</c:v>
                </c:pt>
                <c:pt idx="391">
                  <c:v>1.0424728487886383E-3</c:v>
                </c:pt>
                <c:pt idx="392">
                  <c:v>1.0424728487886383E-3</c:v>
                </c:pt>
                <c:pt idx="393">
                  <c:v>1.0424728487886383E-3</c:v>
                </c:pt>
                <c:pt idx="394">
                  <c:v>1.0424728487886383E-3</c:v>
                </c:pt>
                <c:pt idx="395">
                  <c:v>1.0424728487886383E-3</c:v>
                </c:pt>
                <c:pt idx="396">
                  <c:v>1.0424728487886383E-3</c:v>
                </c:pt>
                <c:pt idx="397">
                  <c:v>1.0424728487886383E-3</c:v>
                </c:pt>
                <c:pt idx="398">
                  <c:v>1.0424728487886383E-3</c:v>
                </c:pt>
                <c:pt idx="399">
                  <c:v>1.0424728487886383E-3</c:v>
                </c:pt>
                <c:pt idx="400">
                  <c:v>1.0424728487886383E-3</c:v>
                </c:pt>
                <c:pt idx="401">
                  <c:v>1.0424728487886383E-3</c:v>
                </c:pt>
                <c:pt idx="402">
                  <c:v>1.0424728487886383E-3</c:v>
                </c:pt>
                <c:pt idx="403">
                  <c:v>1.0424728487886383E-3</c:v>
                </c:pt>
                <c:pt idx="404">
                  <c:v>1.0424728487886383E-3</c:v>
                </c:pt>
                <c:pt idx="405">
                  <c:v>1.0424728487886383E-3</c:v>
                </c:pt>
                <c:pt idx="406">
                  <c:v>1.0424728487886383E-3</c:v>
                </c:pt>
                <c:pt idx="407">
                  <c:v>1.0424728487886383E-3</c:v>
                </c:pt>
                <c:pt idx="408">
                  <c:v>1.0424728487886383E-3</c:v>
                </c:pt>
                <c:pt idx="409">
                  <c:v>1.0424728487886383E-3</c:v>
                </c:pt>
                <c:pt idx="410">
                  <c:v>1.0424728487886383E-3</c:v>
                </c:pt>
                <c:pt idx="411">
                  <c:v>1.0424728487886383E-3</c:v>
                </c:pt>
                <c:pt idx="412">
                  <c:v>1.0424728487886383E-3</c:v>
                </c:pt>
                <c:pt idx="413">
                  <c:v>1.0424728487886383E-3</c:v>
                </c:pt>
                <c:pt idx="414">
                  <c:v>1.0424728487886383E-3</c:v>
                </c:pt>
                <c:pt idx="415">
                  <c:v>1.0424728487886383E-3</c:v>
                </c:pt>
                <c:pt idx="416">
                  <c:v>1.0424728487886383E-3</c:v>
                </c:pt>
                <c:pt idx="417">
                  <c:v>1.0424728487886383E-3</c:v>
                </c:pt>
                <c:pt idx="418">
                  <c:v>1.0424728487886383E-3</c:v>
                </c:pt>
                <c:pt idx="419">
                  <c:v>1.0424728487886383E-3</c:v>
                </c:pt>
                <c:pt idx="420">
                  <c:v>1.0424728487886383E-3</c:v>
                </c:pt>
                <c:pt idx="421">
                  <c:v>1.0424728487886383E-3</c:v>
                </c:pt>
                <c:pt idx="422">
                  <c:v>1.0424728487886383E-3</c:v>
                </c:pt>
                <c:pt idx="423">
                  <c:v>1.0424728487886383E-3</c:v>
                </c:pt>
                <c:pt idx="424">
                  <c:v>1.0424728487886383E-3</c:v>
                </c:pt>
                <c:pt idx="425">
                  <c:v>1.0424728487886383E-3</c:v>
                </c:pt>
                <c:pt idx="426">
                  <c:v>1.0424728487886383E-3</c:v>
                </c:pt>
                <c:pt idx="427">
                  <c:v>1.0424728487886383E-3</c:v>
                </c:pt>
                <c:pt idx="428">
                  <c:v>1.0424728487886383E-3</c:v>
                </c:pt>
                <c:pt idx="429">
                  <c:v>1.0424728487886383E-3</c:v>
                </c:pt>
                <c:pt idx="430">
                  <c:v>1.0424728487886383E-3</c:v>
                </c:pt>
                <c:pt idx="431">
                  <c:v>1.0424728487886383E-3</c:v>
                </c:pt>
                <c:pt idx="432">
                  <c:v>1.0424728487886383E-3</c:v>
                </c:pt>
                <c:pt idx="433">
                  <c:v>1.0424728487886383E-3</c:v>
                </c:pt>
                <c:pt idx="434">
                  <c:v>1.0424728487886383E-3</c:v>
                </c:pt>
                <c:pt idx="435">
                  <c:v>1.0424728487886383E-3</c:v>
                </c:pt>
                <c:pt idx="436">
                  <c:v>1.0424728487886383E-3</c:v>
                </c:pt>
                <c:pt idx="437">
                  <c:v>1.0424728487886383E-3</c:v>
                </c:pt>
                <c:pt idx="438">
                  <c:v>1.0424728487886383E-3</c:v>
                </c:pt>
                <c:pt idx="439">
                  <c:v>1.0424728487886383E-3</c:v>
                </c:pt>
                <c:pt idx="440">
                  <c:v>1.0424728487886383E-3</c:v>
                </c:pt>
                <c:pt idx="441">
                  <c:v>1.0424728487886383E-3</c:v>
                </c:pt>
                <c:pt idx="442">
                  <c:v>1.0424728487886383E-3</c:v>
                </c:pt>
                <c:pt idx="443">
                  <c:v>1.0424728487886383E-3</c:v>
                </c:pt>
                <c:pt idx="444">
                  <c:v>1.0424728487886383E-3</c:v>
                </c:pt>
                <c:pt idx="445">
                  <c:v>1.0424728487886383E-3</c:v>
                </c:pt>
                <c:pt idx="446">
                  <c:v>1.0424728487886383E-3</c:v>
                </c:pt>
                <c:pt idx="447">
                  <c:v>1.0424728487886383E-3</c:v>
                </c:pt>
                <c:pt idx="448">
                  <c:v>1.0424728487886383E-3</c:v>
                </c:pt>
                <c:pt idx="449">
                  <c:v>1.0424728487886383E-3</c:v>
                </c:pt>
                <c:pt idx="450">
                  <c:v>1.0424728487886383E-3</c:v>
                </c:pt>
                <c:pt idx="451">
                  <c:v>1.0424728487886383E-3</c:v>
                </c:pt>
                <c:pt idx="452">
                  <c:v>1.0424728487886383E-3</c:v>
                </c:pt>
                <c:pt idx="453">
                  <c:v>1.0424728487886383E-3</c:v>
                </c:pt>
                <c:pt idx="454">
                  <c:v>1.0424728487886383E-3</c:v>
                </c:pt>
                <c:pt idx="455">
                  <c:v>1.0424728487886383E-3</c:v>
                </c:pt>
                <c:pt idx="456">
                  <c:v>1.0424728487886383E-3</c:v>
                </c:pt>
                <c:pt idx="457">
                  <c:v>1.0424728487886383E-3</c:v>
                </c:pt>
                <c:pt idx="458">
                  <c:v>1.0424728487886383E-3</c:v>
                </c:pt>
                <c:pt idx="459">
                  <c:v>0.47753447284878864</c:v>
                </c:pt>
              </c:numCache>
            </c:numRef>
          </c:xVal>
          <c:yVal>
            <c:numRef>
              <c:f>Messdaten!$O$15:$O$474</c:f>
              <c:numCache>
                <c:formatCode>0.000</c:formatCode>
                <c:ptCount val="460"/>
                <c:pt idx="0">
                  <c:v>97.679298245614021</c:v>
                </c:pt>
                <c:pt idx="1">
                  <c:v>97.679298245614021</c:v>
                </c:pt>
                <c:pt idx="2">
                  <c:v>97.679298245614021</c:v>
                </c:pt>
                <c:pt idx="3">
                  <c:v>97.679298245614021</c:v>
                </c:pt>
                <c:pt idx="4">
                  <c:v>97.679298245614021</c:v>
                </c:pt>
                <c:pt idx="5">
                  <c:v>97.679298245614021</c:v>
                </c:pt>
                <c:pt idx="6">
                  <c:v>97.679298245614021</c:v>
                </c:pt>
                <c:pt idx="7">
                  <c:v>97.679298245614021</c:v>
                </c:pt>
                <c:pt idx="8">
                  <c:v>97.679298245614021</c:v>
                </c:pt>
                <c:pt idx="9">
                  <c:v>97.679298245614021</c:v>
                </c:pt>
                <c:pt idx="10">
                  <c:v>97.679298245614021</c:v>
                </c:pt>
                <c:pt idx="11">
                  <c:v>97.679298245614021</c:v>
                </c:pt>
                <c:pt idx="12">
                  <c:v>97.679298245614021</c:v>
                </c:pt>
                <c:pt idx="13">
                  <c:v>97.679298245614021</c:v>
                </c:pt>
                <c:pt idx="14">
                  <c:v>97.679298245614021</c:v>
                </c:pt>
                <c:pt idx="15">
                  <c:v>97.679298245614021</c:v>
                </c:pt>
                <c:pt idx="16">
                  <c:v>97.679298245614021</c:v>
                </c:pt>
                <c:pt idx="17">
                  <c:v>97.679298245614021</c:v>
                </c:pt>
                <c:pt idx="18">
                  <c:v>97.679298245614021</c:v>
                </c:pt>
                <c:pt idx="19">
                  <c:v>97.679298245614021</c:v>
                </c:pt>
                <c:pt idx="20">
                  <c:v>97.679298245614021</c:v>
                </c:pt>
                <c:pt idx="21">
                  <c:v>97.679298245614021</c:v>
                </c:pt>
                <c:pt idx="22">
                  <c:v>97.679298245614021</c:v>
                </c:pt>
                <c:pt idx="23">
                  <c:v>97.679298245614021</c:v>
                </c:pt>
                <c:pt idx="24">
                  <c:v>97.679298245614021</c:v>
                </c:pt>
                <c:pt idx="25">
                  <c:v>97.679298245614021</c:v>
                </c:pt>
                <c:pt idx="26">
                  <c:v>97.679298245614021</c:v>
                </c:pt>
                <c:pt idx="27">
                  <c:v>97.679298245614021</c:v>
                </c:pt>
                <c:pt idx="28">
                  <c:v>97.679298245614021</c:v>
                </c:pt>
                <c:pt idx="29">
                  <c:v>97.679298245614021</c:v>
                </c:pt>
                <c:pt idx="30">
                  <c:v>97.679298245614021</c:v>
                </c:pt>
                <c:pt idx="31">
                  <c:v>97.679298245614021</c:v>
                </c:pt>
                <c:pt idx="32">
                  <c:v>97.679298245614021</c:v>
                </c:pt>
                <c:pt idx="33">
                  <c:v>97.679298245614021</c:v>
                </c:pt>
                <c:pt idx="34">
                  <c:v>97.679298245614021</c:v>
                </c:pt>
                <c:pt idx="35">
                  <c:v>97.679298245614021</c:v>
                </c:pt>
                <c:pt idx="36">
                  <c:v>97.679298245614021</c:v>
                </c:pt>
                <c:pt idx="37">
                  <c:v>97.679298245614021</c:v>
                </c:pt>
                <c:pt idx="38">
                  <c:v>97.679298245614021</c:v>
                </c:pt>
                <c:pt idx="39">
                  <c:v>97.679298245614021</c:v>
                </c:pt>
                <c:pt idx="40">
                  <c:v>97.679298245614021</c:v>
                </c:pt>
                <c:pt idx="41">
                  <c:v>97.679298245614021</c:v>
                </c:pt>
                <c:pt idx="42">
                  <c:v>97.679298245614021</c:v>
                </c:pt>
                <c:pt idx="43">
                  <c:v>97.679298245614021</c:v>
                </c:pt>
                <c:pt idx="44">
                  <c:v>97.679298245614021</c:v>
                </c:pt>
                <c:pt idx="45">
                  <c:v>97.679298245614021</c:v>
                </c:pt>
                <c:pt idx="46">
                  <c:v>97.679298245614021</c:v>
                </c:pt>
                <c:pt idx="47">
                  <c:v>97.679298245614021</c:v>
                </c:pt>
                <c:pt idx="48">
                  <c:v>97.679298245614021</c:v>
                </c:pt>
                <c:pt idx="49">
                  <c:v>97.679298245614021</c:v>
                </c:pt>
                <c:pt idx="50">
                  <c:v>97.679298245614021</c:v>
                </c:pt>
                <c:pt idx="51">
                  <c:v>97.679298245614021</c:v>
                </c:pt>
                <c:pt idx="52">
                  <c:v>97.679298245614021</c:v>
                </c:pt>
                <c:pt idx="53">
                  <c:v>97.679298245614021</c:v>
                </c:pt>
                <c:pt idx="54">
                  <c:v>97.679298245614021</c:v>
                </c:pt>
                <c:pt idx="55">
                  <c:v>97.679298245614021</c:v>
                </c:pt>
                <c:pt idx="56">
                  <c:v>97.679298245614021</c:v>
                </c:pt>
                <c:pt idx="57">
                  <c:v>97.679298245614021</c:v>
                </c:pt>
                <c:pt idx="58">
                  <c:v>97.679298245614021</c:v>
                </c:pt>
                <c:pt idx="59">
                  <c:v>97.679298245614021</c:v>
                </c:pt>
                <c:pt idx="60">
                  <c:v>97.679298245614021</c:v>
                </c:pt>
                <c:pt idx="61">
                  <c:v>97.679298245614021</c:v>
                </c:pt>
                <c:pt idx="62">
                  <c:v>97.679298245614021</c:v>
                </c:pt>
                <c:pt idx="63">
                  <c:v>97.679298245614021</c:v>
                </c:pt>
                <c:pt idx="64">
                  <c:v>97.679298245614021</c:v>
                </c:pt>
                <c:pt idx="65">
                  <c:v>97.679298245614021</c:v>
                </c:pt>
                <c:pt idx="66">
                  <c:v>97.679298245614021</c:v>
                </c:pt>
                <c:pt idx="67">
                  <c:v>97.679298245614021</c:v>
                </c:pt>
                <c:pt idx="68">
                  <c:v>97.679298245614021</c:v>
                </c:pt>
                <c:pt idx="69">
                  <c:v>97.679298245614021</c:v>
                </c:pt>
                <c:pt idx="70">
                  <c:v>97.679298245614021</c:v>
                </c:pt>
                <c:pt idx="71">
                  <c:v>97.679298245614021</c:v>
                </c:pt>
                <c:pt idx="72">
                  <c:v>97.679298245614021</c:v>
                </c:pt>
                <c:pt idx="73">
                  <c:v>97.679298245614021</c:v>
                </c:pt>
                <c:pt idx="74">
                  <c:v>97.679298245614021</c:v>
                </c:pt>
                <c:pt idx="75">
                  <c:v>97.679298245614021</c:v>
                </c:pt>
                <c:pt idx="76">
                  <c:v>97.679298245614021</c:v>
                </c:pt>
                <c:pt idx="77">
                  <c:v>97.679298245614021</c:v>
                </c:pt>
                <c:pt idx="78">
                  <c:v>97.679298245614021</c:v>
                </c:pt>
                <c:pt idx="79">
                  <c:v>97.679298245614021</c:v>
                </c:pt>
                <c:pt idx="80">
                  <c:v>97.679298245614021</c:v>
                </c:pt>
                <c:pt idx="81">
                  <c:v>97.679298245614021</c:v>
                </c:pt>
                <c:pt idx="82">
                  <c:v>97.679298245614021</c:v>
                </c:pt>
                <c:pt idx="83">
                  <c:v>97.679298245614021</c:v>
                </c:pt>
                <c:pt idx="84">
                  <c:v>97.679298245614021</c:v>
                </c:pt>
                <c:pt idx="85">
                  <c:v>97.679298245614021</c:v>
                </c:pt>
                <c:pt idx="86">
                  <c:v>97.679298245614021</c:v>
                </c:pt>
                <c:pt idx="87">
                  <c:v>97.679298245614021</c:v>
                </c:pt>
                <c:pt idx="88">
                  <c:v>97.679298245614021</c:v>
                </c:pt>
                <c:pt idx="89">
                  <c:v>97.679298245614021</c:v>
                </c:pt>
                <c:pt idx="90">
                  <c:v>97.679298245614021</c:v>
                </c:pt>
                <c:pt idx="91">
                  <c:v>97.679298245614021</c:v>
                </c:pt>
                <c:pt idx="92">
                  <c:v>97.679298245614021</c:v>
                </c:pt>
                <c:pt idx="93">
                  <c:v>97.679298245614021</c:v>
                </c:pt>
                <c:pt idx="94">
                  <c:v>97.679298245614021</c:v>
                </c:pt>
                <c:pt idx="95">
                  <c:v>97.679298245614021</c:v>
                </c:pt>
                <c:pt idx="96">
                  <c:v>97.679298245614021</c:v>
                </c:pt>
                <c:pt idx="97">
                  <c:v>97.679298245614021</c:v>
                </c:pt>
                <c:pt idx="98">
                  <c:v>97.679298245614021</c:v>
                </c:pt>
                <c:pt idx="99">
                  <c:v>97.679298245614021</c:v>
                </c:pt>
                <c:pt idx="100">
                  <c:v>97.679298245614021</c:v>
                </c:pt>
                <c:pt idx="101">
                  <c:v>97.679298245614021</c:v>
                </c:pt>
                <c:pt idx="102">
                  <c:v>97.679298245614021</c:v>
                </c:pt>
                <c:pt idx="103">
                  <c:v>97.679298245614021</c:v>
                </c:pt>
                <c:pt idx="104">
                  <c:v>97.679298245614021</c:v>
                </c:pt>
                <c:pt idx="105">
                  <c:v>97.679298245614021</c:v>
                </c:pt>
                <c:pt idx="106">
                  <c:v>97.679298245614021</c:v>
                </c:pt>
                <c:pt idx="107">
                  <c:v>97.679298245614021</c:v>
                </c:pt>
                <c:pt idx="108">
                  <c:v>97.679298245614021</c:v>
                </c:pt>
                <c:pt idx="109">
                  <c:v>97.679298245614021</c:v>
                </c:pt>
                <c:pt idx="110">
                  <c:v>97.679298245614021</c:v>
                </c:pt>
                <c:pt idx="111">
                  <c:v>97.679298245614021</c:v>
                </c:pt>
                <c:pt idx="112">
                  <c:v>97.679298245614021</c:v>
                </c:pt>
                <c:pt idx="113">
                  <c:v>97.679298245614021</c:v>
                </c:pt>
                <c:pt idx="114">
                  <c:v>97.679298245614021</c:v>
                </c:pt>
                <c:pt idx="115">
                  <c:v>97.679298245614021</c:v>
                </c:pt>
                <c:pt idx="116">
                  <c:v>97.679298245614021</c:v>
                </c:pt>
                <c:pt idx="117">
                  <c:v>97.679298245614021</c:v>
                </c:pt>
                <c:pt idx="118">
                  <c:v>97.679298245614021</c:v>
                </c:pt>
                <c:pt idx="119">
                  <c:v>97.679298245614021</c:v>
                </c:pt>
                <c:pt idx="120">
                  <c:v>97.679298245614021</c:v>
                </c:pt>
                <c:pt idx="121">
                  <c:v>97.679298245614021</c:v>
                </c:pt>
                <c:pt idx="122">
                  <c:v>97.679298245614021</c:v>
                </c:pt>
                <c:pt idx="123">
                  <c:v>97.679298245614021</c:v>
                </c:pt>
                <c:pt idx="124">
                  <c:v>97.679298245614021</c:v>
                </c:pt>
                <c:pt idx="125">
                  <c:v>97.679298245614021</c:v>
                </c:pt>
                <c:pt idx="126">
                  <c:v>97.679298245614021</c:v>
                </c:pt>
                <c:pt idx="127">
                  <c:v>97.679298245614021</c:v>
                </c:pt>
                <c:pt idx="128">
                  <c:v>97.679298245614021</c:v>
                </c:pt>
                <c:pt idx="129">
                  <c:v>97.679298245614021</c:v>
                </c:pt>
                <c:pt idx="130">
                  <c:v>97.679298245614021</c:v>
                </c:pt>
                <c:pt idx="131">
                  <c:v>97.679298245614021</c:v>
                </c:pt>
                <c:pt idx="132">
                  <c:v>97.679298245614021</c:v>
                </c:pt>
                <c:pt idx="133">
                  <c:v>97.679298245614021</c:v>
                </c:pt>
                <c:pt idx="134">
                  <c:v>97.679298245614021</c:v>
                </c:pt>
                <c:pt idx="135">
                  <c:v>97.679298245614021</c:v>
                </c:pt>
                <c:pt idx="136">
                  <c:v>97.679298245614021</c:v>
                </c:pt>
                <c:pt idx="137">
                  <c:v>97.679298245614021</c:v>
                </c:pt>
                <c:pt idx="138">
                  <c:v>97.679298245614021</c:v>
                </c:pt>
                <c:pt idx="139">
                  <c:v>97.679298245614021</c:v>
                </c:pt>
                <c:pt idx="140">
                  <c:v>97.679298245614021</c:v>
                </c:pt>
                <c:pt idx="141">
                  <c:v>97.679298245614021</c:v>
                </c:pt>
                <c:pt idx="142">
                  <c:v>97.679298245614021</c:v>
                </c:pt>
                <c:pt idx="143">
                  <c:v>97.679298245614021</c:v>
                </c:pt>
                <c:pt idx="144">
                  <c:v>97.679298245614021</c:v>
                </c:pt>
                <c:pt idx="145">
                  <c:v>97.679298245614021</c:v>
                </c:pt>
                <c:pt idx="146">
                  <c:v>97.679298245614021</c:v>
                </c:pt>
                <c:pt idx="147">
                  <c:v>97.679298245614021</c:v>
                </c:pt>
                <c:pt idx="148">
                  <c:v>97.679298245614021</c:v>
                </c:pt>
                <c:pt idx="149">
                  <c:v>97.679298245614021</c:v>
                </c:pt>
                <c:pt idx="150">
                  <c:v>97.679298245614021</c:v>
                </c:pt>
                <c:pt idx="151">
                  <c:v>97.679298245614021</c:v>
                </c:pt>
                <c:pt idx="152">
                  <c:v>97.679298245614021</c:v>
                </c:pt>
                <c:pt idx="153">
                  <c:v>97.679298245614021</c:v>
                </c:pt>
                <c:pt idx="154">
                  <c:v>97.679298245614021</c:v>
                </c:pt>
                <c:pt idx="155">
                  <c:v>97.679298245614021</c:v>
                </c:pt>
                <c:pt idx="156">
                  <c:v>97.679298245614021</c:v>
                </c:pt>
                <c:pt idx="157">
                  <c:v>97.679298245614021</c:v>
                </c:pt>
                <c:pt idx="158">
                  <c:v>97.679298245614021</c:v>
                </c:pt>
                <c:pt idx="159">
                  <c:v>97.679298245614021</c:v>
                </c:pt>
                <c:pt idx="160">
                  <c:v>97.679298245614021</c:v>
                </c:pt>
                <c:pt idx="161">
                  <c:v>97.679298245614021</c:v>
                </c:pt>
                <c:pt idx="162">
                  <c:v>97.679298245614021</c:v>
                </c:pt>
                <c:pt idx="163">
                  <c:v>97.679298245614021</c:v>
                </c:pt>
                <c:pt idx="164">
                  <c:v>97.679298245614021</c:v>
                </c:pt>
                <c:pt idx="165">
                  <c:v>97.679298245614021</c:v>
                </c:pt>
                <c:pt idx="166">
                  <c:v>97.679298245614021</c:v>
                </c:pt>
                <c:pt idx="167">
                  <c:v>97.679298245614021</c:v>
                </c:pt>
                <c:pt idx="168">
                  <c:v>97.679298245614021</c:v>
                </c:pt>
                <c:pt idx="169">
                  <c:v>97.679298245614021</c:v>
                </c:pt>
                <c:pt idx="170">
                  <c:v>97.679298245614021</c:v>
                </c:pt>
                <c:pt idx="171">
                  <c:v>97.679298245614021</c:v>
                </c:pt>
                <c:pt idx="172">
                  <c:v>97.679298245614021</c:v>
                </c:pt>
                <c:pt idx="173">
                  <c:v>97.679298245614021</c:v>
                </c:pt>
                <c:pt idx="174">
                  <c:v>97.679298245614021</c:v>
                </c:pt>
                <c:pt idx="175">
                  <c:v>97.679298245614021</c:v>
                </c:pt>
                <c:pt idx="176">
                  <c:v>97.679298245614021</c:v>
                </c:pt>
                <c:pt idx="177">
                  <c:v>97.679298245614021</c:v>
                </c:pt>
                <c:pt idx="178">
                  <c:v>97.679298245614021</c:v>
                </c:pt>
                <c:pt idx="179">
                  <c:v>97.679298245614021</c:v>
                </c:pt>
                <c:pt idx="180">
                  <c:v>97.679298245614021</c:v>
                </c:pt>
                <c:pt idx="181">
                  <c:v>97.679298245614021</c:v>
                </c:pt>
                <c:pt idx="182">
                  <c:v>97.679298245614021</c:v>
                </c:pt>
                <c:pt idx="183">
                  <c:v>97.679298245614021</c:v>
                </c:pt>
                <c:pt idx="184">
                  <c:v>97.679298245614021</c:v>
                </c:pt>
                <c:pt idx="185">
                  <c:v>97.679298245614021</c:v>
                </c:pt>
                <c:pt idx="186">
                  <c:v>97.679298245614021</c:v>
                </c:pt>
                <c:pt idx="187">
                  <c:v>97.679298245614021</c:v>
                </c:pt>
                <c:pt idx="188">
                  <c:v>97.679298245614021</c:v>
                </c:pt>
                <c:pt idx="189">
                  <c:v>97.679298245614021</c:v>
                </c:pt>
                <c:pt idx="190">
                  <c:v>97.679298245614021</c:v>
                </c:pt>
                <c:pt idx="191">
                  <c:v>97.679298245614021</c:v>
                </c:pt>
                <c:pt idx="192">
                  <c:v>97.679298245614021</c:v>
                </c:pt>
                <c:pt idx="193">
                  <c:v>97.679298245614021</c:v>
                </c:pt>
                <c:pt idx="194">
                  <c:v>97.679298245614021</c:v>
                </c:pt>
                <c:pt idx="195">
                  <c:v>97.679298245614021</c:v>
                </c:pt>
                <c:pt idx="196">
                  <c:v>97.679298245614021</c:v>
                </c:pt>
                <c:pt idx="197">
                  <c:v>97.679298245614021</c:v>
                </c:pt>
                <c:pt idx="198">
                  <c:v>97.679298245614021</c:v>
                </c:pt>
                <c:pt idx="199">
                  <c:v>97.679298245614021</c:v>
                </c:pt>
                <c:pt idx="200">
                  <c:v>97.679298245614021</c:v>
                </c:pt>
                <c:pt idx="201">
                  <c:v>97.679298245614021</c:v>
                </c:pt>
                <c:pt idx="202">
                  <c:v>97.679298245614021</c:v>
                </c:pt>
                <c:pt idx="203">
                  <c:v>97.679298245614021</c:v>
                </c:pt>
                <c:pt idx="204">
                  <c:v>97.679298245614021</c:v>
                </c:pt>
                <c:pt idx="205">
                  <c:v>97.679298245614021</c:v>
                </c:pt>
                <c:pt idx="206">
                  <c:v>97.679298245614021</c:v>
                </c:pt>
                <c:pt idx="207">
                  <c:v>97.679298245614021</c:v>
                </c:pt>
                <c:pt idx="208">
                  <c:v>97.679298245614021</c:v>
                </c:pt>
                <c:pt idx="209">
                  <c:v>97.679298245614021</c:v>
                </c:pt>
                <c:pt idx="210">
                  <c:v>97.679298245614021</c:v>
                </c:pt>
                <c:pt idx="211">
                  <c:v>97.679298245614021</c:v>
                </c:pt>
                <c:pt idx="212">
                  <c:v>97.679298245614021</c:v>
                </c:pt>
                <c:pt idx="213">
                  <c:v>97.679298245614021</c:v>
                </c:pt>
                <c:pt idx="214">
                  <c:v>97.679298245614021</c:v>
                </c:pt>
                <c:pt idx="215">
                  <c:v>97.679298245614021</c:v>
                </c:pt>
                <c:pt idx="216">
                  <c:v>97.679298245614021</c:v>
                </c:pt>
                <c:pt idx="217">
                  <c:v>97.679298245614021</c:v>
                </c:pt>
                <c:pt idx="218">
                  <c:v>97.679298245614021</c:v>
                </c:pt>
                <c:pt idx="219">
                  <c:v>97.679298245614021</c:v>
                </c:pt>
                <c:pt idx="220">
                  <c:v>97.679298245614021</c:v>
                </c:pt>
                <c:pt idx="221">
                  <c:v>97.679298245614021</c:v>
                </c:pt>
                <c:pt idx="222">
                  <c:v>97.679298245614021</c:v>
                </c:pt>
                <c:pt idx="223">
                  <c:v>97.679298245614021</c:v>
                </c:pt>
                <c:pt idx="224">
                  <c:v>97.679298245614021</c:v>
                </c:pt>
                <c:pt idx="225">
                  <c:v>97.679298245614021</c:v>
                </c:pt>
                <c:pt idx="226">
                  <c:v>97.679298245614021</c:v>
                </c:pt>
                <c:pt idx="227">
                  <c:v>97.679298245614021</c:v>
                </c:pt>
                <c:pt idx="228">
                  <c:v>97.679298245614021</c:v>
                </c:pt>
                <c:pt idx="229">
                  <c:v>97.679298245614021</c:v>
                </c:pt>
                <c:pt idx="230">
                  <c:v>97.679298245614021</c:v>
                </c:pt>
                <c:pt idx="231">
                  <c:v>97.679298245614021</c:v>
                </c:pt>
                <c:pt idx="232">
                  <c:v>97.679298245614021</c:v>
                </c:pt>
                <c:pt idx="233">
                  <c:v>97.679298245614021</c:v>
                </c:pt>
                <c:pt idx="234">
                  <c:v>97.679298245614021</c:v>
                </c:pt>
                <c:pt idx="235">
                  <c:v>97.679298245614021</c:v>
                </c:pt>
                <c:pt idx="236">
                  <c:v>97.679298245614021</c:v>
                </c:pt>
                <c:pt idx="237">
                  <c:v>97.679298245614021</c:v>
                </c:pt>
                <c:pt idx="238">
                  <c:v>97.679298245614021</c:v>
                </c:pt>
                <c:pt idx="239">
                  <c:v>97.679298245614021</c:v>
                </c:pt>
                <c:pt idx="240">
                  <c:v>97.679298245614021</c:v>
                </c:pt>
                <c:pt idx="241">
                  <c:v>97.679298245614021</c:v>
                </c:pt>
                <c:pt idx="242">
                  <c:v>97.679298245614021</c:v>
                </c:pt>
                <c:pt idx="243">
                  <c:v>97.679298245614021</c:v>
                </c:pt>
                <c:pt idx="244">
                  <c:v>97.679298245614021</c:v>
                </c:pt>
                <c:pt idx="245">
                  <c:v>97.679298245614021</c:v>
                </c:pt>
                <c:pt idx="246">
                  <c:v>97.679298245614021</c:v>
                </c:pt>
                <c:pt idx="247">
                  <c:v>97.679298245614021</c:v>
                </c:pt>
                <c:pt idx="248">
                  <c:v>97.679298245614021</c:v>
                </c:pt>
                <c:pt idx="249">
                  <c:v>97.679298245614021</c:v>
                </c:pt>
                <c:pt idx="250">
                  <c:v>97.679298245614021</c:v>
                </c:pt>
                <c:pt idx="251">
                  <c:v>97.679298245614021</c:v>
                </c:pt>
                <c:pt idx="252">
                  <c:v>97.679298245614021</c:v>
                </c:pt>
                <c:pt idx="253">
                  <c:v>97.679298245614021</c:v>
                </c:pt>
                <c:pt idx="254">
                  <c:v>97.679298245614021</c:v>
                </c:pt>
                <c:pt idx="255">
                  <c:v>97.679298245614021</c:v>
                </c:pt>
                <c:pt idx="256">
                  <c:v>97.679298245614021</c:v>
                </c:pt>
                <c:pt idx="257">
                  <c:v>97.679298245614021</c:v>
                </c:pt>
                <c:pt idx="258">
                  <c:v>97.679298245614021</c:v>
                </c:pt>
                <c:pt idx="259">
                  <c:v>97.679298245614021</c:v>
                </c:pt>
                <c:pt idx="260">
                  <c:v>97.679298245614021</c:v>
                </c:pt>
                <c:pt idx="261">
                  <c:v>97.679298245614021</c:v>
                </c:pt>
                <c:pt idx="262">
                  <c:v>97.679298245614021</c:v>
                </c:pt>
                <c:pt idx="263">
                  <c:v>97.679298245614021</c:v>
                </c:pt>
                <c:pt idx="264">
                  <c:v>97.679298245614021</c:v>
                </c:pt>
                <c:pt idx="265">
                  <c:v>97.679298245614021</c:v>
                </c:pt>
                <c:pt idx="266">
                  <c:v>97.679298245614021</c:v>
                </c:pt>
                <c:pt idx="267">
                  <c:v>97.679298245614021</c:v>
                </c:pt>
                <c:pt idx="268">
                  <c:v>97.679298245614021</c:v>
                </c:pt>
                <c:pt idx="269">
                  <c:v>97.679298245614021</c:v>
                </c:pt>
                <c:pt idx="270">
                  <c:v>97.679298245614021</c:v>
                </c:pt>
                <c:pt idx="271">
                  <c:v>97.679298245614021</c:v>
                </c:pt>
                <c:pt idx="272">
                  <c:v>97.679298245614021</c:v>
                </c:pt>
                <c:pt idx="273">
                  <c:v>97.679298245614021</c:v>
                </c:pt>
                <c:pt idx="274">
                  <c:v>97.679298245614021</c:v>
                </c:pt>
                <c:pt idx="275">
                  <c:v>97.679298245614021</c:v>
                </c:pt>
                <c:pt idx="276">
                  <c:v>97.679298245614021</c:v>
                </c:pt>
                <c:pt idx="277">
                  <c:v>97.679298245614021</c:v>
                </c:pt>
                <c:pt idx="278">
                  <c:v>97.679298245614021</c:v>
                </c:pt>
                <c:pt idx="279">
                  <c:v>97.679298245614021</c:v>
                </c:pt>
                <c:pt idx="280">
                  <c:v>97.679298245614021</c:v>
                </c:pt>
                <c:pt idx="281">
                  <c:v>97.679298245614021</c:v>
                </c:pt>
                <c:pt idx="282">
                  <c:v>97.679298245614021</c:v>
                </c:pt>
                <c:pt idx="283">
                  <c:v>97.679298245614021</c:v>
                </c:pt>
                <c:pt idx="284">
                  <c:v>97.679298245614021</c:v>
                </c:pt>
                <c:pt idx="285">
                  <c:v>97.679298245614021</c:v>
                </c:pt>
                <c:pt idx="286">
                  <c:v>97.679298245614021</c:v>
                </c:pt>
                <c:pt idx="287">
                  <c:v>97.679298245614021</c:v>
                </c:pt>
                <c:pt idx="288">
                  <c:v>97.679298245614021</c:v>
                </c:pt>
                <c:pt idx="289">
                  <c:v>97.679298245614021</c:v>
                </c:pt>
                <c:pt idx="290">
                  <c:v>97.679298245614021</c:v>
                </c:pt>
                <c:pt idx="291">
                  <c:v>97.679298245614021</c:v>
                </c:pt>
                <c:pt idx="292">
                  <c:v>97.679298245614021</c:v>
                </c:pt>
                <c:pt idx="293">
                  <c:v>97.679298245614021</c:v>
                </c:pt>
                <c:pt idx="294">
                  <c:v>97.679298245614021</c:v>
                </c:pt>
                <c:pt idx="295">
                  <c:v>97.679298245614021</c:v>
                </c:pt>
                <c:pt idx="296">
                  <c:v>97.679298245614021</c:v>
                </c:pt>
                <c:pt idx="297">
                  <c:v>97.679298245614021</c:v>
                </c:pt>
                <c:pt idx="298">
                  <c:v>97.679298245614021</c:v>
                </c:pt>
                <c:pt idx="299">
                  <c:v>97.679298245614021</c:v>
                </c:pt>
                <c:pt idx="300">
                  <c:v>97.679298245614021</c:v>
                </c:pt>
                <c:pt idx="301">
                  <c:v>97.679298245614021</c:v>
                </c:pt>
                <c:pt idx="302">
                  <c:v>97.679298245614021</c:v>
                </c:pt>
                <c:pt idx="303">
                  <c:v>97.679298245614021</c:v>
                </c:pt>
                <c:pt idx="304">
                  <c:v>97.679298245614021</c:v>
                </c:pt>
                <c:pt idx="305">
                  <c:v>97.679298245614021</c:v>
                </c:pt>
                <c:pt idx="306">
                  <c:v>97.679298245614021</c:v>
                </c:pt>
                <c:pt idx="307">
                  <c:v>97.679298245614021</c:v>
                </c:pt>
                <c:pt idx="308">
                  <c:v>97.679298245614021</c:v>
                </c:pt>
                <c:pt idx="309">
                  <c:v>97.679298245614021</c:v>
                </c:pt>
                <c:pt idx="310">
                  <c:v>97.679298245614021</c:v>
                </c:pt>
                <c:pt idx="311">
                  <c:v>97.679298245614021</c:v>
                </c:pt>
                <c:pt idx="312">
                  <c:v>97.679298245614021</c:v>
                </c:pt>
                <c:pt idx="313">
                  <c:v>97.679298245614021</c:v>
                </c:pt>
                <c:pt idx="314">
                  <c:v>97.679298245614021</c:v>
                </c:pt>
                <c:pt idx="315">
                  <c:v>97.679298245614021</c:v>
                </c:pt>
                <c:pt idx="316">
                  <c:v>97.679298245614021</c:v>
                </c:pt>
                <c:pt idx="317">
                  <c:v>97.679298245614021</c:v>
                </c:pt>
                <c:pt idx="318">
                  <c:v>97.679298245614021</c:v>
                </c:pt>
                <c:pt idx="319">
                  <c:v>97.679298245614021</c:v>
                </c:pt>
                <c:pt idx="320">
                  <c:v>97.679298245614021</c:v>
                </c:pt>
                <c:pt idx="321">
                  <c:v>97.679298245614021</c:v>
                </c:pt>
                <c:pt idx="322">
                  <c:v>97.679298245614021</c:v>
                </c:pt>
                <c:pt idx="323">
                  <c:v>97.679298245614021</c:v>
                </c:pt>
                <c:pt idx="324">
                  <c:v>97.679298245614021</c:v>
                </c:pt>
                <c:pt idx="325">
                  <c:v>97.679298245614021</c:v>
                </c:pt>
                <c:pt idx="326">
                  <c:v>97.679298245614021</c:v>
                </c:pt>
                <c:pt idx="327">
                  <c:v>97.679298245614021</c:v>
                </c:pt>
                <c:pt idx="328">
                  <c:v>97.679298245614021</c:v>
                </c:pt>
                <c:pt idx="329">
                  <c:v>97.679298245614021</c:v>
                </c:pt>
                <c:pt idx="330">
                  <c:v>97.679298245614021</c:v>
                </c:pt>
                <c:pt idx="331">
                  <c:v>97.679298245614021</c:v>
                </c:pt>
                <c:pt idx="332">
                  <c:v>97.679298245614021</c:v>
                </c:pt>
                <c:pt idx="333">
                  <c:v>97.679298245614021</c:v>
                </c:pt>
                <c:pt idx="334">
                  <c:v>97.679298245614021</c:v>
                </c:pt>
                <c:pt idx="335">
                  <c:v>97.679298245614021</c:v>
                </c:pt>
                <c:pt idx="336">
                  <c:v>97.679298245614021</c:v>
                </c:pt>
                <c:pt idx="337">
                  <c:v>97.679298245614021</c:v>
                </c:pt>
                <c:pt idx="338">
                  <c:v>97.679298245614021</c:v>
                </c:pt>
                <c:pt idx="339">
                  <c:v>97.679298245614021</c:v>
                </c:pt>
                <c:pt idx="340">
                  <c:v>97.679298245614021</c:v>
                </c:pt>
                <c:pt idx="341">
                  <c:v>97.679298245614021</c:v>
                </c:pt>
                <c:pt idx="342">
                  <c:v>97.679298245614021</c:v>
                </c:pt>
                <c:pt idx="343">
                  <c:v>97.679298245614021</c:v>
                </c:pt>
                <c:pt idx="344">
                  <c:v>97.679298245614021</c:v>
                </c:pt>
                <c:pt idx="345">
                  <c:v>97.679298245614021</c:v>
                </c:pt>
                <c:pt idx="346">
                  <c:v>97.679298245614021</c:v>
                </c:pt>
                <c:pt idx="347">
                  <c:v>97.679298245614021</c:v>
                </c:pt>
                <c:pt idx="348">
                  <c:v>97.679298245614021</c:v>
                </c:pt>
                <c:pt idx="349">
                  <c:v>97.679298245614021</c:v>
                </c:pt>
                <c:pt idx="350">
                  <c:v>97.679298245614021</c:v>
                </c:pt>
                <c:pt idx="351">
                  <c:v>97.679298245614021</c:v>
                </c:pt>
                <c:pt idx="352">
                  <c:v>97.679298245614021</c:v>
                </c:pt>
                <c:pt idx="353">
                  <c:v>97.679298245614021</c:v>
                </c:pt>
                <c:pt idx="354">
                  <c:v>97.679298245614021</c:v>
                </c:pt>
                <c:pt idx="355">
                  <c:v>97.679298245614021</c:v>
                </c:pt>
                <c:pt idx="356">
                  <c:v>97.679298245614021</c:v>
                </c:pt>
                <c:pt idx="357">
                  <c:v>97.679298245614021</c:v>
                </c:pt>
                <c:pt idx="358">
                  <c:v>97.679298245614021</c:v>
                </c:pt>
                <c:pt idx="359">
                  <c:v>97.679298245614021</c:v>
                </c:pt>
                <c:pt idx="360">
                  <c:v>97.679298245614021</c:v>
                </c:pt>
                <c:pt idx="361">
                  <c:v>97.679298245614021</c:v>
                </c:pt>
                <c:pt idx="362">
                  <c:v>97.679298245614021</c:v>
                </c:pt>
                <c:pt idx="363">
                  <c:v>97.679298245614021</c:v>
                </c:pt>
                <c:pt idx="364">
                  <c:v>97.679298245614021</c:v>
                </c:pt>
                <c:pt idx="365">
                  <c:v>97.679298245614021</c:v>
                </c:pt>
                <c:pt idx="366">
                  <c:v>97.679298245614021</c:v>
                </c:pt>
                <c:pt idx="367">
                  <c:v>97.679298245614021</c:v>
                </c:pt>
                <c:pt idx="368">
                  <c:v>97.679298245614021</c:v>
                </c:pt>
                <c:pt idx="369">
                  <c:v>97.679298245614021</c:v>
                </c:pt>
                <c:pt idx="370">
                  <c:v>97.679298245614021</c:v>
                </c:pt>
                <c:pt idx="371">
                  <c:v>97.679298245614021</c:v>
                </c:pt>
                <c:pt idx="372">
                  <c:v>97.679298245614021</c:v>
                </c:pt>
                <c:pt idx="373">
                  <c:v>97.679298245614021</c:v>
                </c:pt>
                <c:pt idx="374">
                  <c:v>97.679298245614021</c:v>
                </c:pt>
                <c:pt idx="375">
                  <c:v>97.679298245614021</c:v>
                </c:pt>
                <c:pt idx="376">
                  <c:v>97.679298245614021</c:v>
                </c:pt>
                <c:pt idx="377">
                  <c:v>97.679298245614021</c:v>
                </c:pt>
                <c:pt idx="378">
                  <c:v>97.679298245614021</c:v>
                </c:pt>
                <c:pt idx="379">
                  <c:v>97.679298245614021</c:v>
                </c:pt>
                <c:pt idx="380">
                  <c:v>97.679298245614021</c:v>
                </c:pt>
                <c:pt idx="381">
                  <c:v>97.679298245614021</c:v>
                </c:pt>
                <c:pt idx="382">
                  <c:v>97.679298245614021</c:v>
                </c:pt>
                <c:pt idx="383">
                  <c:v>97.679298245614021</c:v>
                </c:pt>
                <c:pt idx="384">
                  <c:v>97.679298245614021</c:v>
                </c:pt>
                <c:pt idx="385">
                  <c:v>97.679298245614021</c:v>
                </c:pt>
                <c:pt idx="386">
                  <c:v>97.679298245614021</c:v>
                </c:pt>
                <c:pt idx="387">
                  <c:v>97.679298245614021</c:v>
                </c:pt>
                <c:pt idx="388">
                  <c:v>97.679298245614021</c:v>
                </c:pt>
                <c:pt idx="389">
                  <c:v>97.679298245614021</c:v>
                </c:pt>
                <c:pt idx="390">
                  <c:v>97.679298245614021</c:v>
                </c:pt>
                <c:pt idx="391">
                  <c:v>97.679298245614021</c:v>
                </c:pt>
                <c:pt idx="392">
                  <c:v>97.679298245614021</c:v>
                </c:pt>
                <c:pt idx="393">
                  <c:v>97.679298245614021</c:v>
                </c:pt>
                <c:pt idx="394">
                  <c:v>97.679298245614021</c:v>
                </c:pt>
                <c:pt idx="395">
                  <c:v>97.679298245614021</c:v>
                </c:pt>
                <c:pt idx="396">
                  <c:v>97.679298245614021</c:v>
                </c:pt>
                <c:pt idx="397">
                  <c:v>97.679298245614021</c:v>
                </c:pt>
                <c:pt idx="398">
                  <c:v>97.679298245614021</c:v>
                </c:pt>
                <c:pt idx="399">
                  <c:v>97.679298245614021</c:v>
                </c:pt>
                <c:pt idx="400">
                  <c:v>97.679298245614021</c:v>
                </c:pt>
                <c:pt idx="401">
                  <c:v>97.679298245614021</c:v>
                </c:pt>
                <c:pt idx="402">
                  <c:v>97.679298245614021</c:v>
                </c:pt>
                <c:pt idx="403">
                  <c:v>97.679298245614021</c:v>
                </c:pt>
                <c:pt idx="404">
                  <c:v>97.679298245614021</c:v>
                </c:pt>
                <c:pt idx="405">
                  <c:v>97.679298245614021</c:v>
                </c:pt>
                <c:pt idx="406">
                  <c:v>97.679298245614021</c:v>
                </c:pt>
                <c:pt idx="407">
                  <c:v>97.679298245614021</c:v>
                </c:pt>
                <c:pt idx="408">
                  <c:v>97.679298245614021</c:v>
                </c:pt>
                <c:pt idx="409">
                  <c:v>97.679298245614021</c:v>
                </c:pt>
                <c:pt idx="410">
                  <c:v>97.679298245614021</c:v>
                </c:pt>
                <c:pt idx="411">
                  <c:v>97.679298245614021</c:v>
                </c:pt>
                <c:pt idx="412">
                  <c:v>97.679298245614021</c:v>
                </c:pt>
                <c:pt idx="413">
                  <c:v>97.679298245614021</c:v>
                </c:pt>
                <c:pt idx="414">
                  <c:v>97.679298245614021</c:v>
                </c:pt>
                <c:pt idx="415">
                  <c:v>97.679298245614021</c:v>
                </c:pt>
                <c:pt idx="416">
                  <c:v>97.679298245614021</c:v>
                </c:pt>
                <c:pt idx="417">
                  <c:v>97.679298245614021</c:v>
                </c:pt>
                <c:pt idx="418">
                  <c:v>97.679298245614021</c:v>
                </c:pt>
                <c:pt idx="419">
                  <c:v>97.679298245614021</c:v>
                </c:pt>
                <c:pt idx="420">
                  <c:v>97.679298245614021</c:v>
                </c:pt>
                <c:pt idx="421">
                  <c:v>97.679298245614021</c:v>
                </c:pt>
                <c:pt idx="422">
                  <c:v>97.679298245614021</c:v>
                </c:pt>
                <c:pt idx="423">
                  <c:v>97.679298245614021</c:v>
                </c:pt>
                <c:pt idx="424">
                  <c:v>97.679298245614021</c:v>
                </c:pt>
                <c:pt idx="425">
                  <c:v>97.679298245614021</c:v>
                </c:pt>
                <c:pt idx="426">
                  <c:v>97.679298245614021</c:v>
                </c:pt>
                <c:pt idx="427">
                  <c:v>97.679298245614021</c:v>
                </c:pt>
                <c:pt idx="428">
                  <c:v>97.679298245614021</c:v>
                </c:pt>
                <c:pt idx="429">
                  <c:v>97.679298245614021</c:v>
                </c:pt>
                <c:pt idx="430">
                  <c:v>97.679298245614021</c:v>
                </c:pt>
                <c:pt idx="431">
                  <c:v>97.679298245614021</c:v>
                </c:pt>
                <c:pt idx="432">
                  <c:v>97.679298245614021</c:v>
                </c:pt>
                <c:pt idx="433">
                  <c:v>97.679298245614021</c:v>
                </c:pt>
                <c:pt idx="434">
                  <c:v>97.679298245614021</c:v>
                </c:pt>
                <c:pt idx="435">
                  <c:v>97.679298245614021</c:v>
                </c:pt>
                <c:pt idx="436">
                  <c:v>97.679298245614021</c:v>
                </c:pt>
                <c:pt idx="437">
                  <c:v>97.679298245614021</c:v>
                </c:pt>
                <c:pt idx="438">
                  <c:v>97.679298245614021</c:v>
                </c:pt>
                <c:pt idx="439">
                  <c:v>97.679298245614021</c:v>
                </c:pt>
                <c:pt idx="440">
                  <c:v>97.679298245614021</c:v>
                </c:pt>
                <c:pt idx="441">
                  <c:v>97.679298245614021</c:v>
                </c:pt>
                <c:pt idx="442">
                  <c:v>97.679298245614021</c:v>
                </c:pt>
                <c:pt idx="443">
                  <c:v>97.679298245614021</c:v>
                </c:pt>
                <c:pt idx="444">
                  <c:v>97.679298245614021</c:v>
                </c:pt>
                <c:pt idx="445">
                  <c:v>97.679298245614021</c:v>
                </c:pt>
                <c:pt idx="446">
                  <c:v>97.679298245614021</c:v>
                </c:pt>
                <c:pt idx="447">
                  <c:v>97.679298245614021</c:v>
                </c:pt>
                <c:pt idx="448">
                  <c:v>97.679298245614021</c:v>
                </c:pt>
                <c:pt idx="449">
                  <c:v>97.679298245614021</c:v>
                </c:pt>
                <c:pt idx="450">
                  <c:v>97.679298245614021</c:v>
                </c:pt>
                <c:pt idx="451">
                  <c:v>97.679298245614021</c:v>
                </c:pt>
                <c:pt idx="452">
                  <c:v>97.679298245614021</c:v>
                </c:pt>
                <c:pt idx="453">
                  <c:v>97.679298245614021</c:v>
                </c:pt>
                <c:pt idx="454">
                  <c:v>97.679298245614021</c:v>
                </c:pt>
                <c:pt idx="455">
                  <c:v>97.679298245614021</c:v>
                </c:pt>
                <c:pt idx="456">
                  <c:v>97.679298245614021</c:v>
                </c:pt>
                <c:pt idx="457">
                  <c:v>97.679298245614021</c:v>
                </c:pt>
                <c:pt idx="458">
                  <c:v>97.679298245614021</c:v>
                </c:pt>
                <c:pt idx="459">
                  <c:v>369.1894736842105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F0-4310-8250-8D100F6FA1F2}"/>
            </c:ext>
          </c:extLst>
        </c:ser>
        <c:ser>
          <c:idx val="1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Auswertung!$A$8:$A$9</c:f>
              <c:numCache>
                <c:formatCode>0.000</c:formatCode>
                <c:ptCount val="2"/>
                <c:pt idx="0">
                  <c:v>-6.9876018728959398E-7</c:v>
                </c:pt>
                <c:pt idx="1">
                  <c:v>2.4985108534616302E-3</c:v>
                </c:pt>
              </c:numCache>
            </c:numRef>
          </c:xVal>
          <c:yVal>
            <c:numRef>
              <c:f>Auswertung!$B$8:$B$9</c:f>
              <c:numCache>
                <c:formatCode>0.000</c:formatCode>
                <c:ptCount val="2"/>
                <c:pt idx="0">
                  <c:v>0</c:v>
                </c:pt>
                <c:pt idx="1">
                  <c:v>369.1894736842105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F0-4310-8250-8D100F6FA1F2}"/>
            </c:ext>
          </c:extLst>
        </c:ser>
        <c:ser>
          <c:idx val="2"/>
          <c:order val="3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Auswertung!$C$8:$C$9</c:f>
              <c:numCache>
                <c:formatCode>0.000</c:formatCode>
                <c:ptCount val="2"/>
                <c:pt idx="0">
                  <c:v>1.9993012398127103E-3</c:v>
                </c:pt>
                <c:pt idx="1">
                  <c:v>4.4985108534616302E-3</c:v>
                </c:pt>
              </c:numCache>
            </c:numRef>
          </c:xVal>
          <c:yVal>
            <c:numRef>
              <c:f>Auswertung!$D$8:$D$9</c:f>
              <c:numCache>
                <c:formatCode>0.000</c:formatCode>
                <c:ptCount val="2"/>
                <c:pt idx="0">
                  <c:v>0</c:v>
                </c:pt>
                <c:pt idx="1">
                  <c:v>369.1894736842105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F0-4310-8250-8D100F6FA1F2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Auswertung!$E$8:$E$9</c:f>
              <c:numCache>
                <c:formatCode>0.000</c:formatCode>
                <c:ptCount val="2"/>
                <c:pt idx="0">
                  <c:v>0.47503526323513973</c:v>
                </c:pt>
                <c:pt idx="1">
                  <c:v>0.47753447284878864</c:v>
                </c:pt>
              </c:numCache>
            </c:numRef>
          </c:xVal>
          <c:yVal>
            <c:numRef>
              <c:f>Auswertung!$F$8:$F$9</c:f>
              <c:numCache>
                <c:formatCode>0.000</c:formatCode>
                <c:ptCount val="2"/>
                <c:pt idx="0">
                  <c:v>0</c:v>
                </c:pt>
                <c:pt idx="1">
                  <c:v>369.1894736842105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1F0-4310-8250-8D100F6FA1F2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Auswertung!$I$8:$I$9</c:f>
              <c:numCache>
                <c:formatCode>0.000</c:formatCode>
                <c:ptCount val="2"/>
                <c:pt idx="0">
                  <c:v>0.47503526323513973</c:v>
                </c:pt>
                <c:pt idx="1">
                  <c:v>0.47753447284878864</c:v>
                </c:pt>
              </c:numCache>
            </c:numRef>
          </c:xVal>
          <c:yVal>
            <c:numRef>
              <c:f>Auswertung!$J$8:$J$9</c:f>
              <c:numCache>
                <c:formatCode>0.000</c:formatCode>
                <c:ptCount val="2"/>
                <c:pt idx="0">
                  <c:v>0</c:v>
                </c:pt>
                <c:pt idx="1">
                  <c:v>369.1894736842105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1F0-4310-8250-8D100F6FA1F2}"/>
            </c:ext>
          </c:extLst>
        </c:ser>
        <c:ser>
          <c:idx val="6"/>
          <c:order val="6"/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Messdaten!$K$10</c:f>
              <c:numCache>
                <c:formatCode>0.000</c:formatCode>
                <c:ptCount val="1"/>
                <c:pt idx="0">
                  <c:v>1.3151984394361602</c:v>
                </c:pt>
              </c:numCache>
            </c:numRef>
          </c:xVal>
          <c:yVal>
            <c:numRef>
              <c:f>Messdaten!$K$9</c:f>
              <c:numCache>
                <c:formatCode>0\ "MPa"</c:formatCode>
                <c:ptCount val="1"/>
                <c:pt idx="0">
                  <c:v>1375.4117647058822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F0-4310-8250-8D100F6FA1F2}"/>
            </c:ext>
          </c:extLst>
        </c:ser>
        <c:ser>
          <c:idx val="7"/>
          <c:order val="7"/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(Messdaten!$M$10,Messdaten!$K$10)</c:f>
              <c:numCache>
                <c:formatCode>0.000</c:formatCode>
                <c:ptCount val="2"/>
                <c:pt idx="0">
                  <c:v>1.0419298513089797E-3</c:v>
                </c:pt>
                <c:pt idx="1">
                  <c:v>1.3151984394361602</c:v>
                </c:pt>
              </c:numCache>
            </c:numRef>
          </c:xVal>
          <c:yVal>
            <c:numRef>
              <c:f>(Messdaten!$K$8,Messdaten!$K$9)</c:f>
              <c:numCache>
                <c:formatCode>0\ "MPa"</c:formatCode>
                <c:ptCount val="2"/>
                <c:pt idx="0">
                  <c:v>97.781126261923788</c:v>
                </c:pt>
                <c:pt idx="1">
                  <c:v>1375.4117647058822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F0-4310-8250-8D100F6FA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03168"/>
        <c:axId val="180717056"/>
      </c:scatterChart>
      <c:scatterChart>
        <c:scatterStyle val="lineMarker"/>
        <c:varyColors val="0"/>
        <c:ser>
          <c:idx val="8"/>
          <c:order val="8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Messdaten!$P$15:$P$474</c:f>
              <c:numCache>
                <c:formatCode>0.000</c:formatCode>
                <c:ptCount val="460"/>
                <c:pt idx="0">
                  <c:v>1.0424728487886383E-3</c:v>
                </c:pt>
                <c:pt idx="1">
                  <c:v>1.0424728487886383E-3</c:v>
                </c:pt>
                <c:pt idx="2">
                  <c:v>1.0424728487886383E-3</c:v>
                </c:pt>
                <c:pt idx="3">
                  <c:v>1.0424728487886383E-3</c:v>
                </c:pt>
                <c:pt idx="4">
                  <c:v>1.0424728487886383E-3</c:v>
                </c:pt>
                <c:pt idx="5">
                  <c:v>1.0424728487886383E-3</c:v>
                </c:pt>
                <c:pt idx="6">
                  <c:v>1.0424728487886383E-3</c:v>
                </c:pt>
                <c:pt idx="7">
                  <c:v>1.0424728487886383E-3</c:v>
                </c:pt>
                <c:pt idx="8">
                  <c:v>1.0424728487886383E-3</c:v>
                </c:pt>
                <c:pt idx="9">
                  <c:v>1.0424728487886383E-3</c:v>
                </c:pt>
                <c:pt idx="10">
                  <c:v>1.0424728487886383E-3</c:v>
                </c:pt>
                <c:pt idx="11">
                  <c:v>1.0424728487886383E-3</c:v>
                </c:pt>
                <c:pt idx="12">
                  <c:v>1.0424728487886383E-3</c:v>
                </c:pt>
                <c:pt idx="13">
                  <c:v>1.0424728487886383E-3</c:v>
                </c:pt>
                <c:pt idx="14">
                  <c:v>1.0424728487886383E-3</c:v>
                </c:pt>
                <c:pt idx="15">
                  <c:v>1.0424728487886383E-3</c:v>
                </c:pt>
                <c:pt idx="16">
                  <c:v>1.0424728487886383E-3</c:v>
                </c:pt>
                <c:pt idx="17">
                  <c:v>1.0424728487886383E-3</c:v>
                </c:pt>
                <c:pt idx="18">
                  <c:v>1.0424728487886383E-3</c:v>
                </c:pt>
                <c:pt idx="19">
                  <c:v>1.0424728487886383E-3</c:v>
                </c:pt>
                <c:pt idx="20">
                  <c:v>1.0424728487886383E-3</c:v>
                </c:pt>
                <c:pt idx="21">
                  <c:v>1.0424728487886383E-3</c:v>
                </c:pt>
                <c:pt idx="22">
                  <c:v>1.0424728487886383E-3</c:v>
                </c:pt>
                <c:pt idx="23">
                  <c:v>1.0424728487886383E-3</c:v>
                </c:pt>
                <c:pt idx="24">
                  <c:v>1.0424728487886383E-3</c:v>
                </c:pt>
                <c:pt idx="25">
                  <c:v>1.0424728487886383E-3</c:v>
                </c:pt>
                <c:pt idx="26">
                  <c:v>1.0424728487886383E-3</c:v>
                </c:pt>
                <c:pt idx="27">
                  <c:v>1.0424728487886383E-3</c:v>
                </c:pt>
                <c:pt idx="28">
                  <c:v>1.0424728487886383E-3</c:v>
                </c:pt>
                <c:pt idx="29">
                  <c:v>1.0424728487886383E-3</c:v>
                </c:pt>
                <c:pt idx="30">
                  <c:v>1.0424728487886383E-3</c:v>
                </c:pt>
                <c:pt idx="31">
                  <c:v>1.0424728487886383E-3</c:v>
                </c:pt>
                <c:pt idx="32">
                  <c:v>1.0424728487886383E-3</c:v>
                </c:pt>
                <c:pt idx="33">
                  <c:v>1.0424728487886383E-3</c:v>
                </c:pt>
                <c:pt idx="34">
                  <c:v>1.0424728487886383E-3</c:v>
                </c:pt>
                <c:pt idx="35">
                  <c:v>1.0424728487886383E-3</c:v>
                </c:pt>
                <c:pt idx="36">
                  <c:v>1.0424728487886383E-3</c:v>
                </c:pt>
                <c:pt idx="37">
                  <c:v>1.0424728487886383E-3</c:v>
                </c:pt>
                <c:pt idx="38">
                  <c:v>1.0424728487886383E-3</c:v>
                </c:pt>
                <c:pt idx="39">
                  <c:v>1.0424728487886383E-3</c:v>
                </c:pt>
                <c:pt idx="40">
                  <c:v>1.0424728487886383E-3</c:v>
                </c:pt>
                <c:pt idx="41">
                  <c:v>1.0424728487886383E-3</c:v>
                </c:pt>
                <c:pt idx="42">
                  <c:v>1.0424728487886383E-3</c:v>
                </c:pt>
                <c:pt idx="43">
                  <c:v>1.0424728487886383E-3</c:v>
                </c:pt>
                <c:pt idx="44">
                  <c:v>1.0424728487886383E-3</c:v>
                </c:pt>
                <c:pt idx="45">
                  <c:v>1.0424728487886383E-3</c:v>
                </c:pt>
                <c:pt idx="46">
                  <c:v>1.0424728487886383E-3</c:v>
                </c:pt>
                <c:pt idx="47">
                  <c:v>1.0424728487886383E-3</c:v>
                </c:pt>
                <c:pt idx="48">
                  <c:v>1.0424728487886383E-3</c:v>
                </c:pt>
                <c:pt idx="49">
                  <c:v>1.0424728487886383E-3</c:v>
                </c:pt>
                <c:pt idx="50">
                  <c:v>1.0424728487886383E-3</c:v>
                </c:pt>
                <c:pt idx="51">
                  <c:v>1.0424728487886383E-3</c:v>
                </c:pt>
                <c:pt idx="52">
                  <c:v>1.0424728487886383E-3</c:v>
                </c:pt>
                <c:pt idx="53">
                  <c:v>1.0424728487886383E-3</c:v>
                </c:pt>
                <c:pt idx="54">
                  <c:v>1.0424728487886383E-3</c:v>
                </c:pt>
                <c:pt idx="55">
                  <c:v>1.0424728487886383E-3</c:v>
                </c:pt>
                <c:pt idx="56">
                  <c:v>1.0424728487886383E-3</c:v>
                </c:pt>
                <c:pt idx="57">
                  <c:v>1.0424728487886383E-3</c:v>
                </c:pt>
                <c:pt idx="58">
                  <c:v>1.0424728487886383E-3</c:v>
                </c:pt>
                <c:pt idx="59">
                  <c:v>1.0424728487886383E-3</c:v>
                </c:pt>
                <c:pt idx="60">
                  <c:v>1.0424728487886383E-3</c:v>
                </c:pt>
                <c:pt idx="61">
                  <c:v>1.0424728487886383E-3</c:v>
                </c:pt>
                <c:pt idx="62">
                  <c:v>1.0424728487886383E-3</c:v>
                </c:pt>
                <c:pt idx="63">
                  <c:v>1.0424728487886383E-3</c:v>
                </c:pt>
                <c:pt idx="64">
                  <c:v>1.0424728487886383E-3</c:v>
                </c:pt>
                <c:pt idx="65">
                  <c:v>1.0424728487886383E-3</c:v>
                </c:pt>
                <c:pt idx="66">
                  <c:v>1.0424728487886383E-3</c:v>
                </c:pt>
                <c:pt idx="67">
                  <c:v>1.0424728487886383E-3</c:v>
                </c:pt>
                <c:pt idx="68">
                  <c:v>1.0424728487886383E-3</c:v>
                </c:pt>
                <c:pt idx="69">
                  <c:v>1.0424728487886383E-3</c:v>
                </c:pt>
                <c:pt idx="70">
                  <c:v>1.0424728487886383E-3</c:v>
                </c:pt>
                <c:pt idx="71">
                  <c:v>1.0424728487886383E-3</c:v>
                </c:pt>
                <c:pt idx="72">
                  <c:v>1.0424728487886383E-3</c:v>
                </c:pt>
                <c:pt idx="73">
                  <c:v>1.0424728487886383E-3</c:v>
                </c:pt>
                <c:pt idx="74">
                  <c:v>1.0424728487886383E-3</c:v>
                </c:pt>
                <c:pt idx="75">
                  <c:v>1.0424728487886383E-3</c:v>
                </c:pt>
                <c:pt idx="76">
                  <c:v>1.0424728487886383E-3</c:v>
                </c:pt>
                <c:pt idx="77">
                  <c:v>1.0424728487886383E-3</c:v>
                </c:pt>
                <c:pt idx="78">
                  <c:v>1.0424728487886383E-3</c:v>
                </c:pt>
                <c:pt idx="79">
                  <c:v>1.0424728487886383E-3</c:v>
                </c:pt>
                <c:pt idx="80">
                  <c:v>1.0424728487886383E-3</c:v>
                </c:pt>
                <c:pt idx="81">
                  <c:v>1.0424728487886383E-3</c:v>
                </c:pt>
                <c:pt idx="82">
                  <c:v>1.0424728487886383E-3</c:v>
                </c:pt>
                <c:pt idx="83">
                  <c:v>1.0424728487886383E-3</c:v>
                </c:pt>
                <c:pt idx="84">
                  <c:v>1.0424728487886383E-3</c:v>
                </c:pt>
                <c:pt idx="85">
                  <c:v>1.0424728487886383E-3</c:v>
                </c:pt>
                <c:pt idx="86">
                  <c:v>1.0424728487886383E-3</c:v>
                </c:pt>
                <c:pt idx="87">
                  <c:v>1.0424728487886383E-3</c:v>
                </c:pt>
                <c:pt idx="88">
                  <c:v>1.0424728487886383E-3</c:v>
                </c:pt>
                <c:pt idx="89">
                  <c:v>1.0424728487886383E-3</c:v>
                </c:pt>
                <c:pt idx="90">
                  <c:v>1.0424728487886383E-3</c:v>
                </c:pt>
                <c:pt idx="91">
                  <c:v>1.0424728487886383E-3</c:v>
                </c:pt>
                <c:pt idx="92">
                  <c:v>1.0424728487886383E-3</c:v>
                </c:pt>
                <c:pt idx="93">
                  <c:v>1.0424728487886383E-3</c:v>
                </c:pt>
                <c:pt idx="94">
                  <c:v>1.0424728487886383E-3</c:v>
                </c:pt>
                <c:pt idx="95">
                  <c:v>1.0424728487886383E-3</c:v>
                </c:pt>
                <c:pt idx="96">
                  <c:v>1.0424728487886383E-3</c:v>
                </c:pt>
                <c:pt idx="97">
                  <c:v>1.0424728487886383E-3</c:v>
                </c:pt>
                <c:pt idx="98">
                  <c:v>1.0424728487886383E-3</c:v>
                </c:pt>
                <c:pt idx="99">
                  <c:v>1.0424728487886383E-3</c:v>
                </c:pt>
                <c:pt idx="100">
                  <c:v>1.0424728487886383E-3</c:v>
                </c:pt>
                <c:pt idx="101">
                  <c:v>1.0424728487886383E-3</c:v>
                </c:pt>
                <c:pt idx="102">
                  <c:v>1.0424728487886383E-3</c:v>
                </c:pt>
                <c:pt idx="103">
                  <c:v>1.0424728487886383E-3</c:v>
                </c:pt>
                <c:pt idx="104">
                  <c:v>1.0424728487886383E-3</c:v>
                </c:pt>
                <c:pt idx="105">
                  <c:v>1.0424728487886383E-3</c:v>
                </c:pt>
                <c:pt idx="106">
                  <c:v>1.0424728487886383E-3</c:v>
                </c:pt>
                <c:pt idx="107">
                  <c:v>1.0424728487886383E-3</c:v>
                </c:pt>
                <c:pt idx="108">
                  <c:v>1.0424728487886383E-3</c:v>
                </c:pt>
                <c:pt idx="109">
                  <c:v>1.0424728487886383E-3</c:v>
                </c:pt>
                <c:pt idx="110">
                  <c:v>1.0424728487886383E-3</c:v>
                </c:pt>
                <c:pt idx="111">
                  <c:v>1.0424728487886383E-3</c:v>
                </c:pt>
                <c:pt idx="112">
                  <c:v>1.0424728487886383E-3</c:v>
                </c:pt>
                <c:pt idx="113">
                  <c:v>1.0424728487886383E-3</c:v>
                </c:pt>
                <c:pt idx="114">
                  <c:v>1.0424728487886383E-3</c:v>
                </c:pt>
                <c:pt idx="115">
                  <c:v>1.0424728487886383E-3</c:v>
                </c:pt>
                <c:pt idx="116">
                  <c:v>1.0424728487886383E-3</c:v>
                </c:pt>
                <c:pt idx="117">
                  <c:v>1.0424728487886383E-3</c:v>
                </c:pt>
                <c:pt idx="118">
                  <c:v>1.0424728487886383E-3</c:v>
                </c:pt>
                <c:pt idx="119">
                  <c:v>1.0424728487886383E-3</c:v>
                </c:pt>
                <c:pt idx="120">
                  <c:v>1.0424728487886383E-3</c:v>
                </c:pt>
                <c:pt idx="121">
                  <c:v>1.0424728487886383E-3</c:v>
                </c:pt>
                <c:pt idx="122">
                  <c:v>1.0424728487886383E-3</c:v>
                </c:pt>
                <c:pt idx="123">
                  <c:v>1.0424728487886383E-3</c:v>
                </c:pt>
                <c:pt idx="124">
                  <c:v>1.0424728487886383E-3</c:v>
                </c:pt>
                <c:pt idx="125">
                  <c:v>1.0424728487886383E-3</c:v>
                </c:pt>
                <c:pt idx="126">
                  <c:v>1.0424728487886383E-3</c:v>
                </c:pt>
                <c:pt idx="127">
                  <c:v>1.0424728487886383E-3</c:v>
                </c:pt>
                <c:pt idx="128">
                  <c:v>1.0424728487886383E-3</c:v>
                </c:pt>
                <c:pt idx="129">
                  <c:v>1.0424728487886383E-3</c:v>
                </c:pt>
                <c:pt idx="130">
                  <c:v>1.0424728487886383E-3</c:v>
                </c:pt>
                <c:pt idx="131">
                  <c:v>1.0424728487886383E-3</c:v>
                </c:pt>
                <c:pt idx="132">
                  <c:v>1.0424728487886383E-3</c:v>
                </c:pt>
                <c:pt idx="133">
                  <c:v>1.0424728487886383E-3</c:v>
                </c:pt>
                <c:pt idx="134">
                  <c:v>1.0424728487886383E-3</c:v>
                </c:pt>
                <c:pt idx="135">
                  <c:v>1.0424728487886383E-3</c:v>
                </c:pt>
                <c:pt idx="136">
                  <c:v>1.0424728487886383E-3</c:v>
                </c:pt>
                <c:pt idx="137">
                  <c:v>1.0424728487886383E-3</c:v>
                </c:pt>
                <c:pt idx="138">
                  <c:v>1.0424728487886383E-3</c:v>
                </c:pt>
                <c:pt idx="139">
                  <c:v>1.0424728487886383E-3</c:v>
                </c:pt>
                <c:pt idx="140">
                  <c:v>1.0424728487886383E-3</c:v>
                </c:pt>
                <c:pt idx="141">
                  <c:v>1.0424728487886383E-3</c:v>
                </c:pt>
                <c:pt idx="142">
                  <c:v>1.0424728487886383E-3</c:v>
                </c:pt>
                <c:pt idx="143">
                  <c:v>1.0424728487886383E-3</c:v>
                </c:pt>
                <c:pt idx="144">
                  <c:v>1.0424728487886383E-3</c:v>
                </c:pt>
                <c:pt idx="145">
                  <c:v>1.0424728487886383E-3</c:v>
                </c:pt>
                <c:pt idx="146">
                  <c:v>1.0424728487886383E-3</c:v>
                </c:pt>
                <c:pt idx="147">
                  <c:v>1.0424728487886383E-3</c:v>
                </c:pt>
                <c:pt idx="148">
                  <c:v>1.0424728487886383E-3</c:v>
                </c:pt>
                <c:pt idx="149">
                  <c:v>1.0424728487886383E-3</c:v>
                </c:pt>
                <c:pt idx="150">
                  <c:v>1.0424728487886383E-3</c:v>
                </c:pt>
                <c:pt idx="151">
                  <c:v>1.0424728487886383E-3</c:v>
                </c:pt>
                <c:pt idx="152">
                  <c:v>1.0424728487886383E-3</c:v>
                </c:pt>
                <c:pt idx="153">
                  <c:v>1.0424728487886383E-3</c:v>
                </c:pt>
                <c:pt idx="154">
                  <c:v>1.0424728487886383E-3</c:v>
                </c:pt>
                <c:pt idx="155">
                  <c:v>1.0424728487886383E-3</c:v>
                </c:pt>
                <c:pt idx="156">
                  <c:v>1.0424728487886383E-3</c:v>
                </c:pt>
                <c:pt idx="157">
                  <c:v>1.0424728487886383E-3</c:v>
                </c:pt>
                <c:pt idx="158">
                  <c:v>1.0424728487886383E-3</c:v>
                </c:pt>
                <c:pt idx="159">
                  <c:v>1.0424728487886383E-3</c:v>
                </c:pt>
                <c:pt idx="160">
                  <c:v>1.0424728487886383E-3</c:v>
                </c:pt>
                <c:pt idx="161">
                  <c:v>1.0424728487886383E-3</c:v>
                </c:pt>
                <c:pt idx="162">
                  <c:v>1.0424728487886383E-3</c:v>
                </c:pt>
                <c:pt idx="163">
                  <c:v>1.0424728487886383E-3</c:v>
                </c:pt>
                <c:pt idx="164">
                  <c:v>1.0424728487886383E-3</c:v>
                </c:pt>
                <c:pt idx="165">
                  <c:v>1.0424728487886383E-3</c:v>
                </c:pt>
                <c:pt idx="166">
                  <c:v>1.0424728487886383E-3</c:v>
                </c:pt>
                <c:pt idx="167">
                  <c:v>1.0424728487886383E-3</c:v>
                </c:pt>
                <c:pt idx="168">
                  <c:v>1.0424728487886383E-3</c:v>
                </c:pt>
                <c:pt idx="169">
                  <c:v>1.0424728487886383E-3</c:v>
                </c:pt>
                <c:pt idx="170">
                  <c:v>1.0424728487886383E-3</c:v>
                </c:pt>
                <c:pt idx="171">
                  <c:v>1.0424728487886383E-3</c:v>
                </c:pt>
                <c:pt idx="172">
                  <c:v>1.0424728487886383E-3</c:v>
                </c:pt>
                <c:pt idx="173">
                  <c:v>1.0424728487886383E-3</c:v>
                </c:pt>
                <c:pt idx="174">
                  <c:v>1.0424728487886383E-3</c:v>
                </c:pt>
                <c:pt idx="175">
                  <c:v>1.0424728487886383E-3</c:v>
                </c:pt>
                <c:pt idx="176">
                  <c:v>1.0424728487886383E-3</c:v>
                </c:pt>
                <c:pt idx="177">
                  <c:v>1.0424728487886383E-3</c:v>
                </c:pt>
                <c:pt idx="178">
                  <c:v>1.0424728487886383E-3</c:v>
                </c:pt>
                <c:pt idx="179">
                  <c:v>1.0424728487886383E-3</c:v>
                </c:pt>
                <c:pt idx="180">
                  <c:v>1.0424728487886383E-3</c:v>
                </c:pt>
                <c:pt idx="181">
                  <c:v>1.0424728487886383E-3</c:v>
                </c:pt>
                <c:pt idx="182">
                  <c:v>1.0424728487886383E-3</c:v>
                </c:pt>
                <c:pt idx="183">
                  <c:v>1.0424728487886383E-3</c:v>
                </c:pt>
                <c:pt idx="184">
                  <c:v>1.0424728487886383E-3</c:v>
                </c:pt>
                <c:pt idx="185">
                  <c:v>1.0424728487886383E-3</c:v>
                </c:pt>
                <c:pt idx="186">
                  <c:v>1.0424728487886383E-3</c:v>
                </c:pt>
                <c:pt idx="187">
                  <c:v>1.0424728487886383E-3</c:v>
                </c:pt>
                <c:pt idx="188">
                  <c:v>1.0424728487886383E-3</c:v>
                </c:pt>
                <c:pt idx="189">
                  <c:v>1.0424728487886383E-3</c:v>
                </c:pt>
                <c:pt idx="190">
                  <c:v>1.0424728487886383E-3</c:v>
                </c:pt>
                <c:pt idx="191">
                  <c:v>1.0424728487886383E-3</c:v>
                </c:pt>
                <c:pt idx="192">
                  <c:v>1.0424728487886383E-3</c:v>
                </c:pt>
                <c:pt idx="193">
                  <c:v>1.0424728487886383E-3</c:v>
                </c:pt>
                <c:pt idx="194">
                  <c:v>1.0424728487886383E-3</c:v>
                </c:pt>
                <c:pt idx="195">
                  <c:v>1.0424728487886383E-3</c:v>
                </c:pt>
                <c:pt idx="196">
                  <c:v>1.0424728487886383E-3</c:v>
                </c:pt>
                <c:pt idx="197">
                  <c:v>1.0424728487886383E-3</c:v>
                </c:pt>
                <c:pt idx="198">
                  <c:v>1.0424728487886383E-3</c:v>
                </c:pt>
                <c:pt idx="199">
                  <c:v>1.0424728487886383E-3</c:v>
                </c:pt>
                <c:pt idx="200">
                  <c:v>1.0424728487886383E-3</c:v>
                </c:pt>
                <c:pt idx="201">
                  <c:v>1.0424728487886383E-3</c:v>
                </c:pt>
                <c:pt idx="202">
                  <c:v>1.0424728487886383E-3</c:v>
                </c:pt>
                <c:pt idx="203">
                  <c:v>1.0424728487886383E-3</c:v>
                </c:pt>
                <c:pt idx="204">
                  <c:v>1.0424728487886383E-3</c:v>
                </c:pt>
                <c:pt idx="205">
                  <c:v>1.0424728487886383E-3</c:v>
                </c:pt>
                <c:pt idx="206">
                  <c:v>1.0424728487886383E-3</c:v>
                </c:pt>
                <c:pt idx="207">
                  <c:v>1.0424728487886383E-3</c:v>
                </c:pt>
                <c:pt idx="208">
                  <c:v>1.0424728487886383E-3</c:v>
                </c:pt>
                <c:pt idx="209">
                  <c:v>1.0424728487886383E-3</c:v>
                </c:pt>
                <c:pt idx="210">
                  <c:v>1.0424728487886383E-3</c:v>
                </c:pt>
                <c:pt idx="211">
                  <c:v>1.0424728487886383E-3</c:v>
                </c:pt>
                <c:pt idx="212">
                  <c:v>1.0424728487886383E-3</c:v>
                </c:pt>
                <c:pt idx="213">
                  <c:v>1.0424728487886383E-3</c:v>
                </c:pt>
                <c:pt idx="214">
                  <c:v>1.0424728487886383E-3</c:v>
                </c:pt>
                <c:pt idx="215">
                  <c:v>1.0424728487886383E-3</c:v>
                </c:pt>
                <c:pt idx="216">
                  <c:v>1.0424728487886383E-3</c:v>
                </c:pt>
                <c:pt idx="217">
                  <c:v>1.0424728487886383E-3</c:v>
                </c:pt>
                <c:pt idx="218">
                  <c:v>1.0424728487886383E-3</c:v>
                </c:pt>
                <c:pt idx="219">
                  <c:v>1.0424728487886383E-3</c:v>
                </c:pt>
                <c:pt idx="220">
                  <c:v>1.0424728487886383E-3</c:v>
                </c:pt>
                <c:pt idx="221">
                  <c:v>1.0424728487886383E-3</c:v>
                </c:pt>
                <c:pt idx="222">
                  <c:v>1.0424728487886383E-3</c:v>
                </c:pt>
                <c:pt idx="223">
                  <c:v>1.0424728487886383E-3</c:v>
                </c:pt>
                <c:pt idx="224">
                  <c:v>1.0424728487886383E-3</c:v>
                </c:pt>
                <c:pt idx="225">
                  <c:v>1.0424728487886383E-3</c:v>
                </c:pt>
                <c:pt idx="226">
                  <c:v>1.0424728487886383E-3</c:v>
                </c:pt>
                <c:pt idx="227">
                  <c:v>1.0424728487886383E-3</c:v>
                </c:pt>
                <c:pt idx="228">
                  <c:v>1.0424728487886383E-3</c:v>
                </c:pt>
                <c:pt idx="229">
                  <c:v>1.0424728487886383E-3</c:v>
                </c:pt>
                <c:pt idx="230">
                  <c:v>1.0424728487886383E-3</c:v>
                </c:pt>
                <c:pt idx="231">
                  <c:v>1.0424728487886383E-3</c:v>
                </c:pt>
                <c:pt idx="232">
                  <c:v>1.0424728487886383E-3</c:v>
                </c:pt>
                <c:pt idx="233">
                  <c:v>1.0424728487886383E-3</c:v>
                </c:pt>
                <c:pt idx="234">
                  <c:v>1.0424728487886383E-3</c:v>
                </c:pt>
                <c:pt idx="235">
                  <c:v>1.0424728487886383E-3</c:v>
                </c:pt>
                <c:pt idx="236">
                  <c:v>1.0424728487886383E-3</c:v>
                </c:pt>
                <c:pt idx="237">
                  <c:v>1.0424728487886383E-3</c:v>
                </c:pt>
                <c:pt idx="238">
                  <c:v>1.0424728487886383E-3</c:v>
                </c:pt>
                <c:pt idx="239">
                  <c:v>1.0424728487886383E-3</c:v>
                </c:pt>
                <c:pt idx="240">
                  <c:v>1.0424728487886383E-3</c:v>
                </c:pt>
                <c:pt idx="241">
                  <c:v>1.0424728487886383E-3</c:v>
                </c:pt>
                <c:pt idx="242">
                  <c:v>1.0424728487886383E-3</c:v>
                </c:pt>
                <c:pt idx="243">
                  <c:v>1.0424728487886383E-3</c:v>
                </c:pt>
                <c:pt idx="244">
                  <c:v>1.0424728487886383E-3</c:v>
                </c:pt>
                <c:pt idx="245">
                  <c:v>1.0424728487886383E-3</c:v>
                </c:pt>
                <c:pt idx="246">
                  <c:v>1.0424728487886383E-3</c:v>
                </c:pt>
                <c:pt idx="247">
                  <c:v>1.0424728487886383E-3</c:v>
                </c:pt>
                <c:pt idx="248">
                  <c:v>1.0424728487886383E-3</c:v>
                </c:pt>
                <c:pt idx="249">
                  <c:v>1.0424728487886383E-3</c:v>
                </c:pt>
                <c:pt idx="250">
                  <c:v>1.0424728487886383E-3</c:v>
                </c:pt>
                <c:pt idx="251">
                  <c:v>1.0424728487886383E-3</c:v>
                </c:pt>
                <c:pt idx="252">
                  <c:v>1.0424728487886383E-3</c:v>
                </c:pt>
                <c:pt idx="253">
                  <c:v>1.0424728487886383E-3</c:v>
                </c:pt>
                <c:pt idx="254">
                  <c:v>1.0424728487886383E-3</c:v>
                </c:pt>
                <c:pt idx="255">
                  <c:v>1.0424728487886383E-3</c:v>
                </c:pt>
                <c:pt idx="256">
                  <c:v>1.0424728487886383E-3</c:v>
                </c:pt>
                <c:pt idx="257">
                  <c:v>1.0424728487886383E-3</c:v>
                </c:pt>
                <c:pt idx="258">
                  <c:v>1.0424728487886383E-3</c:v>
                </c:pt>
                <c:pt idx="259">
                  <c:v>1.0424728487886383E-3</c:v>
                </c:pt>
                <c:pt idx="260">
                  <c:v>1.0424728487886383E-3</c:v>
                </c:pt>
                <c:pt idx="261">
                  <c:v>1.0424728487886383E-3</c:v>
                </c:pt>
                <c:pt idx="262">
                  <c:v>1.0424728487886383E-3</c:v>
                </c:pt>
                <c:pt idx="263">
                  <c:v>1.0424728487886383E-3</c:v>
                </c:pt>
                <c:pt idx="264">
                  <c:v>1.0424728487886383E-3</c:v>
                </c:pt>
                <c:pt idx="265">
                  <c:v>1.0424728487886383E-3</c:v>
                </c:pt>
                <c:pt idx="266">
                  <c:v>1.0424728487886383E-3</c:v>
                </c:pt>
                <c:pt idx="267">
                  <c:v>1.0424728487886383E-3</c:v>
                </c:pt>
                <c:pt idx="268">
                  <c:v>1.0424728487886383E-3</c:v>
                </c:pt>
                <c:pt idx="269">
                  <c:v>1.0424728487886383E-3</c:v>
                </c:pt>
                <c:pt idx="270">
                  <c:v>1.0424728487886383E-3</c:v>
                </c:pt>
                <c:pt idx="271">
                  <c:v>1.0424728487886383E-3</c:v>
                </c:pt>
                <c:pt idx="272">
                  <c:v>1.0424728487886383E-3</c:v>
                </c:pt>
                <c:pt idx="273">
                  <c:v>1.0424728487886383E-3</c:v>
                </c:pt>
                <c:pt idx="274">
                  <c:v>1.0424728487886383E-3</c:v>
                </c:pt>
                <c:pt idx="275">
                  <c:v>1.0424728487886383E-3</c:v>
                </c:pt>
                <c:pt idx="276">
                  <c:v>1.0424728487886383E-3</c:v>
                </c:pt>
                <c:pt idx="277">
                  <c:v>1.0424728487886383E-3</c:v>
                </c:pt>
                <c:pt idx="278">
                  <c:v>1.0424728487886383E-3</c:v>
                </c:pt>
                <c:pt idx="279">
                  <c:v>1.0424728487886383E-3</c:v>
                </c:pt>
                <c:pt idx="280">
                  <c:v>1.0424728487886383E-3</c:v>
                </c:pt>
                <c:pt idx="281">
                  <c:v>1.0424728487886383E-3</c:v>
                </c:pt>
                <c:pt idx="282">
                  <c:v>1.0424728487886383E-3</c:v>
                </c:pt>
                <c:pt idx="283">
                  <c:v>1.0424728487886383E-3</c:v>
                </c:pt>
                <c:pt idx="284">
                  <c:v>1.0424728487886383E-3</c:v>
                </c:pt>
                <c:pt idx="285">
                  <c:v>1.0424728487886383E-3</c:v>
                </c:pt>
                <c:pt idx="286">
                  <c:v>1.0424728487886383E-3</c:v>
                </c:pt>
                <c:pt idx="287">
                  <c:v>1.0424728487886383E-3</c:v>
                </c:pt>
                <c:pt idx="288">
                  <c:v>1.0424728487886383E-3</c:v>
                </c:pt>
                <c:pt idx="289">
                  <c:v>1.0424728487886383E-3</c:v>
                </c:pt>
                <c:pt idx="290">
                  <c:v>1.0424728487886383E-3</c:v>
                </c:pt>
                <c:pt idx="291">
                  <c:v>1.0424728487886383E-3</c:v>
                </c:pt>
                <c:pt idx="292">
                  <c:v>1.0424728487886383E-3</c:v>
                </c:pt>
                <c:pt idx="293">
                  <c:v>1.0424728487886383E-3</c:v>
                </c:pt>
                <c:pt idx="294">
                  <c:v>1.0424728487886383E-3</c:v>
                </c:pt>
                <c:pt idx="295">
                  <c:v>1.0424728487886383E-3</c:v>
                </c:pt>
                <c:pt idx="296">
                  <c:v>1.0424728487886383E-3</c:v>
                </c:pt>
                <c:pt idx="297">
                  <c:v>1.0424728487886383E-3</c:v>
                </c:pt>
                <c:pt idx="298">
                  <c:v>1.0424728487886383E-3</c:v>
                </c:pt>
                <c:pt idx="299">
                  <c:v>1.0424728487886383E-3</c:v>
                </c:pt>
                <c:pt idx="300">
                  <c:v>1.0424728487886383E-3</c:v>
                </c:pt>
                <c:pt idx="301">
                  <c:v>1.0424728487886383E-3</c:v>
                </c:pt>
                <c:pt idx="302">
                  <c:v>1.0424728487886383E-3</c:v>
                </c:pt>
                <c:pt idx="303">
                  <c:v>1.0424728487886383E-3</c:v>
                </c:pt>
                <c:pt idx="304">
                  <c:v>1.0424728487886383E-3</c:v>
                </c:pt>
                <c:pt idx="305">
                  <c:v>1.0424728487886383E-3</c:v>
                </c:pt>
                <c:pt idx="306">
                  <c:v>1.0424728487886383E-3</c:v>
                </c:pt>
                <c:pt idx="307">
                  <c:v>1.0424728487886383E-3</c:v>
                </c:pt>
                <c:pt idx="308">
                  <c:v>1.0424728487886383E-3</c:v>
                </c:pt>
                <c:pt idx="309">
                  <c:v>1.0424728487886383E-3</c:v>
                </c:pt>
                <c:pt idx="310">
                  <c:v>1.0424728487886383E-3</c:v>
                </c:pt>
                <c:pt idx="311">
                  <c:v>1.0424728487886383E-3</c:v>
                </c:pt>
                <c:pt idx="312">
                  <c:v>1.0424728487886383E-3</c:v>
                </c:pt>
                <c:pt idx="313">
                  <c:v>1.0424728487886383E-3</c:v>
                </c:pt>
                <c:pt idx="314">
                  <c:v>1.0424728487886383E-3</c:v>
                </c:pt>
                <c:pt idx="315">
                  <c:v>1.0424728487886383E-3</c:v>
                </c:pt>
                <c:pt idx="316">
                  <c:v>1.0424728487886383E-3</c:v>
                </c:pt>
                <c:pt idx="317">
                  <c:v>1.0424728487886383E-3</c:v>
                </c:pt>
                <c:pt idx="318">
                  <c:v>1.0424728487886383E-3</c:v>
                </c:pt>
                <c:pt idx="319">
                  <c:v>1.0424728487886383E-3</c:v>
                </c:pt>
                <c:pt idx="320">
                  <c:v>1.0424728487886383E-3</c:v>
                </c:pt>
                <c:pt idx="321">
                  <c:v>1.0424728487886383E-3</c:v>
                </c:pt>
                <c:pt idx="322">
                  <c:v>1.0424728487886383E-3</c:v>
                </c:pt>
                <c:pt idx="323">
                  <c:v>1.0424728487886383E-3</c:v>
                </c:pt>
                <c:pt idx="324">
                  <c:v>1.0424728487886383E-3</c:v>
                </c:pt>
                <c:pt idx="325">
                  <c:v>1.0424728487886383E-3</c:v>
                </c:pt>
                <c:pt idx="326">
                  <c:v>1.0424728487886383E-3</c:v>
                </c:pt>
                <c:pt idx="327">
                  <c:v>1.0424728487886383E-3</c:v>
                </c:pt>
                <c:pt idx="328">
                  <c:v>1.0424728487886383E-3</c:v>
                </c:pt>
                <c:pt idx="329">
                  <c:v>1.0424728487886383E-3</c:v>
                </c:pt>
                <c:pt idx="330">
                  <c:v>1.0424728487886383E-3</c:v>
                </c:pt>
                <c:pt idx="331">
                  <c:v>1.0424728487886383E-3</c:v>
                </c:pt>
                <c:pt idx="332">
                  <c:v>1.0424728487886383E-3</c:v>
                </c:pt>
                <c:pt idx="333">
                  <c:v>1.0424728487886383E-3</c:v>
                </c:pt>
                <c:pt idx="334">
                  <c:v>1.0424728487886383E-3</c:v>
                </c:pt>
                <c:pt idx="335">
                  <c:v>1.0424728487886383E-3</c:v>
                </c:pt>
                <c:pt idx="336">
                  <c:v>1.0424728487886383E-3</c:v>
                </c:pt>
                <c:pt idx="337">
                  <c:v>1.0424728487886383E-3</c:v>
                </c:pt>
                <c:pt idx="338">
                  <c:v>1.0424728487886383E-3</c:v>
                </c:pt>
                <c:pt idx="339">
                  <c:v>1.0424728487886383E-3</c:v>
                </c:pt>
                <c:pt idx="340">
                  <c:v>1.0424728487886383E-3</c:v>
                </c:pt>
                <c:pt idx="341">
                  <c:v>1.0424728487886383E-3</c:v>
                </c:pt>
                <c:pt idx="342">
                  <c:v>1.0424728487886383E-3</c:v>
                </c:pt>
                <c:pt idx="343">
                  <c:v>1.0424728487886383E-3</c:v>
                </c:pt>
                <c:pt idx="344">
                  <c:v>1.0424728487886383E-3</c:v>
                </c:pt>
                <c:pt idx="345">
                  <c:v>1.0424728487886383E-3</c:v>
                </c:pt>
                <c:pt idx="346">
                  <c:v>1.0424728487886383E-3</c:v>
                </c:pt>
                <c:pt idx="347">
                  <c:v>1.0424728487886383E-3</c:v>
                </c:pt>
                <c:pt idx="348">
                  <c:v>1.0424728487886383E-3</c:v>
                </c:pt>
                <c:pt idx="349">
                  <c:v>1.0424728487886383E-3</c:v>
                </c:pt>
                <c:pt idx="350">
                  <c:v>1.0424728487886383E-3</c:v>
                </c:pt>
                <c:pt idx="351">
                  <c:v>1.0424728487886383E-3</c:v>
                </c:pt>
                <c:pt idx="352">
                  <c:v>1.0424728487886383E-3</c:v>
                </c:pt>
                <c:pt idx="353">
                  <c:v>1.0424728487886383E-3</c:v>
                </c:pt>
                <c:pt idx="354">
                  <c:v>1.0424728487886383E-3</c:v>
                </c:pt>
                <c:pt idx="355">
                  <c:v>1.0424728487886383E-3</c:v>
                </c:pt>
                <c:pt idx="356">
                  <c:v>1.0424728487886383E-3</c:v>
                </c:pt>
                <c:pt idx="357">
                  <c:v>1.0424728487886383E-3</c:v>
                </c:pt>
                <c:pt idx="358">
                  <c:v>1.0424728487886383E-3</c:v>
                </c:pt>
                <c:pt idx="359">
                  <c:v>1.0424728487886383E-3</c:v>
                </c:pt>
                <c:pt idx="360">
                  <c:v>1.0424728487886383E-3</c:v>
                </c:pt>
                <c:pt idx="361">
                  <c:v>1.0424728487886383E-3</c:v>
                </c:pt>
                <c:pt idx="362">
                  <c:v>1.0424728487886383E-3</c:v>
                </c:pt>
                <c:pt idx="363">
                  <c:v>1.0424728487886383E-3</c:v>
                </c:pt>
                <c:pt idx="364">
                  <c:v>1.0424728487886383E-3</c:v>
                </c:pt>
                <c:pt idx="365">
                  <c:v>1.0424728487886383E-3</c:v>
                </c:pt>
                <c:pt idx="366">
                  <c:v>1.0424728487886383E-3</c:v>
                </c:pt>
                <c:pt idx="367">
                  <c:v>1.0424728487886383E-3</c:v>
                </c:pt>
                <c:pt idx="368">
                  <c:v>1.0424728487886383E-3</c:v>
                </c:pt>
                <c:pt idx="369">
                  <c:v>1.0424728487886383E-3</c:v>
                </c:pt>
                <c:pt idx="370">
                  <c:v>1.0424728487886383E-3</c:v>
                </c:pt>
                <c:pt idx="371">
                  <c:v>1.0424728487886383E-3</c:v>
                </c:pt>
                <c:pt idx="372">
                  <c:v>1.0424728487886383E-3</c:v>
                </c:pt>
                <c:pt idx="373">
                  <c:v>1.0424728487886383E-3</c:v>
                </c:pt>
                <c:pt idx="374">
                  <c:v>1.0424728487886383E-3</c:v>
                </c:pt>
                <c:pt idx="375">
                  <c:v>1.0424728487886383E-3</c:v>
                </c:pt>
                <c:pt idx="376">
                  <c:v>1.0424728487886383E-3</c:v>
                </c:pt>
                <c:pt idx="377">
                  <c:v>1.0424728487886383E-3</c:v>
                </c:pt>
                <c:pt idx="378">
                  <c:v>1.0424728487886383E-3</c:v>
                </c:pt>
                <c:pt idx="379">
                  <c:v>1.0424728487886383E-3</c:v>
                </c:pt>
                <c:pt idx="380">
                  <c:v>1.0424728487886383E-3</c:v>
                </c:pt>
                <c:pt idx="381">
                  <c:v>1.0424728487886383E-3</c:v>
                </c:pt>
                <c:pt idx="382">
                  <c:v>1.0424728487886383E-3</c:v>
                </c:pt>
                <c:pt idx="383">
                  <c:v>1.0424728487886383E-3</c:v>
                </c:pt>
                <c:pt idx="384">
                  <c:v>1.0424728487886383E-3</c:v>
                </c:pt>
                <c:pt idx="385">
                  <c:v>1.0424728487886383E-3</c:v>
                </c:pt>
                <c:pt idx="386">
                  <c:v>1.0424728487886383E-3</c:v>
                </c:pt>
                <c:pt idx="387">
                  <c:v>1.0424728487886383E-3</c:v>
                </c:pt>
                <c:pt idx="388">
                  <c:v>1.0424728487886383E-3</c:v>
                </c:pt>
                <c:pt idx="389">
                  <c:v>1.0424728487886383E-3</c:v>
                </c:pt>
                <c:pt idx="390">
                  <c:v>1.0424728487886383E-3</c:v>
                </c:pt>
                <c:pt idx="391">
                  <c:v>1.0424728487886383E-3</c:v>
                </c:pt>
                <c:pt idx="392">
                  <c:v>1.0424728487886383E-3</c:v>
                </c:pt>
                <c:pt idx="393">
                  <c:v>1.0424728487886383E-3</c:v>
                </c:pt>
                <c:pt idx="394">
                  <c:v>1.0424728487886383E-3</c:v>
                </c:pt>
                <c:pt idx="395">
                  <c:v>1.0424728487886383E-3</c:v>
                </c:pt>
                <c:pt idx="396">
                  <c:v>1.0424728487886383E-3</c:v>
                </c:pt>
                <c:pt idx="397">
                  <c:v>1.0424728487886383E-3</c:v>
                </c:pt>
                <c:pt idx="398">
                  <c:v>1.0424728487886383E-3</c:v>
                </c:pt>
                <c:pt idx="399">
                  <c:v>1.0424728487886383E-3</c:v>
                </c:pt>
                <c:pt idx="400">
                  <c:v>1.0424728487886383E-3</c:v>
                </c:pt>
                <c:pt idx="401">
                  <c:v>1.0424728487886383E-3</c:v>
                </c:pt>
                <c:pt idx="402">
                  <c:v>1.0424728487886383E-3</c:v>
                </c:pt>
                <c:pt idx="403">
                  <c:v>1.0424728487886383E-3</c:v>
                </c:pt>
                <c:pt idx="404">
                  <c:v>1.0424728487886383E-3</c:v>
                </c:pt>
                <c:pt idx="405">
                  <c:v>1.0424728487886383E-3</c:v>
                </c:pt>
                <c:pt idx="406">
                  <c:v>1.0424728487886383E-3</c:v>
                </c:pt>
                <c:pt idx="407">
                  <c:v>1.0424728487886383E-3</c:v>
                </c:pt>
                <c:pt idx="408">
                  <c:v>1.0424728487886383E-3</c:v>
                </c:pt>
                <c:pt idx="409">
                  <c:v>1.0424728487886383E-3</c:v>
                </c:pt>
                <c:pt idx="410">
                  <c:v>1.0424728487886383E-3</c:v>
                </c:pt>
                <c:pt idx="411">
                  <c:v>1.0424728487886383E-3</c:v>
                </c:pt>
                <c:pt idx="412">
                  <c:v>1.0424728487886383E-3</c:v>
                </c:pt>
                <c:pt idx="413">
                  <c:v>1.0424728487886383E-3</c:v>
                </c:pt>
                <c:pt idx="414">
                  <c:v>1.0424728487886383E-3</c:v>
                </c:pt>
                <c:pt idx="415">
                  <c:v>1.0424728487886383E-3</c:v>
                </c:pt>
                <c:pt idx="416">
                  <c:v>1.0424728487886383E-3</c:v>
                </c:pt>
                <c:pt idx="417">
                  <c:v>1.0424728487886383E-3</c:v>
                </c:pt>
                <c:pt idx="418">
                  <c:v>1.0424728487886383E-3</c:v>
                </c:pt>
                <c:pt idx="419">
                  <c:v>1.0424728487886383E-3</c:v>
                </c:pt>
                <c:pt idx="420">
                  <c:v>1.0424728487886383E-3</c:v>
                </c:pt>
                <c:pt idx="421">
                  <c:v>1.0424728487886383E-3</c:v>
                </c:pt>
                <c:pt idx="422">
                  <c:v>1.0424728487886383E-3</c:v>
                </c:pt>
                <c:pt idx="423">
                  <c:v>1.0424728487886383E-3</c:v>
                </c:pt>
                <c:pt idx="424">
                  <c:v>1.0424728487886383E-3</c:v>
                </c:pt>
                <c:pt idx="425">
                  <c:v>1.0424728487886383E-3</c:v>
                </c:pt>
                <c:pt idx="426">
                  <c:v>1.0424728487886383E-3</c:v>
                </c:pt>
                <c:pt idx="427">
                  <c:v>1.0424728487886383E-3</c:v>
                </c:pt>
                <c:pt idx="428">
                  <c:v>1.0424728487886383E-3</c:v>
                </c:pt>
                <c:pt idx="429">
                  <c:v>1.0424728487886383E-3</c:v>
                </c:pt>
                <c:pt idx="430">
                  <c:v>1.0424728487886383E-3</c:v>
                </c:pt>
                <c:pt idx="431">
                  <c:v>1.0424728487886383E-3</c:v>
                </c:pt>
                <c:pt idx="432">
                  <c:v>1.0424728487886383E-3</c:v>
                </c:pt>
                <c:pt idx="433">
                  <c:v>1.0424728487886383E-3</c:v>
                </c:pt>
                <c:pt idx="434">
                  <c:v>1.0424728487886383E-3</c:v>
                </c:pt>
                <c:pt idx="435">
                  <c:v>1.0424728487886383E-3</c:v>
                </c:pt>
                <c:pt idx="436">
                  <c:v>1.0424728487886383E-3</c:v>
                </c:pt>
                <c:pt idx="437">
                  <c:v>1.0424728487886383E-3</c:v>
                </c:pt>
                <c:pt idx="438">
                  <c:v>1.0424728487886383E-3</c:v>
                </c:pt>
                <c:pt idx="439">
                  <c:v>1.0424728487886383E-3</c:v>
                </c:pt>
                <c:pt idx="440">
                  <c:v>1.0424728487886383E-3</c:v>
                </c:pt>
                <c:pt idx="441">
                  <c:v>1.0424728487886383E-3</c:v>
                </c:pt>
                <c:pt idx="442">
                  <c:v>1.0424728487886383E-3</c:v>
                </c:pt>
                <c:pt idx="443">
                  <c:v>1.0424728487886383E-3</c:v>
                </c:pt>
                <c:pt idx="444">
                  <c:v>1.0424728487886383E-3</c:v>
                </c:pt>
                <c:pt idx="445">
                  <c:v>1.0424728487886383E-3</c:v>
                </c:pt>
                <c:pt idx="446">
                  <c:v>1.0424728487886383E-3</c:v>
                </c:pt>
                <c:pt idx="447">
                  <c:v>1.0424728487886383E-3</c:v>
                </c:pt>
                <c:pt idx="448">
                  <c:v>1.0424728487886383E-3</c:v>
                </c:pt>
                <c:pt idx="449">
                  <c:v>1.0424728487886383E-3</c:v>
                </c:pt>
                <c:pt idx="450">
                  <c:v>1.0424728487886383E-3</c:v>
                </c:pt>
                <c:pt idx="451">
                  <c:v>1.0424728487886383E-3</c:v>
                </c:pt>
                <c:pt idx="452">
                  <c:v>1.0424728487886383E-3</c:v>
                </c:pt>
                <c:pt idx="453">
                  <c:v>1.0424728487886383E-3</c:v>
                </c:pt>
                <c:pt idx="454">
                  <c:v>1.0424728487886383E-3</c:v>
                </c:pt>
                <c:pt idx="455">
                  <c:v>1.0424728487886383E-3</c:v>
                </c:pt>
                <c:pt idx="456">
                  <c:v>1.0424728487886383E-3</c:v>
                </c:pt>
                <c:pt idx="457">
                  <c:v>1.0424728487886383E-3</c:v>
                </c:pt>
                <c:pt idx="458">
                  <c:v>1.0424728487886383E-3</c:v>
                </c:pt>
                <c:pt idx="459">
                  <c:v>0.47753447284878864</c:v>
                </c:pt>
              </c:numCache>
            </c:numRef>
          </c:xVal>
          <c:yVal>
            <c:numRef>
              <c:f>Messdaten!$L$15:$L$474</c:f>
              <c:numCache>
                <c:formatCode>0.000</c:formatCode>
                <c:ptCount val="4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1F0-4310-8250-8D100F6FA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28576"/>
        <c:axId val="181436416"/>
      </c:scatterChart>
      <c:valAx>
        <c:axId val="17930316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25" b="1" i="0" u="none" strike="noStrike" baseline="0">
                    <a:solidFill>
                      <a:srgbClr val="000000"/>
                    </a:solidFill>
                    <a:latin typeface="Symbol"/>
                    <a:ea typeface="Symbol"/>
                    <a:cs typeface="Symbol"/>
                  </a:defRPr>
                </a:pPr>
                <a:r>
                  <a:rPr lang="de-DE"/>
                  <a:t>e</a:t>
                </a:r>
              </a:p>
            </c:rich>
          </c:tx>
          <c:layout>
            <c:manualLayout>
              <c:xMode val="edge"/>
              <c:yMode val="edge"/>
              <c:x val="0.46688240706583728"/>
              <c:y val="0.9061583577712609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0717056"/>
        <c:crosses val="autoZero"/>
        <c:crossBetween val="midCat"/>
      </c:valAx>
      <c:valAx>
        <c:axId val="18071705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 sz="850" b="1" i="0" u="none" strike="noStrike" baseline="0">
                    <a:solidFill>
                      <a:srgbClr val="000000"/>
                    </a:solidFill>
                    <a:latin typeface="Symbol"/>
                  </a:rPr>
                  <a:t>s</a:t>
                </a:r>
                <a:r>
                  <a:rPr lang="de-DE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[MPa]</a:t>
                </a:r>
                <a:endParaRPr lang="de-DE"/>
              </a:p>
            </c:rich>
          </c:tx>
          <c:layout>
            <c:manualLayout>
              <c:xMode val="edge"/>
              <c:yMode val="edge"/>
              <c:x val="1.9386106623586429E-2"/>
              <c:y val="0.378299120234604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9303168"/>
        <c:crosses val="autoZero"/>
        <c:crossBetween val="midCat"/>
      </c:valAx>
      <c:valAx>
        <c:axId val="180728576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181436416"/>
        <c:crosses val="autoZero"/>
        <c:crossBetween val="midCat"/>
      </c:valAx>
      <c:valAx>
        <c:axId val="181436416"/>
        <c:scaling>
          <c:orientation val="minMax"/>
          <c:max val="1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r</a:t>
                </a:r>
              </a:p>
            </c:rich>
          </c:tx>
          <c:layout>
            <c:manualLayout>
              <c:xMode val="edge"/>
              <c:yMode val="edge"/>
              <c:x val="0.92891828747577798"/>
              <c:y val="0.428152492668621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0728576"/>
        <c:crosses val="max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6677908937605"/>
          <c:y val="4.5197864798135146E-2"/>
          <c:w val="0.86677908937605397"/>
          <c:h val="0.79378750051724856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Messdaten!$I$15:$I$474</c:f>
              <c:numCache>
                <c:formatCode>0.000</c:formatCode>
                <c:ptCount val="460"/>
                <c:pt idx="0">
                  <c:v>1.5637092731829574E-2</c:v>
                </c:pt>
                <c:pt idx="1">
                  <c:v>1.5637092731829574E-2</c:v>
                </c:pt>
                <c:pt idx="2">
                  <c:v>1.5637092731829574E-2</c:v>
                </c:pt>
                <c:pt idx="3">
                  <c:v>1.5637092731829574E-2</c:v>
                </c:pt>
                <c:pt idx="4">
                  <c:v>1.5637092731829574E-2</c:v>
                </c:pt>
                <c:pt idx="5">
                  <c:v>1.5637092731829574E-2</c:v>
                </c:pt>
                <c:pt idx="6">
                  <c:v>1.5637092731829574E-2</c:v>
                </c:pt>
                <c:pt idx="7">
                  <c:v>1.5637092731829574E-2</c:v>
                </c:pt>
                <c:pt idx="8">
                  <c:v>1.5637092731829574E-2</c:v>
                </c:pt>
                <c:pt idx="9">
                  <c:v>1.5637092731829574E-2</c:v>
                </c:pt>
                <c:pt idx="10">
                  <c:v>1.5637092731829574E-2</c:v>
                </c:pt>
                <c:pt idx="11">
                  <c:v>1.5637092731829574E-2</c:v>
                </c:pt>
                <c:pt idx="12">
                  <c:v>1.5637092731829574E-2</c:v>
                </c:pt>
                <c:pt idx="13">
                  <c:v>1.5637092731829574E-2</c:v>
                </c:pt>
                <c:pt idx="14">
                  <c:v>1.5637092731829574E-2</c:v>
                </c:pt>
                <c:pt idx="15">
                  <c:v>1.5637092731829574E-2</c:v>
                </c:pt>
                <c:pt idx="16">
                  <c:v>1.5637092731829574E-2</c:v>
                </c:pt>
                <c:pt idx="17">
                  <c:v>1.5637092731829574E-2</c:v>
                </c:pt>
                <c:pt idx="18">
                  <c:v>1.5637092731829574E-2</c:v>
                </c:pt>
                <c:pt idx="19">
                  <c:v>1.5637092731829574E-2</c:v>
                </c:pt>
                <c:pt idx="20">
                  <c:v>1.5637092731829574E-2</c:v>
                </c:pt>
                <c:pt idx="21">
                  <c:v>1.5637092731829574E-2</c:v>
                </c:pt>
                <c:pt idx="22">
                  <c:v>1.5637092731829574E-2</c:v>
                </c:pt>
                <c:pt idx="23">
                  <c:v>1.5637092731829574E-2</c:v>
                </c:pt>
                <c:pt idx="24">
                  <c:v>1.5637092731829574E-2</c:v>
                </c:pt>
                <c:pt idx="25">
                  <c:v>1.5637092731829574E-2</c:v>
                </c:pt>
                <c:pt idx="26">
                  <c:v>1.5637092731829574E-2</c:v>
                </c:pt>
                <c:pt idx="27">
                  <c:v>1.5637092731829574E-2</c:v>
                </c:pt>
                <c:pt idx="28">
                  <c:v>1.5637092731829574E-2</c:v>
                </c:pt>
                <c:pt idx="29">
                  <c:v>1.5637092731829574E-2</c:v>
                </c:pt>
                <c:pt idx="30">
                  <c:v>1.5637092731829574E-2</c:v>
                </c:pt>
                <c:pt idx="31">
                  <c:v>1.5637092731829574E-2</c:v>
                </c:pt>
                <c:pt idx="32">
                  <c:v>1.5637092731829574E-2</c:v>
                </c:pt>
                <c:pt idx="33">
                  <c:v>1.5637092731829574E-2</c:v>
                </c:pt>
                <c:pt idx="34">
                  <c:v>1.5637092731829574E-2</c:v>
                </c:pt>
                <c:pt idx="35">
                  <c:v>1.5637092731829574E-2</c:v>
                </c:pt>
                <c:pt idx="36">
                  <c:v>1.5637092731829574E-2</c:v>
                </c:pt>
                <c:pt idx="37">
                  <c:v>1.5637092731829574E-2</c:v>
                </c:pt>
                <c:pt idx="38">
                  <c:v>1.5637092731829574E-2</c:v>
                </c:pt>
                <c:pt idx="39">
                  <c:v>1.5637092731829574E-2</c:v>
                </c:pt>
                <c:pt idx="40">
                  <c:v>1.5637092731829574E-2</c:v>
                </c:pt>
                <c:pt idx="41">
                  <c:v>1.5637092731829574E-2</c:v>
                </c:pt>
                <c:pt idx="42">
                  <c:v>1.5637092731829574E-2</c:v>
                </c:pt>
                <c:pt idx="43">
                  <c:v>1.5637092731829574E-2</c:v>
                </c:pt>
                <c:pt idx="44">
                  <c:v>1.5637092731829574E-2</c:v>
                </c:pt>
                <c:pt idx="45">
                  <c:v>1.5637092731829574E-2</c:v>
                </c:pt>
                <c:pt idx="46">
                  <c:v>1.5637092731829574E-2</c:v>
                </c:pt>
                <c:pt idx="47">
                  <c:v>1.5637092731829574E-2</c:v>
                </c:pt>
                <c:pt idx="48">
                  <c:v>1.5637092731829574E-2</c:v>
                </c:pt>
                <c:pt idx="49">
                  <c:v>1.5637092731829574E-2</c:v>
                </c:pt>
                <c:pt idx="50">
                  <c:v>1.5637092731829574E-2</c:v>
                </c:pt>
                <c:pt idx="51">
                  <c:v>1.5637092731829574E-2</c:v>
                </c:pt>
                <c:pt idx="52">
                  <c:v>1.5637092731829574E-2</c:v>
                </c:pt>
                <c:pt idx="53">
                  <c:v>1.5637092731829574E-2</c:v>
                </c:pt>
                <c:pt idx="54">
                  <c:v>1.5637092731829574E-2</c:v>
                </c:pt>
                <c:pt idx="55">
                  <c:v>1.5637092731829574E-2</c:v>
                </c:pt>
                <c:pt idx="56">
                  <c:v>1.5637092731829574E-2</c:v>
                </c:pt>
                <c:pt idx="57">
                  <c:v>1.5637092731829574E-2</c:v>
                </c:pt>
                <c:pt idx="58">
                  <c:v>1.5637092731829574E-2</c:v>
                </c:pt>
                <c:pt idx="59">
                  <c:v>1.5637092731829574E-2</c:v>
                </c:pt>
                <c:pt idx="60">
                  <c:v>1.5637092731829574E-2</c:v>
                </c:pt>
                <c:pt idx="61">
                  <c:v>1.5637092731829574E-2</c:v>
                </c:pt>
                <c:pt idx="62">
                  <c:v>1.5637092731829574E-2</c:v>
                </c:pt>
                <c:pt idx="63">
                  <c:v>1.5637092731829574E-2</c:v>
                </c:pt>
                <c:pt idx="64">
                  <c:v>1.5637092731829574E-2</c:v>
                </c:pt>
                <c:pt idx="65">
                  <c:v>1.5637092731829574E-2</c:v>
                </c:pt>
                <c:pt idx="66">
                  <c:v>1.5637092731829574E-2</c:v>
                </c:pt>
                <c:pt idx="67">
                  <c:v>1.5637092731829574E-2</c:v>
                </c:pt>
                <c:pt idx="68">
                  <c:v>1.5637092731829574E-2</c:v>
                </c:pt>
                <c:pt idx="69">
                  <c:v>1.5637092731829574E-2</c:v>
                </c:pt>
                <c:pt idx="70">
                  <c:v>1.5637092731829574E-2</c:v>
                </c:pt>
                <c:pt idx="71">
                  <c:v>1.5637092731829574E-2</c:v>
                </c:pt>
                <c:pt idx="72">
                  <c:v>1.5637092731829574E-2</c:v>
                </c:pt>
                <c:pt idx="73">
                  <c:v>1.5637092731829574E-2</c:v>
                </c:pt>
                <c:pt idx="74">
                  <c:v>1.5637092731829574E-2</c:v>
                </c:pt>
                <c:pt idx="75">
                  <c:v>1.5637092731829574E-2</c:v>
                </c:pt>
                <c:pt idx="76">
                  <c:v>1.5637092731829574E-2</c:v>
                </c:pt>
                <c:pt idx="77">
                  <c:v>1.5637092731829574E-2</c:v>
                </c:pt>
                <c:pt idx="78">
                  <c:v>1.5637092731829574E-2</c:v>
                </c:pt>
                <c:pt idx="79">
                  <c:v>1.5637092731829574E-2</c:v>
                </c:pt>
                <c:pt idx="80">
                  <c:v>1.5637092731829574E-2</c:v>
                </c:pt>
                <c:pt idx="81">
                  <c:v>1.5637092731829574E-2</c:v>
                </c:pt>
                <c:pt idx="82">
                  <c:v>1.5637092731829574E-2</c:v>
                </c:pt>
                <c:pt idx="83">
                  <c:v>1.5637092731829574E-2</c:v>
                </c:pt>
                <c:pt idx="84">
                  <c:v>1.5637092731829574E-2</c:v>
                </c:pt>
                <c:pt idx="85">
                  <c:v>1.5637092731829574E-2</c:v>
                </c:pt>
                <c:pt idx="86">
                  <c:v>1.5637092731829574E-2</c:v>
                </c:pt>
                <c:pt idx="87">
                  <c:v>1.5637092731829574E-2</c:v>
                </c:pt>
                <c:pt idx="88">
                  <c:v>1.5637092731829574E-2</c:v>
                </c:pt>
                <c:pt idx="89">
                  <c:v>1.5637092731829574E-2</c:v>
                </c:pt>
                <c:pt idx="90">
                  <c:v>1.5637092731829574E-2</c:v>
                </c:pt>
                <c:pt idx="91">
                  <c:v>1.5637092731829574E-2</c:v>
                </c:pt>
                <c:pt idx="92">
                  <c:v>1.5637092731829574E-2</c:v>
                </c:pt>
                <c:pt idx="93">
                  <c:v>1.5637092731829574E-2</c:v>
                </c:pt>
                <c:pt idx="94">
                  <c:v>1.5637092731829574E-2</c:v>
                </c:pt>
                <c:pt idx="95">
                  <c:v>1.5637092731829574E-2</c:v>
                </c:pt>
                <c:pt idx="96">
                  <c:v>1.5637092731829574E-2</c:v>
                </c:pt>
                <c:pt idx="97">
                  <c:v>1.5637092731829574E-2</c:v>
                </c:pt>
                <c:pt idx="98">
                  <c:v>1.5637092731829574E-2</c:v>
                </c:pt>
                <c:pt idx="99">
                  <c:v>1.5637092731829574E-2</c:v>
                </c:pt>
                <c:pt idx="100">
                  <c:v>1.5637092731829574E-2</c:v>
                </c:pt>
                <c:pt idx="101">
                  <c:v>1.5637092731829574E-2</c:v>
                </c:pt>
                <c:pt idx="102">
                  <c:v>1.5637092731829574E-2</c:v>
                </c:pt>
                <c:pt idx="103">
                  <c:v>1.5637092731829574E-2</c:v>
                </c:pt>
                <c:pt idx="104">
                  <c:v>1.5637092731829574E-2</c:v>
                </c:pt>
                <c:pt idx="105">
                  <c:v>1.5637092731829574E-2</c:v>
                </c:pt>
                <c:pt idx="106">
                  <c:v>1.5637092731829574E-2</c:v>
                </c:pt>
                <c:pt idx="107">
                  <c:v>1.5637092731829574E-2</c:v>
                </c:pt>
                <c:pt idx="108">
                  <c:v>1.5637092731829574E-2</c:v>
                </c:pt>
                <c:pt idx="109">
                  <c:v>1.5637092731829574E-2</c:v>
                </c:pt>
                <c:pt idx="110">
                  <c:v>1.5637092731829574E-2</c:v>
                </c:pt>
                <c:pt idx="111">
                  <c:v>1.5637092731829574E-2</c:v>
                </c:pt>
                <c:pt idx="112">
                  <c:v>1.5637092731829574E-2</c:v>
                </c:pt>
                <c:pt idx="113">
                  <c:v>1.5637092731829574E-2</c:v>
                </c:pt>
                <c:pt idx="114">
                  <c:v>1.5637092731829574E-2</c:v>
                </c:pt>
                <c:pt idx="115">
                  <c:v>1.5637092731829574E-2</c:v>
                </c:pt>
                <c:pt idx="116">
                  <c:v>1.5637092731829574E-2</c:v>
                </c:pt>
                <c:pt idx="117">
                  <c:v>1.5637092731829574E-2</c:v>
                </c:pt>
                <c:pt idx="118">
                  <c:v>1.5637092731829574E-2</c:v>
                </c:pt>
                <c:pt idx="119">
                  <c:v>1.5637092731829574E-2</c:v>
                </c:pt>
                <c:pt idx="120">
                  <c:v>1.5637092731829574E-2</c:v>
                </c:pt>
                <c:pt idx="121">
                  <c:v>1.5637092731829574E-2</c:v>
                </c:pt>
                <c:pt idx="122">
                  <c:v>1.5637092731829574E-2</c:v>
                </c:pt>
                <c:pt idx="123">
                  <c:v>1.5637092731829574E-2</c:v>
                </c:pt>
                <c:pt idx="124">
                  <c:v>1.5637092731829574E-2</c:v>
                </c:pt>
                <c:pt idx="125">
                  <c:v>1.5637092731829574E-2</c:v>
                </c:pt>
                <c:pt idx="126">
                  <c:v>1.5637092731829574E-2</c:v>
                </c:pt>
                <c:pt idx="127">
                  <c:v>1.5637092731829574E-2</c:v>
                </c:pt>
                <c:pt idx="128">
                  <c:v>1.5637092731829574E-2</c:v>
                </c:pt>
                <c:pt idx="129">
                  <c:v>1.5637092731829574E-2</c:v>
                </c:pt>
                <c:pt idx="130">
                  <c:v>1.5637092731829574E-2</c:v>
                </c:pt>
                <c:pt idx="131">
                  <c:v>1.5637092731829574E-2</c:v>
                </c:pt>
                <c:pt idx="132">
                  <c:v>1.5637092731829574E-2</c:v>
                </c:pt>
                <c:pt idx="133">
                  <c:v>1.5637092731829574E-2</c:v>
                </c:pt>
                <c:pt idx="134">
                  <c:v>1.5637092731829574E-2</c:v>
                </c:pt>
                <c:pt idx="135">
                  <c:v>1.5637092731829574E-2</c:v>
                </c:pt>
                <c:pt idx="136">
                  <c:v>1.5637092731829574E-2</c:v>
                </c:pt>
                <c:pt idx="137">
                  <c:v>1.5637092731829574E-2</c:v>
                </c:pt>
                <c:pt idx="138">
                  <c:v>1.5637092731829574E-2</c:v>
                </c:pt>
                <c:pt idx="139">
                  <c:v>1.5637092731829574E-2</c:v>
                </c:pt>
                <c:pt idx="140">
                  <c:v>1.5637092731829574E-2</c:v>
                </c:pt>
                <c:pt idx="141">
                  <c:v>1.5637092731829574E-2</c:v>
                </c:pt>
                <c:pt idx="142">
                  <c:v>1.5637092731829574E-2</c:v>
                </c:pt>
                <c:pt idx="143">
                  <c:v>1.5637092731829574E-2</c:v>
                </c:pt>
                <c:pt idx="144">
                  <c:v>1.5637092731829574E-2</c:v>
                </c:pt>
                <c:pt idx="145">
                  <c:v>1.5637092731829574E-2</c:v>
                </c:pt>
                <c:pt idx="146">
                  <c:v>1.5637092731829574E-2</c:v>
                </c:pt>
                <c:pt idx="147">
                  <c:v>1.5637092731829574E-2</c:v>
                </c:pt>
                <c:pt idx="148">
                  <c:v>1.5637092731829574E-2</c:v>
                </c:pt>
                <c:pt idx="149">
                  <c:v>1.5637092731829574E-2</c:v>
                </c:pt>
                <c:pt idx="150">
                  <c:v>1.5637092731829574E-2</c:v>
                </c:pt>
                <c:pt idx="151">
                  <c:v>1.5637092731829574E-2</c:v>
                </c:pt>
                <c:pt idx="152">
                  <c:v>1.5637092731829574E-2</c:v>
                </c:pt>
                <c:pt idx="153">
                  <c:v>1.5637092731829574E-2</c:v>
                </c:pt>
                <c:pt idx="154">
                  <c:v>1.5637092731829574E-2</c:v>
                </c:pt>
                <c:pt idx="155">
                  <c:v>1.5637092731829574E-2</c:v>
                </c:pt>
                <c:pt idx="156">
                  <c:v>1.5637092731829574E-2</c:v>
                </c:pt>
                <c:pt idx="157">
                  <c:v>1.5637092731829574E-2</c:v>
                </c:pt>
                <c:pt idx="158">
                  <c:v>1.5637092731829574E-2</c:v>
                </c:pt>
                <c:pt idx="159">
                  <c:v>1.5637092731829574E-2</c:v>
                </c:pt>
                <c:pt idx="160">
                  <c:v>1.5637092731829574E-2</c:v>
                </c:pt>
                <c:pt idx="161">
                  <c:v>1.5637092731829574E-2</c:v>
                </c:pt>
                <c:pt idx="162">
                  <c:v>1.5637092731829574E-2</c:v>
                </c:pt>
                <c:pt idx="163">
                  <c:v>1.5637092731829574E-2</c:v>
                </c:pt>
                <c:pt idx="164">
                  <c:v>1.5637092731829574E-2</c:v>
                </c:pt>
                <c:pt idx="165">
                  <c:v>1.5637092731829574E-2</c:v>
                </c:pt>
                <c:pt idx="166">
                  <c:v>1.5637092731829574E-2</c:v>
                </c:pt>
                <c:pt idx="167">
                  <c:v>1.5637092731829574E-2</c:v>
                </c:pt>
                <c:pt idx="168">
                  <c:v>1.5637092731829574E-2</c:v>
                </c:pt>
                <c:pt idx="169">
                  <c:v>1.5637092731829574E-2</c:v>
                </c:pt>
                <c:pt idx="170">
                  <c:v>1.5637092731829574E-2</c:v>
                </c:pt>
                <c:pt idx="171">
                  <c:v>1.5637092731829574E-2</c:v>
                </c:pt>
                <c:pt idx="172">
                  <c:v>1.5637092731829574E-2</c:v>
                </c:pt>
                <c:pt idx="173">
                  <c:v>1.5637092731829574E-2</c:v>
                </c:pt>
                <c:pt idx="174">
                  <c:v>1.5637092731829574E-2</c:v>
                </c:pt>
                <c:pt idx="175">
                  <c:v>1.5637092731829574E-2</c:v>
                </c:pt>
                <c:pt idx="176">
                  <c:v>1.5637092731829574E-2</c:v>
                </c:pt>
                <c:pt idx="177">
                  <c:v>1.5637092731829574E-2</c:v>
                </c:pt>
                <c:pt idx="178">
                  <c:v>1.5637092731829574E-2</c:v>
                </c:pt>
                <c:pt idx="179">
                  <c:v>1.5637092731829574E-2</c:v>
                </c:pt>
                <c:pt idx="180">
                  <c:v>1.5637092731829574E-2</c:v>
                </c:pt>
                <c:pt idx="181">
                  <c:v>1.5637092731829574E-2</c:v>
                </c:pt>
                <c:pt idx="182">
                  <c:v>1.5637092731829574E-2</c:v>
                </c:pt>
                <c:pt idx="183">
                  <c:v>1.5637092731829574E-2</c:v>
                </c:pt>
                <c:pt idx="184">
                  <c:v>1.5637092731829574E-2</c:v>
                </c:pt>
                <c:pt idx="185">
                  <c:v>1.5637092731829574E-2</c:v>
                </c:pt>
                <c:pt idx="186">
                  <c:v>1.5637092731829574E-2</c:v>
                </c:pt>
                <c:pt idx="187">
                  <c:v>1.5637092731829574E-2</c:v>
                </c:pt>
                <c:pt idx="188">
                  <c:v>1.5637092731829574E-2</c:v>
                </c:pt>
                <c:pt idx="189">
                  <c:v>1.5637092731829574E-2</c:v>
                </c:pt>
                <c:pt idx="190">
                  <c:v>1.5637092731829574E-2</c:v>
                </c:pt>
                <c:pt idx="191">
                  <c:v>1.5637092731829574E-2</c:v>
                </c:pt>
                <c:pt idx="192">
                  <c:v>1.5637092731829574E-2</c:v>
                </c:pt>
                <c:pt idx="193">
                  <c:v>1.5637092731829574E-2</c:v>
                </c:pt>
                <c:pt idx="194">
                  <c:v>1.5637092731829574E-2</c:v>
                </c:pt>
                <c:pt idx="195">
                  <c:v>1.5637092731829574E-2</c:v>
                </c:pt>
                <c:pt idx="196">
                  <c:v>1.5637092731829574E-2</c:v>
                </c:pt>
                <c:pt idx="197">
                  <c:v>1.5637092731829574E-2</c:v>
                </c:pt>
                <c:pt idx="198">
                  <c:v>1.5637092731829574E-2</c:v>
                </c:pt>
                <c:pt idx="199">
                  <c:v>1.5637092731829574E-2</c:v>
                </c:pt>
                <c:pt idx="200">
                  <c:v>1.5637092731829574E-2</c:v>
                </c:pt>
                <c:pt idx="201">
                  <c:v>1.5637092731829574E-2</c:v>
                </c:pt>
                <c:pt idx="202">
                  <c:v>1.5637092731829574E-2</c:v>
                </c:pt>
                <c:pt idx="203">
                  <c:v>1.5637092731829574E-2</c:v>
                </c:pt>
                <c:pt idx="204">
                  <c:v>1.5637092731829574E-2</c:v>
                </c:pt>
                <c:pt idx="205">
                  <c:v>1.5637092731829574E-2</c:v>
                </c:pt>
                <c:pt idx="206">
                  <c:v>1.5637092731829574E-2</c:v>
                </c:pt>
                <c:pt idx="207">
                  <c:v>1.5637092731829574E-2</c:v>
                </c:pt>
                <c:pt idx="208">
                  <c:v>1.5637092731829574E-2</c:v>
                </c:pt>
                <c:pt idx="209">
                  <c:v>1.5637092731829574E-2</c:v>
                </c:pt>
                <c:pt idx="210">
                  <c:v>1.5637092731829574E-2</c:v>
                </c:pt>
                <c:pt idx="211">
                  <c:v>1.5637092731829574E-2</c:v>
                </c:pt>
                <c:pt idx="212">
                  <c:v>1.5637092731829574E-2</c:v>
                </c:pt>
                <c:pt idx="213">
                  <c:v>1.5637092731829574E-2</c:v>
                </c:pt>
                <c:pt idx="214">
                  <c:v>1.5637092731829574E-2</c:v>
                </c:pt>
                <c:pt idx="215">
                  <c:v>1.5637092731829574E-2</c:v>
                </c:pt>
                <c:pt idx="216">
                  <c:v>1.5637092731829574E-2</c:v>
                </c:pt>
                <c:pt idx="217">
                  <c:v>1.5637092731829574E-2</c:v>
                </c:pt>
                <c:pt idx="218">
                  <c:v>1.5637092731829574E-2</c:v>
                </c:pt>
                <c:pt idx="219">
                  <c:v>1.5637092731829574E-2</c:v>
                </c:pt>
                <c:pt idx="220">
                  <c:v>1.5637092731829574E-2</c:v>
                </c:pt>
                <c:pt idx="221">
                  <c:v>1.5637092731829574E-2</c:v>
                </c:pt>
                <c:pt idx="222">
                  <c:v>1.5637092731829574E-2</c:v>
                </c:pt>
                <c:pt idx="223">
                  <c:v>1.5637092731829574E-2</c:v>
                </c:pt>
                <c:pt idx="224">
                  <c:v>1.5637092731829574E-2</c:v>
                </c:pt>
                <c:pt idx="225">
                  <c:v>1.5637092731829574E-2</c:v>
                </c:pt>
                <c:pt idx="226">
                  <c:v>1.5637092731829574E-2</c:v>
                </c:pt>
                <c:pt idx="227">
                  <c:v>1.5637092731829574E-2</c:v>
                </c:pt>
                <c:pt idx="228">
                  <c:v>1.5637092731829574E-2</c:v>
                </c:pt>
                <c:pt idx="229">
                  <c:v>1.5637092731829574E-2</c:v>
                </c:pt>
                <c:pt idx="230">
                  <c:v>1.5637092731829574E-2</c:v>
                </c:pt>
                <c:pt idx="231">
                  <c:v>1.5637092731829574E-2</c:v>
                </c:pt>
                <c:pt idx="232">
                  <c:v>1.5637092731829574E-2</c:v>
                </c:pt>
                <c:pt idx="233">
                  <c:v>1.5637092731829574E-2</c:v>
                </c:pt>
                <c:pt idx="234">
                  <c:v>1.5637092731829574E-2</c:v>
                </c:pt>
                <c:pt idx="235">
                  <c:v>1.5637092731829574E-2</c:v>
                </c:pt>
                <c:pt idx="236">
                  <c:v>1.5637092731829574E-2</c:v>
                </c:pt>
                <c:pt idx="237">
                  <c:v>1.5637092731829574E-2</c:v>
                </c:pt>
                <c:pt idx="238">
                  <c:v>1.5637092731829574E-2</c:v>
                </c:pt>
                <c:pt idx="239">
                  <c:v>1.5637092731829574E-2</c:v>
                </c:pt>
                <c:pt idx="240">
                  <c:v>1.5637092731829574E-2</c:v>
                </c:pt>
                <c:pt idx="241">
                  <c:v>1.5637092731829574E-2</c:v>
                </c:pt>
                <c:pt idx="242">
                  <c:v>1.5637092731829574E-2</c:v>
                </c:pt>
                <c:pt idx="243">
                  <c:v>1.5637092731829574E-2</c:v>
                </c:pt>
                <c:pt idx="244">
                  <c:v>1.5637092731829574E-2</c:v>
                </c:pt>
                <c:pt idx="245">
                  <c:v>1.5637092731829574E-2</c:v>
                </c:pt>
                <c:pt idx="246">
                  <c:v>1.5637092731829574E-2</c:v>
                </c:pt>
                <c:pt idx="247">
                  <c:v>1.5637092731829574E-2</c:v>
                </c:pt>
                <c:pt idx="248">
                  <c:v>1.5637092731829574E-2</c:v>
                </c:pt>
                <c:pt idx="249">
                  <c:v>1.5637092731829574E-2</c:v>
                </c:pt>
                <c:pt idx="250">
                  <c:v>1.5637092731829574E-2</c:v>
                </c:pt>
                <c:pt idx="251">
                  <c:v>1.5637092731829574E-2</c:v>
                </c:pt>
                <c:pt idx="252">
                  <c:v>1.5637092731829574E-2</c:v>
                </c:pt>
                <c:pt idx="253">
                  <c:v>1.5637092731829574E-2</c:v>
                </c:pt>
                <c:pt idx="254">
                  <c:v>1.5637092731829574E-2</c:v>
                </c:pt>
                <c:pt idx="255">
                  <c:v>1.5637092731829574E-2</c:v>
                </c:pt>
                <c:pt idx="256">
                  <c:v>1.5637092731829574E-2</c:v>
                </c:pt>
                <c:pt idx="257">
                  <c:v>1.5637092731829574E-2</c:v>
                </c:pt>
                <c:pt idx="258">
                  <c:v>1.5637092731829574E-2</c:v>
                </c:pt>
                <c:pt idx="259">
                  <c:v>1.5637092731829574E-2</c:v>
                </c:pt>
                <c:pt idx="260">
                  <c:v>1.5637092731829574E-2</c:v>
                </c:pt>
                <c:pt idx="261">
                  <c:v>1.5637092731829574E-2</c:v>
                </c:pt>
                <c:pt idx="262">
                  <c:v>1.5637092731829574E-2</c:v>
                </c:pt>
                <c:pt idx="263">
                  <c:v>1.5637092731829574E-2</c:v>
                </c:pt>
                <c:pt idx="264">
                  <c:v>1.5637092731829574E-2</c:v>
                </c:pt>
                <c:pt idx="265">
                  <c:v>1.5637092731829574E-2</c:v>
                </c:pt>
                <c:pt idx="266">
                  <c:v>1.5637092731829574E-2</c:v>
                </c:pt>
                <c:pt idx="267">
                  <c:v>1.5637092731829574E-2</c:v>
                </c:pt>
                <c:pt idx="268">
                  <c:v>1.5637092731829574E-2</c:v>
                </c:pt>
                <c:pt idx="269">
                  <c:v>1.5637092731829574E-2</c:v>
                </c:pt>
                <c:pt idx="270">
                  <c:v>1.5637092731829574E-2</c:v>
                </c:pt>
                <c:pt idx="271">
                  <c:v>1.5637092731829574E-2</c:v>
                </c:pt>
                <c:pt idx="272">
                  <c:v>1.5637092731829574E-2</c:v>
                </c:pt>
                <c:pt idx="273">
                  <c:v>1.5637092731829574E-2</c:v>
                </c:pt>
                <c:pt idx="274">
                  <c:v>1.5637092731829574E-2</c:v>
                </c:pt>
                <c:pt idx="275">
                  <c:v>1.5637092731829574E-2</c:v>
                </c:pt>
                <c:pt idx="276">
                  <c:v>1.5637092731829574E-2</c:v>
                </c:pt>
                <c:pt idx="277">
                  <c:v>1.5637092731829574E-2</c:v>
                </c:pt>
                <c:pt idx="278">
                  <c:v>1.5637092731829574E-2</c:v>
                </c:pt>
                <c:pt idx="279">
                  <c:v>1.5637092731829574E-2</c:v>
                </c:pt>
                <c:pt idx="280">
                  <c:v>1.5637092731829574E-2</c:v>
                </c:pt>
                <c:pt idx="281">
                  <c:v>1.5637092731829574E-2</c:v>
                </c:pt>
                <c:pt idx="282">
                  <c:v>1.5637092731829574E-2</c:v>
                </c:pt>
                <c:pt idx="283">
                  <c:v>1.5637092731829574E-2</c:v>
                </c:pt>
                <c:pt idx="284">
                  <c:v>1.5637092731829574E-2</c:v>
                </c:pt>
                <c:pt idx="285">
                  <c:v>1.5637092731829574E-2</c:v>
                </c:pt>
                <c:pt idx="286">
                  <c:v>1.5637092731829574E-2</c:v>
                </c:pt>
                <c:pt idx="287">
                  <c:v>1.5637092731829574E-2</c:v>
                </c:pt>
                <c:pt idx="288">
                  <c:v>1.5637092731829574E-2</c:v>
                </c:pt>
                <c:pt idx="289">
                  <c:v>1.5637092731829574E-2</c:v>
                </c:pt>
                <c:pt idx="290">
                  <c:v>1.5637092731829574E-2</c:v>
                </c:pt>
                <c:pt idx="291">
                  <c:v>1.5637092731829574E-2</c:v>
                </c:pt>
                <c:pt idx="292">
                  <c:v>1.5637092731829574E-2</c:v>
                </c:pt>
                <c:pt idx="293">
                  <c:v>1.5637092731829574E-2</c:v>
                </c:pt>
                <c:pt idx="294">
                  <c:v>1.5637092731829574E-2</c:v>
                </c:pt>
                <c:pt idx="295">
                  <c:v>1.5637092731829574E-2</c:v>
                </c:pt>
                <c:pt idx="296">
                  <c:v>1.5637092731829574E-2</c:v>
                </c:pt>
                <c:pt idx="297">
                  <c:v>1.5637092731829574E-2</c:v>
                </c:pt>
                <c:pt idx="298">
                  <c:v>1.5637092731829574E-2</c:v>
                </c:pt>
                <c:pt idx="299">
                  <c:v>1.5637092731829574E-2</c:v>
                </c:pt>
                <c:pt idx="300">
                  <c:v>1.5637092731829574E-2</c:v>
                </c:pt>
                <c:pt idx="301">
                  <c:v>1.5637092731829574E-2</c:v>
                </c:pt>
                <c:pt idx="302">
                  <c:v>1.5637092731829574E-2</c:v>
                </c:pt>
                <c:pt idx="303">
                  <c:v>1.5637092731829574E-2</c:v>
                </c:pt>
                <c:pt idx="304">
                  <c:v>1.5637092731829574E-2</c:v>
                </c:pt>
                <c:pt idx="305">
                  <c:v>1.5637092731829574E-2</c:v>
                </c:pt>
                <c:pt idx="306">
                  <c:v>1.5637092731829574E-2</c:v>
                </c:pt>
                <c:pt idx="307">
                  <c:v>1.5637092731829574E-2</c:v>
                </c:pt>
                <c:pt idx="308">
                  <c:v>1.5637092731829574E-2</c:v>
                </c:pt>
                <c:pt idx="309">
                  <c:v>1.5637092731829574E-2</c:v>
                </c:pt>
                <c:pt idx="310">
                  <c:v>1.5637092731829574E-2</c:v>
                </c:pt>
                <c:pt idx="311">
                  <c:v>1.5637092731829574E-2</c:v>
                </c:pt>
                <c:pt idx="312">
                  <c:v>1.5637092731829574E-2</c:v>
                </c:pt>
                <c:pt idx="313">
                  <c:v>1.5637092731829574E-2</c:v>
                </c:pt>
                <c:pt idx="314">
                  <c:v>1.5637092731829574E-2</c:v>
                </c:pt>
                <c:pt idx="315">
                  <c:v>1.5637092731829574E-2</c:v>
                </c:pt>
                <c:pt idx="316">
                  <c:v>1.5637092731829574E-2</c:v>
                </c:pt>
                <c:pt idx="317">
                  <c:v>1.5637092731829574E-2</c:v>
                </c:pt>
                <c:pt idx="318">
                  <c:v>1.5637092731829574E-2</c:v>
                </c:pt>
                <c:pt idx="319">
                  <c:v>1.5637092731829574E-2</c:v>
                </c:pt>
                <c:pt idx="320">
                  <c:v>1.5637092731829574E-2</c:v>
                </c:pt>
                <c:pt idx="321">
                  <c:v>1.5637092731829574E-2</c:v>
                </c:pt>
                <c:pt idx="322">
                  <c:v>1.5637092731829574E-2</c:v>
                </c:pt>
                <c:pt idx="323">
                  <c:v>1.5637092731829574E-2</c:v>
                </c:pt>
                <c:pt idx="324">
                  <c:v>1.5637092731829574E-2</c:v>
                </c:pt>
                <c:pt idx="325">
                  <c:v>1.5637092731829574E-2</c:v>
                </c:pt>
                <c:pt idx="326">
                  <c:v>1.5637092731829574E-2</c:v>
                </c:pt>
                <c:pt idx="327">
                  <c:v>1.5637092731829574E-2</c:v>
                </c:pt>
                <c:pt idx="328">
                  <c:v>1.5637092731829574E-2</c:v>
                </c:pt>
                <c:pt idx="329">
                  <c:v>1.5637092731829574E-2</c:v>
                </c:pt>
                <c:pt idx="330">
                  <c:v>1.5637092731829574E-2</c:v>
                </c:pt>
                <c:pt idx="331">
                  <c:v>1.5637092731829574E-2</c:v>
                </c:pt>
                <c:pt idx="332">
                  <c:v>1.5637092731829574E-2</c:v>
                </c:pt>
                <c:pt idx="333">
                  <c:v>1.5637092731829574E-2</c:v>
                </c:pt>
                <c:pt idx="334">
                  <c:v>1.5637092731829574E-2</c:v>
                </c:pt>
                <c:pt idx="335">
                  <c:v>1.5637092731829574E-2</c:v>
                </c:pt>
                <c:pt idx="336">
                  <c:v>1.5637092731829574E-2</c:v>
                </c:pt>
                <c:pt idx="337">
                  <c:v>1.5637092731829574E-2</c:v>
                </c:pt>
                <c:pt idx="338">
                  <c:v>1.5637092731829574E-2</c:v>
                </c:pt>
                <c:pt idx="339">
                  <c:v>1.5637092731829574E-2</c:v>
                </c:pt>
                <c:pt idx="340">
                  <c:v>1.5637092731829574E-2</c:v>
                </c:pt>
                <c:pt idx="341">
                  <c:v>1.5637092731829574E-2</c:v>
                </c:pt>
                <c:pt idx="342">
                  <c:v>1.5637092731829574E-2</c:v>
                </c:pt>
                <c:pt idx="343">
                  <c:v>1.5637092731829574E-2</c:v>
                </c:pt>
                <c:pt idx="344">
                  <c:v>1.5637092731829574E-2</c:v>
                </c:pt>
                <c:pt idx="345">
                  <c:v>1.5637092731829574E-2</c:v>
                </c:pt>
                <c:pt idx="346">
                  <c:v>1.5637092731829574E-2</c:v>
                </c:pt>
                <c:pt idx="347">
                  <c:v>1.5637092731829574E-2</c:v>
                </c:pt>
                <c:pt idx="348">
                  <c:v>1.5637092731829574E-2</c:v>
                </c:pt>
                <c:pt idx="349">
                  <c:v>1.5637092731829574E-2</c:v>
                </c:pt>
                <c:pt idx="350">
                  <c:v>1.5637092731829574E-2</c:v>
                </c:pt>
                <c:pt idx="351">
                  <c:v>1.5637092731829574E-2</c:v>
                </c:pt>
                <c:pt idx="352">
                  <c:v>1.5637092731829574E-2</c:v>
                </c:pt>
                <c:pt idx="353">
                  <c:v>1.5637092731829574E-2</c:v>
                </c:pt>
                <c:pt idx="354">
                  <c:v>1.5637092731829574E-2</c:v>
                </c:pt>
                <c:pt idx="355">
                  <c:v>1.5637092731829574E-2</c:v>
                </c:pt>
                <c:pt idx="356">
                  <c:v>1.5637092731829574E-2</c:v>
                </c:pt>
                <c:pt idx="357">
                  <c:v>1.5637092731829574E-2</c:v>
                </c:pt>
                <c:pt idx="358">
                  <c:v>1.5637092731829574E-2</c:v>
                </c:pt>
                <c:pt idx="359">
                  <c:v>1.5637092731829574E-2</c:v>
                </c:pt>
                <c:pt idx="360">
                  <c:v>1.5637092731829574E-2</c:v>
                </c:pt>
                <c:pt idx="361">
                  <c:v>1.5637092731829574E-2</c:v>
                </c:pt>
                <c:pt idx="362">
                  <c:v>1.5637092731829574E-2</c:v>
                </c:pt>
                <c:pt idx="363">
                  <c:v>1.5637092731829574E-2</c:v>
                </c:pt>
                <c:pt idx="364">
                  <c:v>1.5637092731829574E-2</c:v>
                </c:pt>
                <c:pt idx="365">
                  <c:v>1.5637092731829574E-2</c:v>
                </c:pt>
                <c:pt idx="366">
                  <c:v>1.5637092731829574E-2</c:v>
                </c:pt>
                <c:pt idx="367">
                  <c:v>1.5637092731829574E-2</c:v>
                </c:pt>
                <c:pt idx="368">
                  <c:v>1.5637092731829574E-2</c:v>
                </c:pt>
                <c:pt idx="369">
                  <c:v>1.5637092731829574E-2</c:v>
                </c:pt>
                <c:pt idx="370">
                  <c:v>1.5637092731829574E-2</c:v>
                </c:pt>
                <c:pt idx="371">
                  <c:v>1.5637092731829574E-2</c:v>
                </c:pt>
                <c:pt idx="372">
                  <c:v>1.5637092731829574E-2</c:v>
                </c:pt>
                <c:pt idx="373">
                  <c:v>1.5637092731829574E-2</c:v>
                </c:pt>
                <c:pt idx="374">
                  <c:v>1.5637092731829574E-2</c:v>
                </c:pt>
                <c:pt idx="375">
                  <c:v>1.5637092731829574E-2</c:v>
                </c:pt>
                <c:pt idx="376">
                  <c:v>1.5637092731829574E-2</c:v>
                </c:pt>
                <c:pt idx="377">
                  <c:v>1.5637092731829574E-2</c:v>
                </c:pt>
                <c:pt idx="378">
                  <c:v>1.5637092731829574E-2</c:v>
                </c:pt>
                <c:pt idx="379">
                  <c:v>1.5637092731829574E-2</c:v>
                </c:pt>
                <c:pt idx="380">
                  <c:v>1.5637092731829574E-2</c:v>
                </c:pt>
                <c:pt idx="381">
                  <c:v>1.5637092731829574E-2</c:v>
                </c:pt>
                <c:pt idx="382">
                  <c:v>1.5637092731829574E-2</c:v>
                </c:pt>
                <c:pt idx="383">
                  <c:v>1.5637092731829574E-2</c:v>
                </c:pt>
                <c:pt idx="384">
                  <c:v>1.5637092731829574E-2</c:v>
                </c:pt>
                <c:pt idx="385">
                  <c:v>1.5637092731829574E-2</c:v>
                </c:pt>
                <c:pt idx="386">
                  <c:v>1.5637092731829574E-2</c:v>
                </c:pt>
                <c:pt idx="387">
                  <c:v>1.5637092731829574E-2</c:v>
                </c:pt>
                <c:pt idx="388">
                  <c:v>1.5637092731829574E-2</c:v>
                </c:pt>
                <c:pt idx="389">
                  <c:v>1.5637092731829574E-2</c:v>
                </c:pt>
                <c:pt idx="390">
                  <c:v>1.5637092731829574E-2</c:v>
                </c:pt>
                <c:pt idx="391">
                  <c:v>1.5637092731829574E-2</c:v>
                </c:pt>
                <c:pt idx="392">
                  <c:v>1.5637092731829574E-2</c:v>
                </c:pt>
                <c:pt idx="393">
                  <c:v>1.5637092731829574E-2</c:v>
                </c:pt>
                <c:pt idx="394">
                  <c:v>1.5637092731829574E-2</c:v>
                </c:pt>
                <c:pt idx="395">
                  <c:v>1.5637092731829574E-2</c:v>
                </c:pt>
                <c:pt idx="396">
                  <c:v>1.5637092731829574E-2</c:v>
                </c:pt>
                <c:pt idx="397">
                  <c:v>1.5637092731829574E-2</c:v>
                </c:pt>
                <c:pt idx="398">
                  <c:v>1.5637092731829574E-2</c:v>
                </c:pt>
                <c:pt idx="399">
                  <c:v>1.5637092731829574E-2</c:v>
                </c:pt>
                <c:pt idx="400">
                  <c:v>1.5637092731829574E-2</c:v>
                </c:pt>
                <c:pt idx="401">
                  <c:v>1.5637092731829574E-2</c:v>
                </c:pt>
                <c:pt idx="402">
                  <c:v>1.5637092731829574E-2</c:v>
                </c:pt>
                <c:pt idx="403">
                  <c:v>1.5637092731829574E-2</c:v>
                </c:pt>
                <c:pt idx="404">
                  <c:v>1.5637092731829574E-2</c:v>
                </c:pt>
                <c:pt idx="405">
                  <c:v>1.5637092731829574E-2</c:v>
                </c:pt>
                <c:pt idx="406">
                  <c:v>1.5637092731829574E-2</c:v>
                </c:pt>
                <c:pt idx="407">
                  <c:v>1.5637092731829574E-2</c:v>
                </c:pt>
                <c:pt idx="408">
                  <c:v>1.5637092731829574E-2</c:v>
                </c:pt>
                <c:pt idx="409">
                  <c:v>1.5637092731829574E-2</c:v>
                </c:pt>
                <c:pt idx="410">
                  <c:v>1.5637092731829574E-2</c:v>
                </c:pt>
                <c:pt idx="411">
                  <c:v>1.5637092731829574E-2</c:v>
                </c:pt>
                <c:pt idx="412">
                  <c:v>1.5637092731829574E-2</c:v>
                </c:pt>
                <c:pt idx="413">
                  <c:v>1.5637092731829574E-2</c:v>
                </c:pt>
                <c:pt idx="414">
                  <c:v>1.5637092731829574E-2</c:v>
                </c:pt>
                <c:pt idx="415">
                  <c:v>1.5637092731829574E-2</c:v>
                </c:pt>
                <c:pt idx="416">
                  <c:v>1.5637092731829574E-2</c:v>
                </c:pt>
                <c:pt idx="417">
                  <c:v>1.5637092731829574E-2</c:v>
                </c:pt>
                <c:pt idx="418">
                  <c:v>1.5637092731829574E-2</c:v>
                </c:pt>
                <c:pt idx="419">
                  <c:v>1.5637092731829574E-2</c:v>
                </c:pt>
                <c:pt idx="420">
                  <c:v>1.5637092731829574E-2</c:v>
                </c:pt>
                <c:pt idx="421">
                  <c:v>1.5637092731829574E-2</c:v>
                </c:pt>
                <c:pt idx="422">
                  <c:v>1.5637092731829574E-2</c:v>
                </c:pt>
                <c:pt idx="423">
                  <c:v>1.5637092731829574E-2</c:v>
                </c:pt>
                <c:pt idx="424">
                  <c:v>1.5637092731829574E-2</c:v>
                </c:pt>
                <c:pt idx="425">
                  <c:v>1.5637092731829574E-2</c:v>
                </c:pt>
                <c:pt idx="426">
                  <c:v>1.5637092731829574E-2</c:v>
                </c:pt>
                <c:pt idx="427">
                  <c:v>1.5637092731829574E-2</c:v>
                </c:pt>
                <c:pt idx="428">
                  <c:v>1.5637092731829574E-2</c:v>
                </c:pt>
                <c:pt idx="429">
                  <c:v>1.5637092731829574E-2</c:v>
                </c:pt>
                <c:pt idx="430">
                  <c:v>1.5637092731829574E-2</c:v>
                </c:pt>
                <c:pt idx="431">
                  <c:v>1.5637092731829574E-2</c:v>
                </c:pt>
                <c:pt idx="432">
                  <c:v>1.5637092731829574E-2</c:v>
                </c:pt>
                <c:pt idx="433">
                  <c:v>1.5637092731829574E-2</c:v>
                </c:pt>
                <c:pt idx="434">
                  <c:v>1.5637092731829574E-2</c:v>
                </c:pt>
                <c:pt idx="435">
                  <c:v>1.5637092731829574E-2</c:v>
                </c:pt>
                <c:pt idx="436">
                  <c:v>1.5637092731829574E-2</c:v>
                </c:pt>
                <c:pt idx="437">
                  <c:v>1.5637092731829574E-2</c:v>
                </c:pt>
                <c:pt idx="438">
                  <c:v>1.5637092731829574E-2</c:v>
                </c:pt>
                <c:pt idx="439">
                  <c:v>1.5637092731829574E-2</c:v>
                </c:pt>
                <c:pt idx="440">
                  <c:v>1.5637092731829574E-2</c:v>
                </c:pt>
                <c:pt idx="441">
                  <c:v>1.5637092731829574E-2</c:v>
                </c:pt>
                <c:pt idx="442">
                  <c:v>1.5637092731829574E-2</c:v>
                </c:pt>
                <c:pt idx="443">
                  <c:v>1.5637092731829574E-2</c:v>
                </c:pt>
                <c:pt idx="444">
                  <c:v>1.5637092731829574E-2</c:v>
                </c:pt>
                <c:pt idx="445">
                  <c:v>1.5637092731829574E-2</c:v>
                </c:pt>
                <c:pt idx="446">
                  <c:v>1.5637092731829574E-2</c:v>
                </c:pt>
                <c:pt idx="447">
                  <c:v>1.5637092731829574E-2</c:v>
                </c:pt>
                <c:pt idx="448">
                  <c:v>1.5637092731829574E-2</c:v>
                </c:pt>
                <c:pt idx="449">
                  <c:v>1.5637092731829574E-2</c:v>
                </c:pt>
                <c:pt idx="450">
                  <c:v>1.5637092731829574E-2</c:v>
                </c:pt>
                <c:pt idx="451">
                  <c:v>1.5637092731829574E-2</c:v>
                </c:pt>
                <c:pt idx="452">
                  <c:v>1.5637092731829574E-2</c:v>
                </c:pt>
                <c:pt idx="453">
                  <c:v>1.5637092731829574E-2</c:v>
                </c:pt>
                <c:pt idx="454">
                  <c:v>1.5637092731829574E-2</c:v>
                </c:pt>
                <c:pt idx="455">
                  <c:v>1.5637092731829574E-2</c:v>
                </c:pt>
                <c:pt idx="456">
                  <c:v>1.5637092731829574E-2</c:v>
                </c:pt>
                <c:pt idx="457">
                  <c:v>1.5637092731829574E-2</c:v>
                </c:pt>
                <c:pt idx="458">
                  <c:v>1.5637092731829574E-2</c:v>
                </c:pt>
                <c:pt idx="459">
                  <c:v>7.1630170927318293</c:v>
                </c:pt>
              </c:numCache>
            </c:numRef>
          </c:xVal>
          <c:yVal>
            <c:numRef>
              <c:f>Messdaten!$J$15:$J$474</c:f>
              <c:numCache>
                <c:formatCode>0.000</c:formatCode>
                <c:ptCount val="460"/>
                <c:pt idx="0">
                  <c:v>1.3919299999999999</c:v>
                </c:pt>
                <c:pt idx="1">
                  <c:v>1.3919299999999999</c:v>
                </c:pt>
                <c:pt idx="2">
                  <c:v>1.3919299999999999</c:v>
                </c:pt>
                <c:pt idx="3">
                  <c:v>1.3919299999999999</c:v>
                </c:pt>
                <c:pt idx="4">
                  <c:v>1.3919299999999999</c:v>
                </c:pt>
                <c:pt idx="5">
                  <c:v>1.3919299999999999</c:v>
                </c:pt>
                <c:pt idx="6">
                  <c:v>1.3919299999999999</c:v>
                </c:pt>
                <c:pt idx="7">
                  <c:v>1.3919299999999999</c:v>
                </c:pt>
                <c:pt idx="8">
                  <c:v>1.3919299999999999</c:v>
                </c:pt>
                <c:pt idx="9">
                  <c:v>1.3919299999999999</c:v>
                </c:pt>
                <c:pt idx="10">
                  <c:v>1.3919299999999999</c:v>
                </c:pt>
                <c:pt idx="11">
                  <c:v>1.3919299999999999</c:v>
                </c:pt>
                <c:pt idx="12">
                  <c:v>1.3919299999999999</c:v>
                </c:pt>
                <c:pt idx="13">
                  <c:v>1.3919299999999999</c:v>
                </c:pt>
                <c:pt idx="14">
                  <c:v>1.3919299999999999</c:v>
                </c:pt>
                <c:pt idx="15">
                  <c:v>1.3919299999999999</c:v>
                </c:pt>
                <c:pt idx="16">
                  <c:v>1.3919299999999999</c:v>
                </c:pt>
                <c:pt idx="17">
                  <c:v>1.3919299999999999</c:v>
                </c:pt>
                <c:pt idx="18">
                  <c:v>1.3919299999999999</c:v>
                </c:pt>
                <c:pt idx="19">
                  <c:v>1.3919299999999999</c:v>
                </c:pt>
                <c:pt idx="20">
                  <c:v>1.3919299999999999</c:v>
                </c:pt>
                <c:pt idx="21">
                  <c:v>1.3919299999999999</c:v>
                </c:pt>
                <c:pt idx="22">
                  <c:v>1.3919299999999999</c:v>
                </c:pt>
                <c:pt idx="23">
                  <c:v>1.3919299999999999</c:v>
                </c:pt>
                <c:pt idx="24">
                  <c:v>1.3919299999999999</c:v>
                </c:pt>
                <c:pt idx="25">
                  <c:v>1.3919299999999999</c:v>
                </c:pt>
                <c:pt idx="26">
                  <c:v>1.3919299999999999</c:v>
                </c:pt>
                <c:pt idx="27">
                  <c:v>1.3919299999999999</c:v>
                </c:pt>
                <c:pt idx="28">
                  <c:v>1.3919299999999999</c:v>
                </c:pt>
                <c:pt idx="29">
                  <c:v>1.3919299999999999</c:v>
                </c:pt>
                <c:pt idx="30">
                  <c:v>1.3919299999999999</c:v>
                </c:pt>
                <c:pt idx="31">
                  <c:v>1.3919299999999999</c:v>
                </c:pt>
                <c:pt idx="32">
                  <c:v>1.3919299999999999</c:v>
                </c:pt>
                <c:pt idx="33">
                  <c:v>1.3919299999999999</c:v>
                </c:pt>
                <c:pt idx="34">
                  <c:v>1.3919299999999999</c:v>
                </c:pt>
                <c:pt idx="35">
                  <c:v>1.3919299999999999</c:v>
                </c:pt>
                <c:pt idx="36">
                  <c:v>1.3919299999999999</c:v>
                </c:pt>
                <c:pt idx="37">
                  <c:v>1.3919299999999999</c:v>
                </c:pt>
                <c:pt idx="38">
                  <c:v>1.3919299999999999</c:v>
                </c:pt>
                <c:pt idx="39">
                  <c:v>1.3919299999999999</c:v>
                </c:pt>
                <c:pt idx="40">
                  <c:v>1.3919299999999999</c:v>
                </c:pt>
                <c:pt idx="41">
                  <c:v>1.3919299999999999</c:v>
                </c:pt>
                <c:pt idx="42">
                  <c:v>1.3919299999999999</c:v>
                </c:pt>
                <c:pt idx="43">
                  <c:v>1.3919299999999999</c:v>
                </c:pt>
                <c:pt idx="44">
                  <c:v>1.3919299999999999</c:v>
                </c:pt>
                <c:pt idx="45">
                  <c:v>1.3919299999999999</c:v>
                </c:pt>
                <c:pt idx="46">
                  <c:v>1.3919299999999999</c:v>
                </c:pt>
                <c:pt idx="47">
                  <c:v>1.3919299999999999</c:v>
                </c:pt>
                <c:pt idx="48">
                  <c:v>1.3919299999999999</c:v>
                </c:pt>
                <c:pt idx="49">
                  <c:v>1.3919299999999999</c:v>
                </c:pt>
                <c:pt idx="50">
                  <c:v>1.3919299999999999</c:v>
                </c:pt>
                <c:pt idx="51">
                  <c:v>1.3919299999999999</c:v>
                </c:pt>
                <c:pt idx="52">
                  <c:v>1.3919299999999999</c:v>
                </c:pt>
                <c:pt idx="53">
                  <c:v>1.3919299999999999</c:v>
                </c:pt>
                <c:pt idx="54">
                  <c:v>1.3919299999999999</c:v>
                </c:pt>
                <c:pt idx="55">
                  <c:v>1.3919299999999999</c:v>
                </c:pt>
                <c:pt idx="56">
                  <c:v>1.3919299999999999</c:v>
                </c:pt>
                <c:pt idx="57">
                  <c:v>1.3919299999999999</c:v>
                </c:pt>
                <c:pt idx="58">
                  <c:v>1.3919299999999999</c:v>
                </c:pt>
                <c:pt idx="59">
                  <c:v>1.3919299999999999</c:v>
                </c:pt>
                <c:pt idx="60">
                  <c:v>1.3919299999999999</c:v>
                </c:pt>
                <c:pt idx="61">
                  <c:v>1.3919299999999999</c:v>
                </c:pt>
                <c:pt idx="62">
                  <c:v>1.3919299999999999</c:v>
                </c:pt>
                <c:pt idx="63">
                  <c:v>1.3919299999999999</c:v>
                </c:pt>
                <c:pt idx="64">
                  <c:v>1.3919299999999999</c:v>
                </c:pt>
                <c:pt idx="65">
                  <c:v>1.3919299999999999</c:v>
                </c:pt>
                <c:pt idx="66">
                  <c:v>1.3919299999999999</c:v>
                </c:pt>
                <c:pt idx="67">
                  <c:v>1.3919299999999999</c:v>
                </c:pt>
                <c:pt idx="68">
                  <c:v>1.3919299999999999</c:v>
                </c:pt>
                <c:pt idx="69">
                  <c:v>1.3919299999999999</c:v>
                </c:pt>
                <c:pt idx="70">
                  <c:v>1.3919299999999999</c:v>
                </c:pt>
                <c:pt idx="71">
                  <c:v>1.3919299999999999</c:v>
                </c:pt>
                <c:pt idx="72">
                  <c:v>1.3919299999999999</c:v>
                </c:pt>
                <c:pt idx="73">
                  <c:v>1.3919299999999999</c:v>
                </c:pt>
                <c:pt idx="74">
                  <c:v>1.3919299999999999</c:v>
                </c:pt>
                <c:pt idx="75">
                  <c:v>1.3919299999999999</c:v>
                </c:pt>
                <c:pt idx="76">
                  <c:v>1.3919299999999999</c:v>
                </c:pt>
                <c:pt idx="77">
                  <c:v>1.3919299999999999</c:v>
                </c:pt>
                <c:pt idx="78">
                  <c:v>1.3919299999999999</c:v>
                </c:pt>
                <c:pt idx="79">
                  <c:v>1.3919299999999999</c:v>
                </c:pt>
                <c:pt idx="80">
                  <c:v>1.3919299999999999</c:v>
                </c:pt>
                <c:pt idx="81">
                  <c:v>1.3919299999999999</c:v>
                </c:pt>
                <c:pt idx="82">
                  <c:v>1.3919299999999999</c:v>
                </c:pt>
                <c:pt idx="83">
                  <c:v>1.3919299999999999</c:v>
                </c:pt>
                <c:pt idx="84">
                  <c:v>1.3919299999999999</c:v>
                </c:pt>
                <c:pt idx="85">
                  <c:v>1.3919299999999999</c:v>
                </c:pt>
                <c:pt idx="86">
                  <c:v>1.3919299999999999</c:v>
                </c:pt>
                <c:pt idx="87">
                  <c:v>1.3919299999999999</c:v>
                </c:pt>
                <c:pt idx="88">
                  <c:v>1.3919299999999999</c:v>
                </c:pt>
                <c:pt idx="89">
                  <c:v>1.3919299999999999</c:v>
                </c:pt>
                <c:pt idx="90">
                  <c:v>1.3919299999999999</c:v>
                </c:pt>
                <c:pt idx="91">
                  <c:v>1.3919299999999999</c:v>
                </c:pt>
                <c:pt idx="92">
                  <c:v>1.3919299999999999</c:v>
                </c:pt>
                <c:pt idx="93">
                  <c:v>1.3919299999999999</c:v>
                </c:pt>
                <c:pt idx="94">
                  <c:v>1.3919299999999999</c:v>
                </c:pt>
                <c:pt idx="95">
                  <c:v>1.3919299999999999</c:v>
                </c:pt>
                <c:pt idx="96">
                  <c:v>1.3919299999999999</c:v>
                </c:pt>
                <c:pt idx="97">
                  <c:v>1.3919299999999999</c:v>
                </c:pt>
                <c:pt idx="98">
                  <c:v>1.3919299999999999</c:v>
                </c:pt>
                <c:pt idx="99">
                  <c:v>1.3919299999999999</c:v>
                </c:pt>
                <c:pt idx="100">
                  <c:v>1.3919299999999999</c:v>
                </c:pt>
                <c:pt idx="101">
                  <c:v>1.3919299999999999</c:v>
                </c:pt>
                <c:pt idx="102">
                  <c:v>1.3919299999999999</c:v>
                </c:pt>
                <c:pt idx="103">
                  <c:v>1.3919299999999999</c:v>
                </c:pt>
                <c:pt idx="104">
                  <c:v>1.3919299999999999</c:v>
                </c:pt>
                <c:pt idx="105">
                  <c:v>1.3919299999999999</c:v>
                </c:pt>
                <c:pt idx="106">
                  <c:v>1.3919299999999999</c:v>
                </c:pt>
                <c:pt idx="107">
                  <c:v>1.3919299999999999</c:v>
                </c:pt>
                <c:pt idx="108">
                  <c:v>1.3919299999999999</c:v>
                </c:pt>
                <c:pt idx="109">
                  <c:v>1.3919299999999999</c:v>
                </c:pt>
                <c:pt idx="110">
                  <c:v>1.3919299999999999</c:v>
                </c:pt>
                <c:pt idx="111">
                  <c:v>1.3919299999999999</c:v>
                </c:pt>
                <c:pt idx="112">
                  <c:v>1.3919299999999999</c:v>
                </c:pt>
                <c:pt idx="113">
                  <c:v>1.3919299999999999</c:v>
                </c:pt>
                <c:pt idx="114">
                  <c:v>1.3919299999999999</c:v>
                </c:pt>
                <c:pt idx="115">
                  <c:v>1.3919299999999999</c:v>
                </c:pt>
                <c:pt idx="116">
                  <c:v>1.3919299999999999</c:v>
                </c:pt>
                <c:pt idx="117">
                  <c:v>1.3919299999999999</c:v>
                </c:pt>
                <c:pt idx="118">
                  <c:v>1.3919299999999999</c:v>
                </c:pt>
                <c:pt idx="119">
                  <c:v>1.3919299999999999</c:v>
                </c:pt>
                <c:pt idx="120">
                  <c:v>1.3919299999999999</c:v>
                </c:pt>
                <c:pt idx="121">
                  <c:v>1.3919299999999999</c:v>
                </c:pt>
                <c:pt idx="122">
                  <c:v>1.3919299999999999</c:v>
                </c:pt>
                <c:pt idx="123">
                  <c:v>1.3919299999999999</c:v>
                </c:pt>
                <c:pt idx="124">
                  <c:v>1.3919299999999999</c:v>
                </c:pt>
                <c:pt idx="125">
                  <c:v>1.3919299999999999</c:v>
                </c:pt>
                <c:pt idx="126">
                  <c:v>1.3919299999999999</c:v>
                </c:pt>
                <c:pt idx="127">
                  <c:v>1.3919299999999999</c:v>
                </c:pt>
                <c:pt idx="128">
                  <c:v>1.3919299999999999</c:v>
                </c:pt>
                <c:pt idx="129">
                  <c:v>1.3919299999999999</c:v>
                </c:pt>
                <c:pt idx="130">
                  <c:v>1.3919299999999999</c:v>
                </c:pt>
                <c:pt idx="131">
                  <c:v>1.3919299999999999</c:v>
                </c:pt>
                <c:pt idx="132">
                  <c:v>1.3919299999999999</c:v>
                </c:pt>
                <c:pt idx="133">
                  <c:v>1.3919299999999999</c:v>
                </c:pt>
                <c:pt idx="134">
                  <c:v>1.3919299999999999</c:v>
                </c:pt>
                <c:pt idx="135">
                  <c:v>1.3919299999999999</c:v>
                </c:pt>
                <c:pt idx="136">
                  <c:v>1.3919299999999999</c:v>
                </c:pt>
                <c:pt idx="137">
                  <c:v>1.3919299999999999</c:v>
                </c:pt>
                <c:pt idx="138">
                  <c:v>1.3919299999999999</c:v>
                </c:pt>
                <c:pt idx="139">
                  <c:v>1.3919299999999999</c:v>
                </c:pt>
                <c:pt idx="140">
                  <c:v>1.3919299999999999</c:v>
                </c:pt>
                <c:pt idx="141">
                  <c:v>1.3919299999999999</c:v>
                </c:pt>
                <c:pt idx="142">
                  <c:v>1.3919299999999999</c:v>
                </c:pt>
                <c:pt idx="143">
                  <c:v>1.3919299999999999</c:v>
                </c:pt>
                <c:pt idx="144">
                  <c:v>1.3919299999999999</c:v>
                </c:pt>
                <c:pt idx="145">
                  <c:v>1.3919299999999999</c:v>
                </c:pt>
                <c:pt idx="146">
                  <c:v>1.3919299999999999</c:v>
                </c:pt>
                <c:pt idx="147">
                  <c:v>1.3919299999999999</c:v>
                </c:pt>
                <c:pt idx="148">
                  <c:v>1.3919299999999999</c:v>
                </c:pt>
                <c:pt idx="149">
                  <c:v>1.3919299999999999</c:v>
                </c:pt>
                <c:pt idx="150">
                  <c:v>1.3919299999999999</c:v>
                </c:pt>
                <c:pt idx="151">
                  <c:v>1.3919299999999999</c:v>
                </c:pt>
                <c:pt idx="152">
                  <c:v>1.3919299999999999</c:v>
                </c:pt>
                <c:pt idx="153">
                  <c:v>1.3919299999999999</c:v>
                </c:pt>
                <c:pt idx="154">
                  <c:v>1.3919299999999999</c:v>
                </c:pt>
                <c:pt idx="155">
                  <c:v>1.3919299999999999</c:v>
                </c:pt>
                <c:pt idx="156">
                  <c:v>1.3919299999999999</c:v>
                </c:pt>
                <c:pt idx="157">
                  <c:v>1.3919299999999999</c:v>
                </c:pt>
                <c:pt idx="158">
                  <c:v>1.3919299999999999</c:v>
                </c:pt>
                <c:pt idx="159">
                  <c:v>1.3919299999999999</c:v>
                </c:pt>
                <c:pt idx="160">
                  <c:v>1.3919299999999999</c:v>
                </c:pt>
                <c:pt idx="161">
                  <c:v>1.3919299999999999</c:v>
                </c:pt>
                <c:pt idx="162">
                  <c:v>1.3919299999999999</c:v>
                </c:pt>
                <c:pt idx="163">
                  <c:v>1.3919299999999999</c:v>
                </c:pt>
                <c:pt idx="164">
                  <c:v>1.3919299999999999</c:v>
                </c:pt>
                <c:pt idx="165">
                  <c:v>1.3919299999999999</c:v>
                </c:pt>
                <c:pt idx="166">
                  <c:v>1.3919299999999999</c:v>
                </c:pt>
                <c:pt idx="167">
                  <c:v>1.3919299999999999</c:v>
                </c:pt>
                <c:pt idx="168">
                  <c:v>1.3919299999999999</c:v>
                </c:pt>
                <c:pt idx="169">
                  <c:v>1.3919299999999999</c:v>
                </c:pt>
                <c:pt idx="170">
                  <c:v>1.3919299999999999</c:v>
                </c:pt>
                <c:pt idx="171">
                  <c:v>1.3919299999999999</c:v>
                </c:pt>
                <c:pt idx="172">
                  <c:v>1.3919299999999999</c:v>
                </c:pt>
                <c:pt idx="173">
                  <c:v>1.3919299999999999</c:v>
                </c:pt>
                <c:pt idx="174">
                  <c:v>1.3919299999999999</c:v>
                </c:pt>
                <c:pt idx="175">
                  <c:v>1.3919299999999999</c:v>
                </c:pt>
                <c:pt idx="176">
                  <c:v>1.3919299999999999</c:v>
                </c:pt>
                <c:pt idx="177">
                  <c:v>1.3919299999999999</c:v>
                </c:pt>
                <c:pt idx="178">
                  <c:v>1.3919299999999999</c:v>
                </c:pt>
                <c:pt idx="179">
                  <c:v>1.3919299999999999</c:v>
                </c:pt>
                <c:pt idx="180">
                  <c:v>1.3919299999999999</c:v>
                </c:pt>
                <c:pt idx="181">
                  <c:v>1.3919299999999999</c:v>
                </c:pt>
                <c:pt idx="182">
                  <c:v>1.3919299999999999</c:v>
                </c:pt>
                <c:pt idx="183">
                  <c:v>1.3919299999999999</c:v>
                </c:pt>
                <c:pt idx="184">
                  <c:v>1.3919299999999999</c:v>
                </c:pt>
                <c:pt idx="185">
                  <c:v>1.3919299999999999</c:v>
                </c:pt>
                <c:pt idx="186">
                  <c:v>1.3919299999999999</c:v>
                </c:pt>
                <c:pt idx="187">
                  <c:v>1.3919299999999999</c:v>
                </c:pt>
                <c:pt idx="188">
                  <c:v>1.3919299999999999</c:v>
                </c:pt>
                <c:pt idx="189">
                  <c:v>1.3919299999999999</c:v>
                </c:pt>
                <c:pt idx="190">
                  <c:v>1.3919299999999999</c:v>
                </c:pt>
                <c:pt idx="191">
                  <c:v>1.3919299999999999</c:v>
                </c:pt>
                <c:pt idx="192">
                  <c:v>1.3919299999999999</c:v>
                </c:pt>
                <c:pt idx="193">
                  <c:v>1.3919299999999999</c:v>
                </c:pt>
                <c:pt idx="194">
                  <c:v>1.3919299999999999</c:v>
                </c:pt>
                <c:pt idx="195">
                  <c:v>1.3919299999999999</c:v>
                </c:pt>
                <c:pt idx="196">
                  <c:v>1.3919299999999999</c:v>
                </c:pt>
                <c:pt idx="197">
                  <c:v>1.3919299999999999</c:v>
                </c:pt>
                <c:pt idx="198">
                  <c:v>1.3919299999999999</c:v>
                </c:pt>
                <c:pt idx="199">
                  <c:v>1.3919299999999999</c:v>
                </c:pt>
                <c:pt idx="200">
                  <c:v>1.3919299999999999</c:v>
                </c:pt>
                <c:pt idx="201">
                  <c:v>1.3919299999999999</c:v>
                </c:pt>
                <c:pt idx="202">
                  <c:v>1.3919299999999999</c:v>
                </c:pt>
                <c:pt idx="203">
                  <c:v>1.3919299999999999</c:v>
                </c:pt>
                <c:pt idx="204">
                  <c:v>1.3919299999999999</c:v>
                </c:pt>
                <c:pt idx="205">
                  <c:v>1.3919299999999999</c:v>
                </c:pt>
                <c:pt idx="206">
                  <c:v>1.3919299999999999</c:v>
                </c:pt>
                <c:pt idx="207">
                  <c:v>1.3919299999999999</c:v>
                </c:pt>
                <c:pt idx="208">
                  <c:v>1.3919299999999999</c:v>
                </c:pt>
                <c:pt idx="209">
                  <c:v>1.3919299999999999</c:v>
                </c:pt>
                <c:pt idx="210">
                  <c:v>1.3919299999999999</c:v>
                </c:pt>
                <c:pt idx="211">
                  <c:v>1.3919299999999999</c:v>
                </c:pt>
                <c:pt idx="212">
                  <c:v>1.3919299999999999</c:v>
                </c:pt>
                <c:pt idx="213">
                  <c:v>1.3919299999999999</c:v>
                </c:pt>
                <c:pt idx="214">
                  <c:v>1.3919299999999999</c:v>
                </c:pt>
                <c:pt idx="215">
                  <c:v>1.3919299999999999</c:v>
                </c:pt>
                <c:pt idx="216">
                  <c:v>1.3919299999999999</c:v>
                </c:pt>
                <c:pt idx="217">
                  <c:v>1.3919299999999999</c:v>
                </c:pt>
                <c:pt idx="218">
                  <c:v>1.3919299999999999</c:v>
                </c:pt>
                <c:pt idx="219">
                  <c:v>1.3919299999999999</c:v>
                </c:pt>
                <c:pt idx="220">
                  <c:v>1.3919299999999999</c:v>
                </c:pt>
                <c:pt idx="221">
                  <c:v>1.3919299999999999</c:v>
                </c:pt>
                <c:pt idx="222">
                  <c:v>1.3919299999999999</c:v>
                </c:pt>
                <c:pt idx="223">
                  <c:v>1.3919299999999999</c:v>
                </c:pt>
                <c:pt idx="224">
                  <c:v>1.3919299999999999</c:v>
                </c:pt>
                <c:pt idx="225">
                  <c:v>1.3919299999999999</c:v>
                </c:pt>
                <c:pt idx="226">
                  <c:v>1.3919299999999999</c:v>
                </c:pt>
                <c:pt idx="227">
                  <c:v>1.3919299999999999</c:v>
                </c:pt>
                <c:pt idx="228">
                  <c:v>1.3919299999999999</c:v>
                </c:pt>
                <c:pt idx="229">
                  <c:v>1.3919299999999999</c:v>
                </c:pt>
                <c:pt idx="230">
                  <c:v>1.3919299999999999</c:v>
                </c:pt>
                <c:pt idx="231">
                  <c:v>1.3919299999999999</c:v>
                </c:pt>
                <c:pt idx="232">
                  <c:v>1.3919299999999999</c:v>
                </c:pt>
                <c:pt idx="233">
                  <c:v>1.3919299999999999</c:v>
                </c:pt>
                <c:pt idx="234">
                  <c:v>1.3919299999999999</c:v>
                </c:pt>
                <c:pt idx="235">
                  <c:v>1.3919299999999999</c:v>
                </c:pt>
                <c:pt idx="236">
                  <c:v>1.3919299999999999</c:v>
                </c:pt>
                <c:pt idx="237">
                  <c:v>1.3919299999999999</c:v>
                </c:pt>
                <c:pt idx="238">
                  <c:v>1.3919299999999999</c:v>
                </c:pt>
                <c:pt idx="239">
                  <c:v>1.3919299999999999</c:v>
                </c:pt>
                <c:pt idx="240">
                  <c:v>1.3919299999999999</c:v>
                </c:pt>
                <c:pt idx="241">
                  <c:v>1.3919299999999999</c:v>
                </c:pt>
                <c:pt idx="242">
                  <c:v>1.3919299999999999</c:v>
                </c:pt>
                <c:pt idx="243">
                  <c:v>1.3919299999999999</c:v>
                </c:pt>
                <c:pt idx="244">
                  <c:v>1.3919299999999999</c:v>
                </c:pt>
                <c:pt idx="245">
                  <c:v>1.3919299999999999</c:v>
                </c:pt>
                <c:pt idx="246">
                  <c:v>1.3919299999999999</c:v>
                </c:pt>
                <c:pt idx="247">
                  <c:v>1.3919299999999999</c:v>
                </c:pt>
                <c:pt idx="248">
                  <c:v>1.3919299999999999</c:v>
                </c:pt>
                <c:pt idx="249">
                  <c:v>1.3919299999999999</c:v>
                </c:pt>
                <c:pt idx="250">
                  <c:v>1.3919299999999999</c:v>
                </c:pt>
                <c:pt idx="251">
                  <c:v>1.3919299999999999</c:v>
                </c:pt>
                <c:pt idx="252">
                  <c:v>1.3919299999999999</c:v>
                </c:pt>
                <c:pt idx="253">
                  <c:v>1.3919299999999999</c:v>
                </c:pt>
                <c:pt idx="254">
                  <c:v>1.3919299999999999</c:v>
                </c:pt>
                <c:pt idx="255">
                  <c:v>1.3919299999999999</c:v>
                </c:pt>
                <c:pt idx="256">
                  <c:v>1.3919299999999999</c:v>
                </c:pt>
                <c:pt idx="257">
                  <c:v>1.3919299999999999</c:v>
                </c:pt>
                <c:pt idx="258">
                  <c:v>1.3919299999999999</c:v>
                </c:pt>
                <c:pt idx="259">
                  <c:v>1.3919299999999999</c:v>
                </c:pt>
                <c:pt idx="260">
                  <c:v>1.3919299999999999</c:v>
                </c:pt>
                <c:pt idx="261">
                  <c:v>1.3919299999999999</c:v>
                </c:pt>
                <c:pt idx="262">
                  <c:v>1.3919299999999999</c:v>
                </c:pt>
                <c:pt idx="263">
                  <c:v>1.3919299999999999</c:v>
                </c:pt>
                <c:pt idx="264">
                  <c:v>1.3919299999999999</c:v>
                </c:pt>
                <c:pt idx="265">
                  <c:v>1.3919299999999999</c:v>
                </c:pt>
                <c:pt idx="266">
                  <c:v>1.3919299999999999</c:v>
                </c:pt>
                <c:pt idx="267">
                  <c:v>1.3919299999999999</c:v>
                </c:pt>
                <c:pt idx="268">
                  <c:v>1.3919299999999999</c:v>
                </c:pt>
                <c:pt idx="269">
                  <c:v>1.3919299999999999</c:v>
                </c:pt>
                <c:pt idx="270">
                  <c:v>1.3919299999999999</c:v>
                </c:pt>
                <c:pt idx="271">
                  <c:v>1.3919299999999999</c:v>
                </c:pt>
                <c:pt idx="272">
                  <c:v>1.3919299999999999</c:v>
                </c:pt>
                <c:pt idx="273">
                  <c:v>1.3919299999999999</c:v>
                </c:pt>
                <c:pt idx="274">
                  <c:v>1.3919299999999999</c:v>
                </c:pt>
                <c:pt idx="275">
                  <c:v>1.3919299999999999</c:v>
                </c:pt>
                <c:pt idx="276">
                  <c:v>1.3919299999999999</c:v>
                </c:pt>
                <c:pt idx="277">
                  <c:v>1.3919299999999999</c:v>
                </c:pt>
                <c:pt idx="278">
                  <c:v>1.3919299999999999</c:v>
                </c:pt>
                <c:pt idx="279">
                  <c:v>1.3919299999999999</c:v>
                </c:pt>
                <c:pt idx="280">
                  <c:v>1.3919299999999999</c:v>
                </c:pt>
                <c:pt idx="281">
                  <c:v>1.3919299999999999</c:v>
                </c:pt>
                <c:pt idx="282">
                  <c:v>1.3919299999999999</c:v>
                </c:pt>
                <c:pt idx="283">
                  <c:v>1.3919299999999999</c:v>
                </c:pt>
                <c:pt idx="284">
                  <c:v>1.3919299999999999</c:v>
                </c:pt>
                <c:pt idx="285">
                  <c:v>1.3919299999999999</c:v>
                </c:pt>
                <c:pt idx="286">
                  <c:v>1.3919299999999999</c:v>
                </c:pt>
                <c:pt idx="287">
                  <c:v>1.3919299999999999</c:v>
                </c:pt>
                <c:pt idx="288">
                  <c:v>1.3919299999999999</c:v>
                </c:pt>
                <c:pt idx="289">
                  <c:v>1.3919299999999999</c:v>
                </c:pt>
                <c:pt idx="290">
                  <c:v>1.3919299999999999</c:v>
                </c:pt>
                <c:pt idx="291">
                  <c:v>1.3919299999999999</c:v>
                </c:pt>
                <c:pt idx="292">
                  <c:v>1.3919299999999999</c:v>
                </c:pt>
                <c:pt idx="293">
                  <c:v>1.3919299999999999</c:v>
                </c:pt>
                <c:pt idx="294">
                  <c:v>1.3919299999999999</c:v>
                </c:pt>
                <c:pt idx="295">
                  <c:v>1.3919299999999999</c:v>
                </c:pt>
                <c:pt idx="296">
                  <c:v>1.3919299999999999</c:v>
                </c:pt>
                <c:pt idx="297">
                  <c:v>1.3919299999999999</c:v>
                </c:pt>
                <c:pt idx="298">
                  <c:v>1.3919299999999999</c:v>
                </c:pt>
                <c:pt idx="299">
                  <c:v>1.3919299999999999</c:v>
                </c:pt>
                <c:pt idx="300">
                  <c:v>1.3919299999999999</c:v>
                </c:pt>
                <c:pt idx="301">
                  <c:v>1.3919299999999999</c:v>
                </c:pt>
                <c:pt idx="302">
                  <c:v>1.3919299999999999</c:v>
                </c:pt>
                <c:pt idx="303">
                  <c:v>1.3919299999999999</c:v>
                </c:pt>
                <c:pt idx="304">
                  <c:v>1.3919299999999999</c:v>
                </c:pt>
                <c:pt idx="305">
                  <c:v>1.3919299999999999</c:v>
                </c:pt>
                <c:pt idx="306">
                  <c:v>1.3919299999999999</c:v>
                </c:pt>
                <c:pt idx="307">
                  <c:v>1.3919299999999999</c:v>
                </c:pt>
                <c:pt idx="308">
                  <c:v>1.3919299999999999</c:v>
                </c:pt>
                <c:pt idx="309">
                  <c:v>1.3919299999999999</c:v>
                </c:pt>
                <c:pt idx="310">
                  <c:v>1.3919299999999999</c:v>
                </c:pt>
                <c:pt idx="311">
                  <c:v>1.3919299999999999</c:v>
                </c:pt>
                <c:pt idx="312">
                  <c:v>1.3919299999999999</c:v>
                </c:pt>
                <c:pt idx="313">
                  <c:v>1.3919299999999999</c:v>
                </c:pt>
                <c:pt idx="314">
                  <c:v>1.3919299999999999</c:v>
                </c:pt>
                <c:pt idx="315">
                  <c:v>1.3919299999999999</c:v>
                </c:pt>
                <c:pt idx="316">
                  <c:v>1.3919299999999999</c:v>
                </c:pt>
                <c:pt idx="317">
                  <c:v>1.3919299999999999</c:v>
                </c:pt>
                <c:pt idx="318">
                  <c:v>1.3919299999999999</c:v>
                </c:pt>
                <c:pt idx="319">
                  <c:v>1.3919299999999999</c:v>
                </c:pt>
                <c:pt idx="320">
                  <c:v>1.3919299999999999</c:v>
                </c:pt>
                <c:pt idx="321">
                  <c:v>1.3919299999999999</c:v>
                </c:pt>
                <c:pt idx="322">
                  <c:v>1.3919299999999999</c:v>
                </c:pt>
                <c:pt idx="323">
                  <c:v>1.3919299999999999</c:v>
                </c:pt>
                <c:pt idx="324">
                  <c:v>1.3919299999999999</c:v>
                </c:pt>
                <c:pt idx="325">
                  <c:v>1.3919299999999999</c:v>
                </c:pt>
                <c:pt idx="326">
                  <c:v>1.3919299999999999</c:v>
                </c:pt>
                <c:pt idx="327">
                  <c:v>1.3919299999999999</c:v>
                </c:pt>
                <c:pt idx="328">
                  <c:v>1.3919299999999999</c:v>
                </c:pt>
                <c:pt idx="329">
                  <c:v>1.3919299999999999</c:v>
                </c:pt>
                <c:pt idx="330">
                  <c:v>1.3919299999999999</c:v>
                </c:pt>
                <c:pt idx="331">
                  <c:v>1.3919299999999999</c:v>
                </c:pt>
                <c:pt idx="332">
                  <c:v>1.3919299999999999</c:v>
                </c:pt>
                <c:pt idx="333">
                  <c:v>1.3919299999999999</c:v>
                </c:pt>
                <c:pt idx="334">
                  <c:v>1.3919299999999999</c:v>
                </c:pt>
                <c:pt idx="335">
                  <c:v>1.3919299999999999</c:v>
                </c:pt>
                <c:pt idx="336">
                  <c:v>1.3919299999999999</c:v>
                </c:pt>
                <c:pt idx="337">
                  <c:v>1.3919299999999999</c:v>
                </c:pt>
                <c:pt idx="338">
                  <c:v>1.3919299999999999</c:v>
                </c:pt>
                <c:pt idx="339">
                  <c:v>1.3919299999999999</c:v>
                </c:pt>
                <c:pt idx="340">
                  <c:v>1.3919299999999999</c:v>
                </c:pt>
                <c:pt idx="341">
                  <c:v>1.3919299999999999</c:v>
                </c:pt>
                <c:pt idx="342">
                  <c:v>1.3919299999999999</c:v>
                </c:pt>
                <c:pt idx="343">
                  <c:v>1.3919299999999999</c:v>
                </c:pt>
                <c:pt idx="344">
                  <c:v>1.3919299999999999</c:v>
                </c:pt>
                <c:pt idx="345">
                  <c:v>1.3919299999999999</c:v>
                </c:pt>
                <c:pt idx="346">
                  <c:v>1.3919299999999999</c:v>
                </c:pt>
                <c:pt idx="347">
                  <c:v>1.3919299999999999</c:v>
                </c:pt>
                <c:pt idx="348">
                  <c:v>1.3919299999999999</c:v>
                </c:pt>
                <c:pt idx="349">
                  <c:v>1.3919299999999999</c:v>
                </c:pt>
                <c:pt idx="350">
                  <c:v>1.3919299999999999</c:v>
                </c:pt>
                <c:pt idx="351">
                  <c:v>1.3919299999999999</c:v>
                </c:pt>
                <c:pt idx="352">
                  <c:v>1.3919299999999999</c:v>
                </c:pt>
                <c:pt idx="353">
                  <c:v>1.3919299999999999</c:v>
                </c:pt>
                <c:pt idx="354">
                  <c:v>1.3919299999999999</c:v>
                </c:pt>
                <c:pt idx="355">
                  <c:v>1.3919299999999999</c:v>
                </c:pt>
                <c:pt idx="356">
                  <c:v>1.3919299999999999</c:v>
                </c:pt>
                <c:pt idx="357">
                  <c:v>1.3919299999999999</c:v>
                </c:pt>
                <c:pt idx="358">
                  <c:v>1.3919299999999999</c:v>
                </c:pt>
                <c:pt idx="359">
                  <c:v>1.3919299999999999</c:v>
                </c:pt>
                <c:pt idx="360">
                  <c:v>1.3919299999999999</c:v>
                </c:pt>
                <c:pt idx="361">
                  <c:v>1.3919299999999999</c:v>
                </c:pt>
                <c:pt idx="362">
                  <c:v>1.3919299999999999</c:v>
                </c:pt>
                <c:pt idx="363">
                  <c:v>1.3919299999999999</c:v>
                </c:pt>
                <c:pt idx="364">
                  <c:v>1.3919299999999999</c:v>
                </c:pt>
                <c:pt idx="365">
                  <c:v>1.3919299999999999</c:v>
                </c:pt>
                <c:pt idx="366">
                  <c:v>1.3919299999999999</c:v>
                </c:pt>
                <c:pt idx="367">
                  <c:v>1.3919299999999999</c:v>
                </c:pt>
                <c:pt idx="368">
                  <c:v>1.3919299999999999</c:v>
                </c:pt>
                <c:pt idx="369">
                  <c:v>1.3919299999999999</c:v>
                </c:pt>
                <c:pt idx="370">
                  <c:v>1.3919299999999999</c:v>
                </c:pt>
                <c:pt idx="371">
                  <c:v>1.3919299999999999</c:v>
                </c:pt>
                <c:pt idx="372">
                  <c:v>1.3919299999999999</c:v>
                </c:pt>
                <c:pt idx="373">
                  <c:v>1.3919299999999999</c:v>
                </c:pt>
                <c:pt idx="374">
                  <c:v>1.3919299999999999</c:v>
                </c:pt>
                <c:pt idx="375">
                  <c:v>1.3919299999999999</c:v>
                </c:pt>
                <c:pt idx="376">
                  <c:v>1.3919299999999999</c:v>
                </c:pt>
                <c:pt idx="377">
                  <c:v>1.3919299999999999</c:v>
                </c:pt>
                <c:pt idx="378">
                  <c:v>1.3919299999999999</c:v>
                </c:pt>
                <c:pt idx="379">
                  <c:v>1.3919299999999999</c:v>
                </c:pt>
                <c:pt idx="380">
                  <c:v>1.3919299999999999</c:v>
                </c:pt>
                <c:pt idx="381">
                  <c:v>1.3919299999999999</c:v>
                </c:pt>
                <c:pt idx="382">
                  <c:v>1.3919299999999999</c:v>
                </c:pt>
                <c:pt idx="383">
                  <c:v>1.3919299999999999</c:v>
                </c:pt>
                <c:pt idx="384">
                  <c:v>1.3919299999999999</c:v>
                </c:pt>
                <c:pt idx="385">
                  <c:v>1.3919299999999999</c:v>
                </c:pt>
                <c:pt idx="386">
                  <c:v>1.3919299999999999</c:v>
                </c:pt>
                <c:pt idx="387">
                  <c:v>1.3919299999999999</c:v>
                </c:pt>
                <c:pt idx="388">
                  <c:v>1.3919299999999999</c:v>
                </c:pt>
                <c:pt idx="389">
                  <c:v>1.3919299999999999</c:v>
                </c:pt>
                <c:pt idx="390">
                  <c:v>1.3919299999999999</c:v>
                </c:pt>
                <c:pt idx="391">
                  <c:v>1.3919299999999999</c:v>
                </c:pt>
                <c:pt idx="392">
                  <c:v>1.3919299999999999</c:v>
                </c:pt>
                <c:pt idx="393">
                  <c:v>1.3919299999999999</c:v>
                </c:pt>
                <c:pt idx="394">
                  <c:v>1.3919299999999999</c:v>
                </c:pt>
                <c:pt idx="395">
                  <c:v>1.3919299999999999</c:v>
                </c:pt>
                <c:pt idx="396">
                  <c:v>1.3919299999999999</c:v>
                </c:pt>
                <c:pt idx="397">
                  <c:v>1.3919299999999999</c:v>
                </c:pt>
                <c:pt idx="398">
                  <c:v>1.3919299999999999</c:v>
                </c:pt>
                <c:pt idx="399">
                  <c:v>1.3919299999999999</c:v>
                </c:pt>
                <c:pt idx="400">
                  <c:v>1.3919299999999999</c:v>
                </c:pt>
                <c:pt idx="401">
                  <c:v>1.3919299999999999</c:v>
                </c:pt>
                <c:pt idx="402">
                  <c:v>1.3919299999999999</c:v>
                </c:pt>
                <c:pt idx="403">
                  <c:v>1.3919299999999999</c:v>
                </c:pt>
                <c:pt idx="404">
                  <c:v>1.3919299999999999</c:v>
                </c:pt>
                <c:pt idx="405">
                  <c:v>1.3919299999999999</c:v>
                </c:pt>
                <c:pt idx="406">
                  <c:v>1.3919299999999999</c:v>
                </c:pt>
                <c:pt idx="407">
                  <c:v>1.3919299999999999</c:v>
                </c:pt>
                <c:pt idx="408">
                  <c:v>1.3919299999999999</c:v>
                </c:pt>
                <c:pt idx="409">
                  <c:v>1.3919299999999999</c:v>
                </c:pt>
                <c:pt idx="410">
                  <c:v>1.3919299999999999</c:v>
                </c:pt>
                <c:pt idx="411">
                  <c:v>1.3919299999999999</c:v>
                </c:pt>
                <c:pt idx="412">
                  <c:v>1.3919299999999999</c:v>
                </c:pt>
                <c:pt idx="413">
                  <c:v>1.3919299999999999</c:v>
                </c:pt>
                <c:pt idx="414">
                  <c:v>1.3919299999999999</c:v>
                </c:pt>
                <c:pt idx="415">
                  <c:v>1.3919299999999999</c:v>
                </c:pt>
                <c:pt idx="416">
                  <c:v>1.3919299999999999</c:v>
                </c:pt>
                <c:pt idx="417">
                  <c:v>1.3919299999999999</c:v>
                </c:pt>
                <c:pt idx="418">
                  <c:v>1.3919299999999999</c:v>
                </c:pt>
                <c:pt idx="419">
                  <c:v>1.3919299999999999</c:v>
                </c:pt>
                <c:pt idx="420">
                  <c:v>1.3919299999999999</c:v>
                </c:pt>
                <c:pt idx="421">
                  <c:v>1.3919299999999999</c:v>
                </c:pt>
                <c:pt idx="422">
                  <c:v>1.3919299999999999</c:v>
                </c:pt>
                <c:pt idx="423">
                  <c:v>1.3919299999999999</c:v>
                </c:pt>
                <c:pt idx="424">
                  <c:v>1.3919299999999999</c:v>
                </c:pt>
                <c:pt idx="425">
                  <c:v>1.3919299999999999</c:v>
                </c:pt>
                <c:pt idx="426">
                  <c:v>1.3919299999999999</c:v>
                </c:pt>
                <c:pt idx="427">
                  <c:v>1.3919299999999999</c:v>
                </c:pt>
                <c:pt idx="428">
                  <c:v>1.3919299999999999</c:v>
                </c:pt>
                <c:pt idx="429">
                  <c:v>1.3919299999999999</c:v>
                </c:pt>
                <c:pt idx="430">
                  <c:v>1.3919299999999999</c:v>
                </c:pt>
                <c:pt idx="431">
                  <c:v>1.3919299999999999</c:v>
                </c:pt>
                <c:pt idx="432">
                  <c:v>1.3919299999999999</c:v>
                </c:pt>
                <c:pt idx="433">
                  <c:v>1.3919299999999999</c:v>
                </c:pt>
                <c:pt idx="434">
                  <c:v>1.3919299999999999</c:v>
                </c:pt>
                <c:pt idx="435">
                  <c:v>1.3919299999999999</c:v>
                </c:pt>
                <c:pt idx="436">
                  <c:v>1.3919299999999999</c:v>
                </c:pt>
                <c:pt idx="437">
                  <c:v>1.3919299999999999</c:v>
                </c:pt>
                <c:pt idx="438">
                  <c:v>1.3919299999999999</c:v>
                </c:pt>
                <c:pt idx="439">
                  <c:v>1.3919299999999999</c:v>
                </c:pt>
                <c:pt idx="440">
                  <c:v>1.3919299999999999</c:v>
                </c:pt>
                <c:pt idx="441">
                  <c:v>1.3919299999999999</c:v>
                </c:pt>
                <c:pt idx="442">
                  <c:v>1.3919299999999999</c:v>
                </c:pt>
                <c:pt idx="443">
                  <c:v>1.3919299999999999</c:v>
                </c:pt>
                <c:pt idx="444">
                  <c:v>1.3919299999999999</c:v>
                </c:pt>
                <c:pt idx="445">
                  <c:v>1.3919299999999999</c:v>
                </c:pt>
                <c:pt idx="446">
                  <c:v>1.3919299999999999</c:v>
                </c:pt>
                <c:pt idx="447">
                  <c:v>1.3919299999999999</c:v>
                </c:pt>
                <c:pt idx="448">
                  <c:v>1.3919299999999999</c:v>
                </c:pt>
                <c:pt idx="449">
                  <c:v>1.3919299999999999</c:v>
                </c:pt>
                <c:pt idx="450">
                  <c:v>1.3919299999999999</c:v>
                </c:pt>
                <c:pt idx="451">
                  <c:v>1.3919299999999999</c:v>
                </c:pt>
                <c:pt idx="452">
                  <c:v>1.3919299999999999</c:v>
                </c:pt>
                <c:pt idx="453">
                  <c:v>1.3919299999999999</c:v>
                </c:pt>
                <c:pt idx="454">
                  <c:v>1.3919299999999999</c:v>
                </c:pt>
                <c:pt idx="455">
                  <c:v>1.3919299999999999</c:v>
                </c:pt>
                <c:pt idx="456">
                  <c:v>1.3919299999999999</c:v>
                </c:pt>
                <c:pt idx="457">
                  <c:v>1.3919299999999999</c:v>
                </c:pt>
                <c:pt idx="458">
                  <c:v>1.3919299999999999</c:v>
                </c:pt>
                <c:pt idx="459">
                  <c:v>5.2609500000000002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8-47FC-BC79-EC4039D294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4960"/>
        <c:axId val="182826880"/>
      </c:scatterChart>
      <c:valAx>
        <c:axId val="18282496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 sz="1075" b="1" i="0" u="none" strike="noStrike" baseline="0">
                    <a:solidFill>
                      <a:srgbClr val="000000"/>
                    </a:solidFill>
                    <a:latin typeface="Symbol"/>
                  </a:rPr>
                  <a:t>D</a:t>
                </a:r>
                <a:r>
                  <a:rPr lang="de-DE" sz="1075" b="1" i="0" u="none" strike="noStrike" baseline="0">
                    <a:solidFill>
                      <a:srgbClr val="000000"/>
                    </a:solidFill>
                    <a:latin typeface="Frutiger FhG Light"/>
                  </a:rPr>
                  <a:t>L [mm]</a:t>
                </a:r>
                <a:endParaRPr lang="de-DE"/>
              </a:p>
            </c:rich>
          </c:tx>
          <c:layout>
            <c:manualLayout>
              <c:xMode val="edge"/>
              <c:yMode val="edge"/>
              <c:x val="0.47723440134907252"/>
              <c:y val="0.9209066239601405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826880"/>
        <c:crosses val="autoZero"/>
        <c:crossBetween val="midCat"/>
      </c:valAx>
      <c:valAx>
        <c:axId val="1828268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 sz="875" b="1" i="0" u="none" strike="noStrike" baseline="0">
                    <a:solidFill>
                      <a:srgbClr val="000000"/>
                    </a:solidFill>
                    <a:latin typeface="Frutiger FhG Light"/>
                  </a:rPr>
                  <a:t>F</a:t>
                </a:r>
                <a:r>
                  <a:rPr lang="de-DE" sz="87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[kN]</a:t>
                </a:r>
                <a:endParaRPr lang="de-DE"/>
              </a:p>
            </c:rich>
          </c:tx>
          <c:layout>
            <c:manualLayout>
              <c:xMode val="edge"/>
              <c:yMode val="edge"/>
              <c:x val="1.8549747048903879E-2"/>
              <c:y val="0.3898316947669677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282496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-3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699589259697208E-2"/>
          <c:y val="4.398826979472141E-2"/>
          <c:w val="0.79483099854777628"/>
          <c:h val="0.8005865102639295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Messdaten!$N$15:$N$2000</c:f>
              <c:numCache>
                <c:formatCode>0.000</c:formatCode>
                <c:ptCount val="1986"/>
                <c:pt idx="0">
                  <c:v>1.0419298513089797E-3</c:v>
                </c:pt>
                <c:pt idx="1">
                  <c:v>1.0419298513089797E-3</c:v>
                </c:pt>
                <c:pt idx="2">
                  <c:v>1.0419298513089797E-3</c:v>
                </c:pt>
                <c:pt idx="3">
                  <c:v>1.0419298513089797E-3</c:v>
                </c:pt>
                <c:pt idx="4">
                  <c:v>1.0419298513089797E-3</c:v>
                </c:pt>
                <c:pt idx="5">
                  <c:v>1.0419298513089797E-3</c:v>
                </c:pt>
                <c:pt idx="6">
                  <c:v>1.0419298513089797E-3</c:v>
                </c:pt>
                <c:pt idx="7">
                  <c:v>1.0419298513089797E-3</c:v>
                </c:pt>
                <c:pt idx="8">
                  <c:v>1.0419298513089797E-3</c:v>
                </c:pt>
                <c:pt idx="9">
                  <c:v>1.0419298513089797E-3</c:v>
                </c:pt>
                <c:pt idx="10">
                  <c:v>1.0419298513089797E-3</c:v>
                </c:pt>
                <c:pt idx="11">
                  <c:v>1.0419298513089797E-3</c:v>
                </c:pt>
                <c:pt idx="12">
                  <c:v>1.0419298513089797E-3</c:v>
                </c:pt>
                <c:pt idx="13">
                  <c:v>1.0419298513089797E-3</c:v>
                </c:pt>
                <c:pt idx="14">
                  <c:v>1.0419298513089797E-3</c:v>
                </c:pt>
                <c:pt idx="15">
                  <c:v>1.0419298513089797E-3</c:v>
                </c:pt>
                <c:pt idx="16">
                  <c:v>1.0419298513089797E-3</c:v>
                </c:pt>
                <c:pt idx="17">
                  <c:v>1.0419298513089797E-3</c:v>
                </c:pt>
                <c:pt idx="18">
                  <c:v>1.0419298513089797E-3</c:v>
                </c:pt>
                <c:pt idx="19">
                  <c:v>1.0419298513089797E-3</c:v>
                </c:pt>
                <c:pt idx="20">
                  <c:v>1.0419298513089797E-3</c:v>
                </c:pt>
                <c:pt idx="21">
                  <c:v>1.0419298513089797E-3</c:v>
                </c:pt>
                <c:pt idx="22">
                  <c:v>1.0419298513089797E-3</c:v>
                </c:pt>
                <c:pt idx="23">
                  <c:v>1.0419298513089797E-3</c:v>
                </c:pt>
                <c:pt idx="24">
                  <c:v>1.0419298513089797E-3</c:v>
                </c:pt>
                <c:pt idx="25">
                  <c:v>1.0419298513089797E-3</c:v>
                </c:pt>
                <c:pt idx="26">
                  <c:v>1.0419298513089797E-3</c:v>
                </c:pt>
                <c:pt idx="27">
                  <c:v>1.0419298513089797E-3</c:v>
                </c:pt>
                <c:pt idx="28">
                  <c:v>1.0419298513089797E-3</c:v>
                </c:pt>
                <c:pt idx="29">
                  <c:v>1.0419298513089797E-3</c:v>
                </c:pt>
                <c:pt idx="30">
                  <c:v>1.0419298513089797E-3</c:v>
                </c:pt>
                <c:pt idx="31">
                  <c:v>1.0419298513089797E-3</c:v>
                </c:pt>
                <c:pt idx="32">
                  <c:v>1.0419298513089797E-3</c:v>
                </c:pt>
                <c:pt idx="33">
                  <c:v>1.0419298513089797E-3</c:v>
                </c:pt>
                <c:pt idx="34">
                  <c:v>1.0419298513089797E-3</c:v>
                </c:pt>
                <c:pt idx="35">
                  <c:v>1.0419298513089797E-3</c:v>
                </c:pt>
                <c:pt idx="36">
                  <c:v>1.0419298513089797E-3</c:v>
                </c:pt>
                <c:pt idx="37">
                  <c:v>1.0419298513089797E-3</c:v>
                </c:pt>
                <c:pt idx="38">
                  <c:v>1.0419298513089797E-3</c:v>
                </c:pt>
                <c:pt idx="39">
                  <c:v>1.0419298513089797E-3</c:v>
                </c:pt>
                <c:pt idx="40">
                  <c:v>1.0419298513089797E-3</c:v>
                </c:pt>
                <c:pt idx="41">
                  <c:v>1.0419298513089797E-3</c:v>
                </c:pt>
                <c:pt idx="42">
                  <c:v>1.0419298513089797E-3</c:v>
                </c:pt>
                <c:pt idx="43">
                  <c:v>1.0419298513089797E-3</c:v>
                </c:pt>
                <c:pt idx="44">
                  <c:v>1.0419298513089797E-3</c:v>
                </c:pt>
                <c:pt idx="45">
                  <c:v>1.0419298513089797E-3</c:v>
                </c:pt>
                <c:pt idx="46">
                  <c:v>1.0419298513089797E-3</c:v>
                </c:pt>
                <c:pt idx="47">
                  <c:v>1.0419298513089797E-3</c:v>
                </c:pt>
                <c:pt idx="48">
                  <c:v>1.0419298513089797E-3</c:v>
                </c:pt>
                <c:pt idx="49">
                  <c:v>1.0419298513089797E-3</c:v>
                </c:pt>
                <c:pt idx="50">
                  <c:v>1.0419298513089797E-3</c:v>
                </c:pt>
                <c:pt idx="51">
                  <c:v>1.0419298513089797E-3</c:v>
                </c:pt>
                <c:pt idx="52">
                  <c:v>1.0419298513089797E-3</c:v>
                </c:pt>
                <c:pt idx="53">
                  <c:v>1.0419298513089797E-3</c:v>
                </c:pt>
                <c:pt idx="54">
                  <c:v>1.0419298513089797E-3</c:v>
                </c:pt>
                <c:pt idx="55">
                  <c:v>1.0419298513089797E-3</c:v>
                </c:pt>
                <c:pt idx="56">
                  <c:v>1.0419298513089797E-3</c:v>
                </c:pt>
                <c:pt idx="57">
                  <c:v>1.0419298513089797E-3</c:v>
                </c:pt>
                <c:pt idx="58">
                  <c:v>1.0419298513089797E-3</c:v>
                </c:pt>
                <c:pt idx="59">
                  <c:v>1.0419298513089797E-3</c:v>
                </c:pt>
                <c:pt idx="60">
                  <c:v>1.0419298513089797E-3</c:v>
                </c:pt>
                <c:pt idx="61">
                  <c:v>1.0419298513089797E-3</c:v>
                </c:pt>
                <c:pt idx="62">
                  <c:v>1.0419298513089797E-3</c:v>
                </c:pt>
                <c:pt idx="63">
                  <c:v>1.0419298513089797E-3</c:v>
                </c:pt>
                <c:pt idx="64">
                  <c:v>1.0419298513089797E-3</c:v>
                </c:pt>
                <c:pt idx="65">
                  <c:v>1.0419298513089797E-3</c:v>
                </c:pt>
                <c:pt idx="66">
                  <c:v>1.0419298513089797E-3</c:v>
                </c:pt>
                <c:pt idx="67">
                  <c:v>1.0419298513089797E-3</c:v>
                </c:pt>
                <c:pt idx="68">
                  <c:v>1.0419298513089797E-3</c:v>
                </c:pt>
                <c:pt idx="69">
                  <c:v>1.0419298513089797E-3</c:v>
                </c:pt>
                <c:pt idx="70">
                  <c:v>1.0419298513089797E-3</c:v>
                </c:pt>
                <c:pt idx="71">
                  <c:v>1.0419298513089797E-3</c:v>
                </c:pt>
                <c:pt idx="72">
                  <c:v>1.0419298513089797E-3</c:v>
                </c:pt>
                <c:pt idx="73">
                  <c:v>1.0419298513089797E-3</c:v>
                </c:pt>
                <c:pt idx="74">
                  <c:v>1.0419298513089797E-3</c:v>
                </c:pt>
                <c:pt idx="75">
                  <c:v>1.0419298513089797E-3</c:v>
                </c:pt>
                <c:pt idx="76">
                  <c:v>1.0419298513089797E-3</c:v>
                </c:pt>
                <c:pt idx="77">
                  <c:v>1.0419298513089797E-3</c:v>
                </c:pt>
                <c:pt idx="78">
                  <c:v>1.0419298513089797E-3</c:v>
                </c:pt>
                <c:pt idx="79">
                  <c:v>1.0419298513089797E-3</c:v>
                </c:pt>
                <c:pt idx="80">
                  <c:v>1.0419298513089797E-3</c:v>
                </c:pt>
                <c:pt idx="81">
                  <c:v>1.0419298513089797E-3</c:v>
                </c:pt>
                <c:pt idx="82">
                  <c:v>1.0419298513089797E-3</c:v>
                </c:pt>
                <c:pt idx="83">
                  <c:v>1.0419298513089797E-3</c:v>
                </c:pt>
                <c:pt idx="84">
                  <c:v>1.0419298513089797E-3</c:v>
                </c:pt>
                <c:pt idx="85">
                  <c:v>1.0419298513089797E-3</c:v>
                </c:pt>
                <c:pt idx="86">
                  <c:v>1.0419298513089797E-3</c:v>
                </c:pt>
                <c:pt idx="87">
                  <c:v>1.0419298513089797E-3</c:v>
                </c:pt>
                <c:pt idx="88">
                  <c:v>1.0419298513089797E-3</c:v>
                </c:pt>
                <c:pt idx="89">
                  <c:v>1.0419298513089797E-3</c:v>
                </c:pt>
                <c:pt idx="90">
                  <c:v>1.0419298513089797E-3</c:v>
                </c:pt>
                <c:pt idx="91">
                  <c:v>1.0419298513089797E-3</c:v>
                </c:pt>
                <c:pt idx="92">
                  <c:v>1.0419298513089797E-3</c:v>
                </c:pt>
                <c:pt idx="93">
                  <c:v>1.0419298513089797E-3</c:v>
                </c:pt>
                <c:pt idx="94">
                  <c:v>1.0419298513089797E-3</c:v>
                </c:pt>
                <c:pt idx="95">
                  <c:v>1.0419298513089797E-3</c:v>
                </c:pt>
                <c:pt idx="96">
                  <c:v>1.0419298513089797E-3</c:v>
                </c:pt>
                <c:pt idx="97">
                  <c:v>1.0419298513089797E-3</c:v>
                </c:pt>
                <c:pt idx="98">
                  <c:v>1.0419298513089797E-3</c:v>
                </c:pt>
                <c:pt idx="99">
                  <c:v>1.0419298513089797E-3</c:v>
                </c:pt>
                <c:pt idx="100">
                  <c:v>1.0419298513089797E-3</c:v>
                </c:pt>
                <c:pt idx="101">
                  <c:v>1.0419298513089797E-3</c:v>
                </c:pt>
                <c:pt idx="102">
                  <c:v>1.0419298513089797E-3</c:v>
                </c:pt>
                <c:pt idx="103">
                  <c:v>1.0419298513089797E-3</c:v>
                </c:pt>
                <c:pt idx="104">
                  <c:v>1.0419298513089797E-3</c:v>
                </c:pt>
                <c:pt idx="105">
                  <c:v>1.0419298513089797E-3</c:v>
                </c:pt>
                <c:pt idx="106">
                  <c:v>1.0419298513089797E-3</c:v>
                </c:pt>
                <c:pt idx="107">
                  <c:v>1.0419298513089797E-3</c:v>
                </c:pt>
                <c:pt idx="108">
                  <c:v>1.0419298513089797E-3</c:v>
                </c:pt>
                <c:pt idx="109">
                  <c:v>1.0419298513089797E-3</c:v>
                </c:pt>
                <c:pt idx="110">
                  <c:v>1.0419298513089797E-3</c:v>
                </c:pt>
                <c:pt idx="111">
                  <c:v>1.0419298513089797E-3</c:v>
                </c:pt>
                <c:pt idx="112">
                  <c:v>1.0419298513089797E-3</c:v>
                </c:pt>
                <c:pt idx="113">
                  <c:v>1.0419298513089797E-3</c:v>
                </c:pt>
                <c:pt idx="114">
                  <c:v>1.0419298513089797E-3</c:v>
                </c:pt>
                <c:pt idx="115">
                  <c:v>1.0419298513089797E-3</c:v>
                </c:pt>
                <c:pt idx="116">
                  <c:v>1.0419298513089797E-3</c:v>
                </c:pt>
                <c:pt idx="117">
                  <c:v>1.0419298513089797E-3</c:v>
                </c:pt>
                <c:pt idx="118">
                  <c:v>1.0419298513089797E-3</c:v>
                </c:pt>
                <c:pt idx="119">
                  <c:v>1.0419298513089797E-3</c:v>
                </c:pt>
                <c:pt idx="120">
                  <c:v>1.0419298513089797E-3</c:v>
                </c:pt>
                <c:pt idx="121">
                  <c:v>1.0419298513089797E-3</c:v>
                </c:pt>
                <c:pt idx="122">
                  <c:v>1.0419298513089797E-3</c:v>
                </c:pt>
                <c:pt idx="123">
                  <c:v>1.0419298513089797E-3</c:v>
                </c:pt>
                <c:pt idx="124">
                  <c:v>1.0419298513089797E-3</c:v>
                </c:pt>
                <c:pt idx="125">
                  <c:v>1.0419298513089797E-3</c:v>
                </c:pt>
                <c:pt idx="126">
                  <c:v>1.0419298513089797E-3</c:v>
                </c:pt>
                <c:pt idx="127">
                  <c:v>1.0419298513089797E-3</c:v>
                </c:pt>
                <c:pt idx="128">
                  <c:v>1.0419298513089797E-3</c:v>
                </c:pt>
                <c:pt idx="129">
                  <c:v>1.0419298513089797E-3</c:v>
                </c:pt>
                <c:pt idx="130">
                  <c:v>1.0419298513089797E-3</c:v>
                </c:pt>
                <c:pt idx="131">
                  <c:v>1.0419298513089797E-3</c:v>
                </c:pt>
                <c:pt idx="132">
                  <c:v>1.0419298513089797E-3</c:v>
                </c:pt>
                <c:pt idx="133">
                  <c:v>1.0419298513089797E-3</c:v>
                </c:pt>
                <c:pt idx="134">
                  <c:v>1.0419298513089797E-3</c:v>
                </c:pt>
                <c:pt idx="135">
                  <c:v>1.0419298513089797E-3</c:v>
                </c:pt>
                <c:pt idx="136">
                  <c:v>1.0419298513089797E-3</c:v>
                </c:pt>
                <c:pt idx="137">
                  <c:v>1.0419298513089797E-3</c:v>
                </c:pt>
                <c:pt idx="138">
                  <c:v>1.0419298513089797E-3</c:v>
                </c:pt>
                <c:pt idx="139">
                  <c:v>1.0419298513089797E-3</c:v>
                </c:pt>
                <c:pt idx="140">
                  <c:v>1.0419298513089797E-3</c:v>
                </c:pt>
                <c:pt idx="141">
                  <c:v>1.0419298513089797E-3</c:v>
                </c:pt>
                <c:pt idx="142">
                  <c:v>1.0419298513089797E-3</c:v>
                </c:pt>
                <c:pt idx="143">
                  <c:v>1.0419298513089797E-3</c:v>
                </c:pt>
                <c:pt idx="144">
                  <c:v>1.0419298513089797E-3</c:v>
                </c:pt>
                <c:pt idx="145">
                  <c:v>1.0419298513089797E-3</c:v>
                </c:pt>
                <c:pt idx="146">
                  <c:v>1.0419298513089797E-3</c:v>
                </c:pt>
                <c:pt idx="147">
                  <c:v>1.0419298513089797E-3</c:v>
                </c:pt>
                <c:pt idx="148">
                  <c:v>1.0419298513089797E-3</c:v>
                </c:pt>
                <c:pt idx="149">
                  <c:v>1.0419298513089797E-3</c:v>
                </c:pt>
                <c:pt idx="150">
                  <c:v>1.0419298513089797E-3</c:v>
                </c:pt>
                <c:pt idx="151">
                  <c:v>1.0419298513089797E-3</c:v>
                </c:pt>
                <c:pt idx="152">
                  <c:v>1.0419298513089797E-3</c:v>
                </c:pt>
                <c:pt idx="153">
                  <c:v>1.0419298513089797E-3</c:v>
                </c:pt>
                <c:pt idx="154">
                  <c:v>1.0419298513089797E-3</c:v>
                </c:pt>
                <c:pt idx="155">
                  <c:v>1.0419298513089797E-3</c:v>
                </c:pt>
                <c:pt idx="156">
                  <c:v>1.0419298513089797E-3</c:v>
                </c:pt>
                <c:pt idx="157">
                  <c:v>1.0419298513089797E-3</c:v>
                </c:pt>
                <c:pt idx="158">
                  <c:v>1.0419298513089797E-3</c:v>
                </c:pt>
                <c:pt idx="159">
                  <c:v>1.0419298513089797E-3</c:v>
                </c:pt>
                <c:pt idx="160">
                  <c:v>1.0419298513089797E-3</c:v>
                </c:pt>
                <c:pt idx="161">
                  <c:v>1.0419298513089797E-3</c:v>
                </c:pt>
                <c:pt idx="162">
                  <c:v>1.0419298513089797E-3</c:v>
                </c:pt>
                <c:pt idx="163">
                  <c:v>1.0419298513089797E-3</c:v>
                </c:pt>
                <c:pt idx="164">
                  <c:v>1.0419298513089797E-3</c:v>
                </c:pt>
                <c:pt idx="165">
                  <c:v>1.0419298513089797E-3</c:v>
                </c:pt>
                <c:pt idx="166">
                  <c:v>1.0419298513089797E-3</c:v>
                </c:pt>
                <c:pt idx="167">
                  <c:v>1.0419298513089797E-3</c:v>
                </c:pt>
                <c:pt idx="168">
                  <c:v>1.0419298513089797E-3</c:v>
                </c:pt>
                <c:pt idx="169">
                  <c:v>1.0419298513089797E-3</c:v>
                </c:pt>
                <c:pt idx="170">
                  <c:v>1.0419298513089797E-3</c:v>
                </c:pt>
                <c:pt idx="171">
                  <c:v>1.0419298513089797E-3</c:v>
                </c:pt>
                <c:pt idx="172">
                  <c:v>1.0419298513089797E-3</c:v>
                </c:pt>
                <c:pt idx="173">
                  <c:v>1.0419298513089797E-3</c:v>
                </c:pt>
                <c:pt idx="174">
                  <c:v>1.0419298513089797E-3</c:v>
                </c:pt>
                <c:pt idx="175">
                  <c:v>1.0419298513089797E-3</c:v>
                </c:pt>
                <c:pt idx="176">
                  <c:v>1.0419298513089797E-3</c:v>
                </c:pt>
                <c:pt idx="177">
                  <c:v>1.0419298513089797E-3</c:v>
                </c:pt>
                <c:pt idx="178">
                  <c:v>1.0419298513089797E-3</c:v>
                </c:pt>
                <c:pt idx="179">
                  <c:v>1.0419298513089797E-3</c:v>
                </c:pt>
                <c:pt idx="180">
                  <c:v>1.0419298513089797E-3</c:v>
                </c:pt>
                <c:pt idx="181">
                  <c:v>1.0419298513089797E-3</c:v>
                </c:pt>
                <c:pt idx="182">
                  <c:v>1.0419298513089797E-3</c:v>
                </c:pt>
                <c:pt idx="183">
                  <c:v>1.0419298513089797E-3</c:v>
                </c:pt>
                <c:pt idx="184">
                  <c:v>1.0419298513089797E-3</c:v>
                </c:pt>
                <c:pt idx="185">
                  <c:v>1.0419298513089797E-3</c:v>
                </c:pt>
                <c:pt idx="186">
                  <c:v>1.0419298513089797E-3</c:v>
                </c:pt>
                <c:pt idx="187">
                  <c:v>1.0419298513089797E-3</c:v>
                </c:pt>
                <c:pt idx="188">
                  <c:v>1.0419298513089797E-3</c:v>
                </c:pt>
                <c:pt idx="189">
                  <c:v>1.0419298513089797E-3</c:v>
                </c:pt>
                <c:pt idx="190">
                  <c:v>1.0419298513089797E-3</c:v>
                </c:pt>
                <c:pt idx="191">
                  <c:v>1.0419298513089797E-3</c:v>
                </c:pt>
                <c:pt idx="192">
                  <c:v>1.0419298513089797E-3</c:v>
                </c:pt>
                <c:pt idx="193">
                  <c:v>1.0419298513089797E-3</c:v>
                </c:pt>
                <c:pt idx="194">
                  <c:v>1.0419298513089797E-3</c:v>
                </c:pt>
                <c:pt idx="195">
                  <c:v>1.0419298513089797E-3</c:v>
                </c:pt>
                <c:pt idx="196">
                  <c:v>1.0419298513089797E-3</c:v>
                </c:pt>
                <c:pt idx="197">
                  <c:v>1.0419298513089797E-3</c:v>
                </c:pt>
                <c:pt idx="198">
                  <c:v>1.0419298513089797E-3</c:v>
                </c:pt>
                <c:pt idx="199">
                  <c:v>1.0419298513089797E-3</c:v>
                </c:pt>
                <c:pt idx="200">
                  <c:v>1.0419298513089797E-3</c:v>
                </c:pt>
                <c:pt idx="201">
                  <c:v>1.0419298513089797E-3</c:v>
                </c:pt>
                <c:pt idx="202">
                  <c:v>1.0419298513089797E-3</c:v>
                </c:pt>
                <c:pt idx="203">
                  <c:v>1.0419298513089797E-3</c:v>
                </c:pt>
                <c:pt idx="204">
                  <c:v>1.0419298513089797E-3</c:v>
                </c:pt>
                <c:pt idx="205">
                  <c:v>1.0419298513089797E-3</c:v>
                </c:pt>
                <c:pt idx="206">
                  <c:v>1.0419298513089797E-3</c:v>
                </c:pt>
                <c:pt idx="207">
                  <c:v>1.0419298513089797E-3</c:v>
                </c:pt>
                <c:pt idx="208">
                  <c:v>1.0419298513089797E-3</c:v>
                </c:pt>
                <c:pt idx="209">
                  <c:v>1.0419298513089797E-3</c:v>
                </c:pt>
                <c:pt idx="210">
                  <c:v>1.0419298513089797E-3</c:v>
                </c:pt>
                <c:pt idx="211">
                  <c:v>1.0419298513089797E-3</c:v>
                </c:pt>
                <c:pt idx="212">
                  <c:v>1.0419298513089797E-3</c:v>
                </c:pt>
                <c:pt idx="213">
                  <c:v>1.0419298513089797E-3</c:v>
                </c:pt>
                <c:pt idx="214">
                  <c:v>1.0419298513089797E-3</c:v>
                </c:pt>
                <c:pt idx="215">
                  <c:v>1.0419298513089797E-3</c:v>
                </c:pt>
                <c:pt idx="216">
                  <c:v>1.0419298513089797E-3</c:v>
                </c:pt>
                <c:pt idx="217">
                  <c:v>1.0419298513089797E-3</c:v>
                </c:pt>
                <c:pt idx="218">
                  <c:v>1.0419298513089797E-3</c:v>
                </c:pt>
                <c:pt idx="219">
                  <c:v>1.0419298513089797E-3</c:v>
                </c:pt>
                <c:pt idx="220">
                  <c:v>1.0419298513089797E-3</c:v>
                </c:pt>
                <c:pt idx="221">
                  <c:v>1.0419298513089797E-3</c:v>
                </c:pt>
                <c:pt idx="222">
                  <c:v>1.0419298513089797E-3</c:v>
                </c:pt>
                <c:pt idx="223">
                  <c:v>1.0419298513089797E-3</c:v>
                </c:pt>
                <c:pt idx="224">
                  <c:v>1.0419298513089797E-3</c:v>
                </c:pt>
                <c:pt idx="225">
                  <c:v>1.0419298513089797E-3</c:v>
                </c:pt>
                <c:pt idx="226">
                  <c:v>1.0419298513089797E-3</c:v>
                </c:pt>
                <c:pt idx="227">
                  <c:v>1.0419298513089797E-3</c:v>
                </c:pt>
                <c:pt idx="228">
                  <c:v>1.0419298513089797E-3</c:v>
                </c:pt>
                <c:pt idx="229">
                  <c:v>1.0419298513089797E-3</c:v>
                </c:pt>
                <c:pt idx="230">
                  <c:v>1.0419298513089797E-3</c:v>
                </c:pt>
                <c:pt idx="231">
                  <c:v>1.0419298513089797E-3</c:v>
                </c:pt>
                <c:pt idx="232">
                  <c:v>1.0419298513089797E-3</c:v>
                </c:pt>
                <c:pt idx="233">
                  <c:v>1.0419298513089797E-3</c:v>
                </c:pt>
                <c:pt idx="234">
                  <c:v>1.0419298513089797E-3</c:v>
                </c:pt>
                <c:pt idx="235">
                  <c:v>1.0419298513089797E-3</c:v>
                </c:pt>
                <c:pt idx="236">
                  <c:v>1.0419298513089797E-3</c:v>
                </c:pt>
                <c:pt idx="237">
                  <c:v>1.0419298513089797E-3</c:v>
                </c:pt>
                <c:pt idx="238">
                  <c:v>1.0419298513089797E-3</c:v>
                </c:pt>
                <c:pt idx="239">
                  <c:v>1.0419298513089797E-3</c:v>
                </c:pt>
                <c:pt idx="240">
                  <c:v>1.0419298513089797E-3</c:v>
                </c:pt>
                <c:pt idx="241">
                  <c:v>1.0419298513089797E-3</c:v>
                </c:pt>
                <c:pt idx="242">
                  <c:v>1.0419298513089797E-3</c:v>
                </c:pt>
                <c:pt idx="243">
                  <c:v>1.0419298513089797E-3</c:v>
                </c:pt>
                <c:pt idx="244">
                  <c:v>1.0419298513089797E-3</c:v>
                </c:pt>
                <c:pt idx="245">
                  <c:v>1.0419298513089797E-3</c:v>
                </c:pt>
                <c:pt idx="246">
                  <c:v>1.0419298513089797E-3</c:v>
                </c:pt>
                <c:pt idx="247">
                  <c:v>1.0419298513089797E-3</c:v>
                </c:pt>
                <c:pt idx="248">
                  <c:v>1.0419298513089797E-3</c:v>
                </c:pt>
                <c:pt idx="249">
                  <c:v>1.0419298513089797E-3</c:v>
                </c:pt>
                <c:pt idx="250">
                  <c:v>1.0419298513089797E-3</c:v>
                </c:pt>
                <c:pt idx="251">
                  <c:v>1.0419298513089797E-3</c:v>
                </c:pt>
                <c:pt idx="252">
                  <c:v>1.0419298513089797E-3</c:v>
                </c:pt>
                <c:pt idx="253">
                  <c:v>1.0419298513089797E-3</c:v>
                </c:pt>
                <c:pt idx="254">
                  <c:v>1.0419298513089797E-3</c:v>
                </c:pt>
                <c:pt idx="255">
                  <c:v>1.0419298513089797E-3</c:v>
                </c:pt>
                <c:pt idx="256">
                  <c:v>1.0419298513089797E-3</c:v>
                </c:pt>
                <c:pt idx="257">
                  <c:v>1.0419298513089797E-3</c:v>
                </c:pt>
                <c:pt idx="258">
                  <c:v>1.0419298513089797E-3</c:v>
                </c:pt>
                <c:pt idx="259">
                  <c:v>1.0419298513089797E-3</c:v>
                </c:pt>
                <c:pt idx="260">
                  <c:v>1.0419298513089797E-3</c:v>
                </c:pt>
                <c:pt idx="261">
                  <c:v>1.0419298513089797E-3</c:v>
                </c:pt>
                <c:pt idx="262">
                  <c:v>1.0419298513089797E-3</c:v>
                </c:pt>
                <c:pt idx="263">
                  <c:v>1.0419298513089797E-3</c:v>
                </c:pt>
                <c:pt idx="264">
                  <c:v>1.0419298513089797E-3</c:v>
                </c:pt>
                <c:pt idx="265">
                  <c:v>1.0419298513089797E-3</c:v>
                </c:pt>
                <c:pt idx="266">
                  <c:v>1.0419298513089797E-3</c:v>
                </c:pt>
                <c:pt idx="267">
                  <c:v>1.0419298513089797E-3</c:v>
                </c:pt>
                <c:pt idx="268">
                  <c:v>1.0419298513089797E-3</c:v>
                </c:pt>
                <c:pt idx="269">
                  <c:v>1.0419298513089797E-3</c:v>
                </c:pt>
                <c:pt idx="270">
                  <c:v>1.0419298513089797E-3</c:v>
                </c:pt>
                <c:pt idx="271">
                  <c:v>1.0419298513089797E-3</c:v>
                </c:pt>
                <c:pt idx="272">
                  <c:v>1.0419298513089797E-3</c:v>
                </c:pt>
                <c:pt idx="273">
                  <c:v>1.0419298513089797E-3</c:v>
                </c:pt>
                <c:pt idx="274">
                  <c:v>1.0419298513089797E-3</c:v>
                </c:pt>
                <c:pt idx="275">
                  <c:v>1.0419298513089797E-3</c:v>
                </c:pt>
                <c:pt idx="276">
                  <c:v>1.0419298513089797E-3</c:v>
                </c:pt>
                <c:pt idx="277">
                  <c:v>1.0419298513089797E-3</c:v>
                </c:pt>
                <c:pt idx="278">
                  <c:v>1.0419298513089797E-3</c:v>
                </c:pt>
                <c:pt idx="279">
                  <c:v>1.0419298513089797E-3</c:v>
                </c:pt>
                <c:pt idx="280">
                  <c:v>1.0419298513089797E-3</c:v>
                </c:pt>
                <c:pt idx="281">
                  <c:v>1.0419298513089797E-3</c:v>
                </c:pt>
                <c:pt idx="282">
                  <c:v>1.0419298513089797E-3</c:v>
                </c:pt>
                <c:pt idx="283">
                  <c:v>1.0419298513089797E-3</c:v>
                </c:pt>
                <c:pt idx="284">
                  <c:v>1.0419298513089797E-3</c:v>
                </c:pt>
                <c:pt idx="285">
                  <c:v>1.0419298513089797E-3</c:v>
                </c:pt>
                <c:pt idx="286">
                  <c:v>1.0419298513089797E-3</c:v>
                </c:pt>
                <c:pt idx="287">
                  <c:v>1.0419298513089797E-3</c:v>
                </c:pt>
                <c:pt idx="288">
                  <c:v>1.0419298513089797E-3</c:v>
                </c:pt>
                <c:pt idx="289">
                  <c:v>1.0419298513089797E-3</c:v>
                </c:pt>
                <c:pt idx="290">
                  <c:v>1.0419298513089797E-3</c:v>
                </c:pt>
                <c:pt idx="291">
                  <c:v>1.0419298513089797E-3</c:v>
                </c:pt>
                <c:pt idx="292">
                  <c:v>1.0419298513089797E-3</c:v>
                </c:pt>
                <c:pt idx="293">
                  <c:v>1.0419298513089797E-3</c:v>
                </c:pt>
                <c:pt idx="294">
                  <c:v>1.0419298513089797E-3</c:v>
                </c:pt>
                <c:pt idx="295">
                  <c:v>1.0419298513089797E-3</c:v>
                </c:pt>
                <c:pt idx="296">
                  <c:v>1.0419298513089797E-3</c:v>
                </c:pt>
                <c:pt idx="297">
                  <c:v>1.0419298513089797E-3</c:v>
                </c:pt>
                <c:pt idx="298">
                  <c:v>1.0419298513089797E-3</c:v>
                </c:pt>
                <c:pt idx="299">
                  <c:v>1.0419298513089797E-3</c:v>
                </c:pt>
                <c:pt idx="300">
                  <c:v>1.0419298513089797E-3</c:v>
                </c:pt>
                <c:pt idx="301">
                  <c:v>1.0419298513089797E-3</c:v>
                </c:pt>
                <c:pt idx="302">
                  <c:v>1.0419298513089797E-3</c:v>
                </c:pt>
                <c:pt idx="303">
                  <c:v>1.0419298513089797E-3</c:v>
                </c:pt>
                <c:pt idx="304">
                  <c:v>1.0419298513089797E-3</c:v>
                </c:pt>
                <c:pt idx="305">
                  <c:v>1.0419298513089797E-3</c:v>
                </c:pt>
                <c:pt idx="306">
                  <c:v>1.0419298513089797E-3</c:v>
                </c:pt>
                <c:pt idx="307">
                  <c:v>1.0419298513089797E-3</c:v>
                </c:pt>
                <c:pt idx="308">
                  <c:v>1.0419298513089797E-3</c:v>
                </c:pt>
                <c:pt idx="309">
                  <c:v>1.0419298513089797E-3</c:v>
                </c:pt>
                <c:pt idx="310">
                  <c:v>1.0419298513089797E-3</c:v>
                </c:pt>
                <c:pt idx="311">
                  <c:v>1.0419298513089797E-3</c:v>
                </c:pt>
                <c:pt idx="312">
                  <c:v>1.0419298513089797E-3</c:v>
                </c:pt>
                <c:pt idx="313">
                  <c:v>1.0419298513089797E-3</c:v>
                </c:pt>
                <c:pt idx="314">
                  <c:v>1.0419298513089797E-3</c:v>
                </c:pt>
                <c:pt idx="315">
                  <c:v>1.0419298513089797E-3</c:v>
                </c:pt>
                <c:pt idx="316">
                  <c:v>1.0419298513089797E-3</c:v>
                </c:pt>
                <c:pt idx="317">
                  <c:v>1.0419298513089797E-3</c:v>
                </c:pt>
                <c:pt idx="318">
                  <c:v>1.0419298513089797E-3</c:v>
                </c:pt>
                <c:pt idx="319">
                  <c:v>1.0419298513089797E-3</c:v>
                </c:pt>
                <c:pt idx="320">
                  <c:v>1.0419298513089797E-3</c:v>
                </c:pt>
                <c:pt idx="321">
                  <c:v>1.0419298513089797E-3</c:v>
                </c:pt>
                <c:pt idx="322">
                  <c:v>1.0419298513089797E-3</c:v>
                </c:pt>
                <c:pt idx="323">
                  <c:v>1.0419298513089797E-3</c:v>
                </c:pt>
                <c:pt idx="324">
                  <c:v>1.0419298513089797E-3</c:v>
                </c:pt>
                <c:pt idx="325">
                  <c:v>1.0419298513089797E-3</c:v>
                </c:pt>
                <c:pt idx="326">
                  <c:v>1.0419298513089797E-3</c:v>
                </c:pt>
                <c:pt idx="327">
                  <c:v>1.0419298513089797E-3</c:v>
                </c:pt>
                <c:pt idx="328">
                  <c:v>1.0419298513089797E-3</c:v>
                </c:pt>
                <c:pt idx="329">
                  <c:v>1.0419298513089797E-3</c:v>
                </c:pt>
                <c:pt idx="330">
                  <c:v>1.0419298513089797E-3</c:v>
                </c:pt>
                <c:pt idx="331">
                  <c:v>1.0419298513089797E-3</c:v>
                </c:pt>
                <c:pt idx="332">
                  <c:v>1.0419298513089797E-3</c:v>
                </c:pt>
                <c:pt idx="333">
                  <c:v>1.0419298513089797E-3</c:v>
                </c:pt>
                <c:pt idx="334">
                  <c:v>1.0419298513089797E-3</c:v>
                </c:pt>
                <c:pt idx="335">
                  <c:v>1.0419298513089797E-3</c:v>
                </c:pt>
                <c:pt idx="336">
                  <c:v>1.0419298513089797E-3</c:v>
                </c:pt>
                <c:pt idx="337">
                  <c:v>1.0419298513089797E-3</c:v>
                </c:pt>
                <c:pt idx="338">
                  <c:v>1.0419298513089797E-3</c:v>
                </c:pt>
                <c:pt idx="339">
                  <c:v>1.0419298513089797E-3</c:v>
                </c:pt>
                <c:pt idx="340">
                  <c:v>1.0419298513089797E-3</c:v>
                </c:pt>
                <c:pt idx="341">
                  <c:v>1.0419298513089797E-3</c:v>
                </c:pt>
                <c:pt idx="342">
                  <c:v>1.0419298513089797E-3</c:v>
                </c:pt>
                <c:pt idx="343">
                  <c:v>1.0419298513089797E-3</c:v>
                </c:pt>
                <c:pt idx="344">
                  <c:v>1.0419298513089797E-3</c:v>
                </c:pt>
                <c:pt idx="345">
                  <c:v>1.0419298513089797E-3</c:v>
                </c:pt>
                <c:pt idx="346">
                  <c:v>1.0419298513089797E-3</c:v>
                </c:pt>
                <c:pt idx="347">
                  <c:v>1.0419298513089797E-3</c:v>
                </c:pt>
                <c:pt idx="348">
                  <c:v>1.0419298513089797E-3</c:v>
                </c:pt>
                <c:pt idx="349">
                  <c:v>1.0419298513089797E-3</c:v>
                </c:pt>
                <c:pt idx="350">
                  <c:v>1.0419298513089797E-3</c:v>
                </c:pt>
                <c:pt idx="351">
                  <c:v>1.0419298513089797E-3</c:v>
                </c:pt>
                <c:pt idx="352">
                  <c:v>1.0419298513089797E-3</c:v>
                </c:pt>
                <c:pt idx="353">
                  <c:v>1.0419298513089797E-3</c:v>
                </c:pt>
                <c:pt idx="354">
                  <c:v>1.0419298513089797E-3</c:v>
                </c:pt>
                <c:pt idx="355">
                  <c:v>1.0419298513089797E-3</c:v>
                </c:pt>
                <c:pt idx="356">
                  <c:v>1.0419298513089797E-3</c:v>
                </c:pt>
                <c:pt idx="357">
                  <c:v>1.0419298513089797E-3</c:v>
                </c:pt>
                <c:pt idx="358">
                  <c:v>1.0419298513089797E-3</c:v>
                </c:pt>
                <c:pt idx="359">
                  <c:v>1.0419298513089797E-3</c:v>
                </c:pt>
                <c:pt idx="360">
                  <c:v>1.0419298513089797E-3</c:v>
                </c:pt>
                <c:pt idx="361">
                  <c:v>1.0419298513089797E-3</c:v>
                </c:pt>
                <c:pt idx="362">
                  <c:v>1.0419298513089797E-3</c:v>
                </c:pt>
                <c:pt idx="363">
                  <c:v>1.0419298513089797E-3</c:v>
                </c:pt>
                <c:pt idx="364">
                  <c:v>1.0419298513089797E-3</c:v>
                </c:pt>
                <c:pt idx="365">
                  <c:v>1.0419298513089797E-3</c:v>
                </c:pt>
                <c:pt idx="366">
                  <c:v>1.0419298513089797E-3</c:v>
                </c:pt>
                <c:pt idx="367">
                  <c:v>1.0419298513089797E-3</c:v>
                </c:pt>
                <c:pt idx="368">
                  <c:v>1.0419298513089797E-3</c:v>
                </c:pt>
                <c:pt idx="369">
                  <c:v>1.0419298513089797E-3</c:v>
                </c:pt>
                <c:pt idx="370">
                  <c:v>1.0419298513089797E-3</c:v>
                </c:pt>
                <c:pt idx="371">
                  <c:v>1.0419298513089797E-3</c:v>
                </c:pt>
                <c:pt idx="372">
                  <c:v>1.0419298513089797E-3</c:v>
                </c:pt>
                <c:pt idx="373">
                  <c:v>1.0419298513089797E-3</c:v>
                </c:pt>
                <c:pt idx="374">
                  <c:v>1.0419298513089797E-3</c:v>
                </c:pt>
                <c:pt idx="375">
                  <c:v>1.0419298513089797E-3</c:v>
                </c:pt>
                <c:pt idx="376">
                  <c:v>1.0419298513089797E-3</c:v>
                </c:pt>
                <c:pt idx="377">
                  <c:v>1.0419298513089797E-3</c:v>
                </c:pt>
                <c:pt idx="378">
                  <c:v>1.0419298513089797E-3</c:v>
                </c:pt>
                <c:pt idx="379">
                  <c:v>1.0419298513089797E-3</c:v>
                </c:pt>
                <c:pt idx="380">
                  <c:v>1.0419298513089797E-3</c:v>
                </c:pt>
                <c:pt idx="381">
                  <c:v>1.0419298513089797E-3</c:v>
                </c:pt>
                <c:pt idx="382">
                  <c:v>1.0419298513089797E-3</c:v>
                </c:pt>
                <c:pt idx="383">
                  <c:v>1.0419298513089797E-3</c:v>
                </c:pt>
                <c:pt idx="384">
                  <c:v>1.0419298513089797E-3</c:v>
                </c:pt>
                <c:pt idx="385">
                  <c:v>1.0419298513089797E-3</c:v>
                </c:pt>
                <c:pt idx="386">
                  <c:v>1.0419298513089797E-3</c:v>
                </c:pt>
                <c:pt idx="387">
                  <c:v>1.0419298513089797E-3</c:v>
                </c:pt>
                <c:pt idx="388">
                  <c:v>1.0419298513089797E-3</c:v>
                </c:pt>
                <c:pt idx="389">
                  <c:v>1.0419298513089797E-3</c:v>
                </c:pt>
                <c:pt idx="390">
                  <c:v>1.0419298513089797E-3</c:v>
                </c:pt>
                <c:pt idx="391">
                  <c:v>1.0419298513089797E-3</c:v>
                </c:pt>
                <c:pt idx="392">
                  <c:v>1.0419298513089797E-3</c:v>
                </c:pt>
                <c:pt idx="393">
                  <c:v>1.0419298513089797E-3</c:v>
                </c:pt>
                <c:pt idx="394">
                  <c:v>1.0419298513089797E-3</c:v>
                </c:pt>
                <c:pt idx="395">
                  <c:v>1.0419298513089797E-3</c:v>
                </c:pt>
                <c:pt idx="396">
                  <c:v>1.0419298513089797E-3</c:v>
                </c:pt>
                <c:pt idx="397">
                  <c:v>1.0419298513089797E-3</c:v>
                </c:pt>
                <c:pt idx="398">
                  <c:v>1.0419298513089797E-3</c:v>
                </c:pt>
                <c:pt idx="399">
                  <c:v>1.0419298513089797E-3</c:v>
                </c:pt>
                <c:pt idx="400">
                  <c:v>1.0419298513089797E-3</c:v>
                </c:pt>
                <c:pt idx="401">
                  <c:v>1.0419298513089797E-3</c:v>
                </c:pt>
                <c:pt idx="402">
                  <c:v>1.0419298513089797E-3</c:v>
                </c:pt>
                <c:pt idx="403">
                  <c:v>1.0419298513089797E-3</c:v>
                </c:pt>
                <c:pt idx="404">
                  <c:v>1.0419298513089797E-3</c:v>
                </c:pt>
                <c:pt idx="405">
                  <c:v>1.0419298513089797E-3</c:v>
                </c:pt>
                <c:pt idx="406">
                  <c:v>1.0419298513089797E-3</c:v>
                </c:pt>
                <c:pt idx="407">
                  <c:v>1.0419298513089797E-3</c:v>
                </c:pt>
                <c:pt idx="408">
                  <c:v>1.0419298513089797E-3</c:v>
                </c:pt>
                <c:pt idx="409">
                  <c:v>1.0419298513089797E-3</c:v>
                </c:pt>
                <c:pt idx="410">
                  <c:v>1.0419298513089797E-3</c:v>
                </c:pt>
                <c:pt idx="411">
                  <c:v>1.0419298513089797E-3</c:v>
                </c:pt>
                <c:pt idx="412">
                  <c:v>1.0419298513089797E-3</c:v>
                </c:pt>
                <c:pt idx="413">
                  <c:v>1.0419298513089797E-3</c:v>
                </c:pt>
                <c:pt idx="414">
                  <c:v>1.0419298513089797E-3</c:v>
                </c:pt>
                <c:pt idx="415">
                  <c:v>1.0419298513089797E-3</c:v>
                </c:pt>
                <c:pt idx="416">
                  <c:v>1.0419298513089797E-3</c:v>
                </c:pt>
                <c:pt idx="417">
                  <c:v>1.0419298513089797E-3</c:v>
                </c:pt>
                <c:pt idx="418">
                  <c:v>1.0419298513089797E-3</c:v>
                </c:pt>
                <c:pt idx="419">
                  <c:v>1.0419298513089797E-3</c:v>
                </c:pt>
                <c:pt idx="420">
                  <c:v>1.0419298513089797E-3</c:v>
                </c:pt>
                <c:pt idx="421">
                  <c:v>1.0419298513089797E-3</c:v>
                </c:pt>
                <c:pt idx="422">
                  <c:v>1.0419298513089797E-3</c:v>
                </c:pt>
                <c:pt idx="423">
                  <c:v>1.0419298513089797E-3</c:v>
                </c:pt>
                <c:pt idx="424">
                  <c:v>1.0419298513089797E-3</c:v>
                </c:pt>
                <c:pt idx="425">
                  <c:v>1.0419298513089797E-3</c:v>
                </c:pt>
                <c:pt idx="426">
                  <c:v>1.0419298513089797E-3</c:v>
                </c:pt>
                <c:pt idx="427">
                  <c:v>1.0419298513089797E-3</c:v>
                </c:pt>
                <c:pt idx="428">
                  <c:v>1.0419298513089797E-3</c:v>
                </c:pt>
                <c:pt idx="429">
                  <c:v>1.0419298513089797E-3</c:v>
                </c:pt>
                <c:pt idx="430">
                  <c:v>1.0419298513089797E-3</c:v>
                </c:pt>
                <c:pt idx="431">
                  <c:v>1.0419298513089797E-3</c:v>
                </c:pt>
                <c:pt idx="432">
                  <c:v>1.0419298513089797E-3</c:v>
                </c:pt>
                <c:pt idx="433">
                  <c:v>1.0419298513089797E-3</c:v>
                </c:pt>
                <c:pt idx="434">
                  <c:v>1.0419298513089797E-3</c:v>
                </c:pt>
                <c:pt idx="435">
                  <c:v>1.0419298513089797E-3</c:v>
                </c:pt>
                <c:pt idx="436">
                  <c:v>1.0419298513089797E-3</c:v>
                </c:pt>
                <c:pt idx="437">
                  <c:v>1.0419298513089797E-3</c:v>
                </c:pt>
                <c:pt idx="438">
                  <c:v>1.0419298513089797E-3</c:v>
                </c:pt>
                <c:pt idx="439">
                  <c:v>1.0419298513089797E-3</c:v>
                </c:pt>
                <c:pt idx="440">
                  <c:v>1.0419298513089797E-3</c:v>
                </c:pt>
                <c:pt idx="441">
                  <c:v>1.0419298513089797E-3</c:v>
                </c:pt>
                <c:pt idx="442">
                  <c:v>1.0419298513089797E-3</c:v>
                </c:pt>
                <c:pt idx="443">
                  <c:v>1.0419298513089797E-3</c:v>
                </c:pt>
                <c:pt idx="444">
                  <c:v>1.0419298513089797E-3</c:v>
                </c:pt>
                <c:pt idx="445">
                  <c:v>1.0419298513089797E-3</c:v>
                </c:pt>
                <c:pt idx="446">
                  <c:v>1.0419298513089797E-3</c:v>
                </c:pt>
                <c:pt idx="447">
                  <c:v>1.0419298513089797E-3</c:v>
                </c:pt>
                <c:pt idx="448">
                  <c:v>1.0419298513089797E-3</c:v>
                </c:pt>
                <c:pt idx="449">
                  <c:v>1.0419298513089797E-3</c:v>
                </c:pt>
                <c:pt idx="450">
                  <c:v>1.0419298513089797E-3</c:v>
                </c:pt>
                <c:pt idx="451">
                  <c:v>1.0419298513089797E-3</c:v>
                </c:pt>
                <c:pt idx="452">
                  <c:v>1.0419298513089797E-3</c:v>
                </c:pt>
                <c:pt idx="453">
                  <c:v>1.0419298513089797E-3</c:v>
                </c:pt>
                <c:pt idx="454">
                  <c:v>1.0419298513089797E-3</c:v>
                </c:pt>
                <c:pt idx="455">
                  <c:v>1.0419298513089797E-3</c:v>
                </c:pt>
                <c:pt idx="456">
                  <c:v>1.0419298513089797E-3</c:v>
                </c:pt>
                <c:pt idx="457">
                  <c:v>1.0419298513089797E-3</c:v>
                </c:pt>
                <c:pt idx="458">
                  <c:v>1.0419298513089797E-3</c:v>
                </c:pt>
                <c:pt idx="459">
                  <c:v>#N/A</c:v>
                </c:pt>
              </c:numCache>
            </c:numRef>
          </c:xVal>
          <c:yVal>
            <c:numRef>
              <c:f>Messdaten!$M$15:$M$2000</c:f>
              <c:numCache>
                <c:formatCode>0.000</c:formatCode>
                <c:ptCount val="1986"/>
                <c:pt idx="0">
                  <c:v>97.781126261923788</c:v>
                </c:pt>
                <c:pt idx="1">
                  <c:v>97.781126261923788</c:v>
                </c:pt>
                <c:pt idx="2">
                  <c:v>97.781126261923788</c:v>
                </c:pt>
                <c:pt idx="3">
                  <c:v>97.781126261923788</c:v>
                </c:pt>
                <c:pt idx="4">
                  <c:v>97.781126261923788</c:v>
                </c:pt>
                <c:pt idx="5">
                  <c:v>97.781126261923788</c:v>
                </c:pt>
                <c:pt idx="6">
                  <c:v>97.781126261923788</c:v>
                </c:pt>
                <c:pt idx="7">
                  <c:v>97.781126261923788</c:v>
                </c:pt>
                <c:pt idx="8">
                  <c:v>97.781126261923788</c:v>
                </c:pt>
                <c:pt idx="9">
                  <c:v>97.781126261923788</c:v>
                </c:pt>
                <c:pt idx="10">
                  <c:v>97.781126261923788</c:v>
                </c:pt>
                <c:pt idx="11">
                  <c:v>97.781126261923788</c:v>
                </c:pt>
                <c:pt idx="12">
                  <c:v>97.781126261923788</c:v>
                </c:pt>
                <c:pt idx="13">
                  <c:v>97.781126261923788</c:v>
                </c:pt>
                <c:pt idx="14">
                  <c:v>97.781126261923788</c:v>
                </c:pt>
                <c:pt idx="15">
                  <c:v>97.781126261923788</c:v>
                </c:pt>
                <c:pt idx="16">
                  <c:v>97.781126261923788</c:v>
                </c:pt>
                <c:pt idx="17">
                  <c:v>97.781126261923788</c:v>
                </c:pt>
                <c:pt idx="18">
                  <c:v>97.781126261923788</c:v>
                </c:pt>
                <c:pt idx="19">
                  <c:v>97.781126261923788</c:v>
                </c:pt>
                <c:pt idx="20">
                  <c:v>97.781126261923788</c:v>
                </c:pt>
                <c:pt idx="21">
                  <c:v>97.781126261923788</c:v>
                </c:pt>
                <c:pt idx="22">
                  <c:v>97.781126261923788</c:v>
                </c:pt>
                <c:pt idx="23">
                  <c:v>97.781126261923788</c:v>
                </c:pt>
                <c:pt idx="24">
                  <c:v>97.781126261923788</c:v>
                </c:pt>
                <c:pt idx="25">
                  <c:v>97.781126261923788</c:v>
                </c:pt>
                <c:pt idx="26">
                  <c:v>97.781126261923788</c:v>
                </c:pt>
                <c:pt idx="27">
                  <c:v>97.781126261923788</c:v>
                </c:pt>
                <c:pt idx="28">
                  <c:v>97.781126261923788</c:v>
                </c:pt>
                <c:pt idx="29">
                  <c:v>97.781126261923788</c:v>
                </c:pt>
                <c:pt idx="30">
                  <c:v>97.781126261923788</c:v>
                </c:pt>
                <c:pt idx="31">
                  <c:v>97.781126261923788</c:v>
                </c:pt>
                <c:pt idx="32">
                  <c:v>97.781126261923788</c:v>
                </c:pt>
                <c:pt idx="33">
                  <c:v>97.781126261923788</c:v>
                </c:pt>
                <c:pt idx="34">
                  <c:v>97.781126261923788</c:v>
                </c:pt>
                <c:pt idx="35">
                  <c:v>97.781126261923788</c:v>
                </c:pt>
                <c:pt idx="36">
                  <c:v>97.781126261923788</c:v>
                </c:pt>
                <c:pt idx="37">
                  <c:v>97.781126261923788</c:v>
                </c:pt>
                <c:pt idx="38">
                  <c:v>97.781126261923788</c:v>
                </c:pt>
                <c:pt idx="39">
                  <c:v>97.781126261923788</c:v>
                </c:pt>
                <c:pt idx="40">
                  <c:v>97.781126261923788</c:v>
                </c:pt>
                <c:pt idx="41">
                  <c:v>97.781126261923788</c:v>
                </c:pt>
                <c:pt idx="42">
                  <c:v>97.781126261923788</c:v>
                </c:pt>
                <c:pt idx="43">
                  <c:v>97.781126261923788</c:v>
                </c:pt>
                <c:pt idx="44">
                  <c:v>97.781126261923788</c:v>
                </c:pt>
                <c:pt idx="45">
                  <c:v>97.781126261923788</c:v>
                </c:pt>
                <c:pt idx="46">
                  <c:v>97.781126261923788</c:v>
                </c:pt>
                <c:pt idx="47">
                  <c:v>97.781126261923788</c:v>
                </c:pt>
                <c:pt idx="48">
                  <c:v>97.781126261923788</c:v>
                </c:pt>
                <c:pt idx="49">
                  <c:v>97.781126261923788</c:v>
                </c:pt>
                <c:pt idx="50">
                  <c:v>97.781126261923788</c:v>
                </c:pt>
                <c:pt idx="51">
                  <c:v>97.781126261923788</c:v>
                </c:pt>
                <c:pt idx="52">
                  <c:v>97.781126261923788</c:v>
                </c:pt>
                <c:pt idx="53">
                  <c:v>97.781126261923788</c:v>
                </c:pt>
                <c:pt idx="54">
                  <c:v>97.781126261923788</c:v>
                </c:pt>
                <c:pt idx="55">
                  <c:v>97.781126261923788</c:v>
                </c:pt>
                <c:pt idx="56">
                  <c:v>97.781126261923788</c:v>
                </c:pt>
                <c:pt idx="57">
                  <c:v>97.781126261923788</c:v>
                </c:pt>
                <c:pt idx="58">
                  <c:v>97.781126261923788</c:v>
                </c:pt>
                <c:pt idx="59">
                  <c:v>97.781126261923788</c:v>
                </c:pt>
                <c:pt idx="60">
                  <c:v>97.781126261923788</c:v>
                </c:pt>
                <c:pt idx="61">
                  <c:v>97.781126261923788</c:v>
                </c:pt>
                <c:pt idx="62">
                  <c:v>97.781126261923788</c:v>
                </c:pt>
                <c:pt idx="63">
                  <c:v>97.781126261923788</c:v>
                </c:pt>
                <c:pt idx="64">
                  <c:v>97.781126261923788</c:v>
                </c:pt>
                <c:pt idx="65">
                  <c:v>97.781126261923788</c:v>
                </c:pt>
                <c:pt idx="66">
                  <c:v>97.781126261923788</c:v>
                </c:pt>
                <c:pt idx="67">
                  <c:v>97.781126261923788</c:v>
                </c:pt>
                <c:pt idx="68">
                  <c:v>97.781126261923788</c:v>
                </c:pt>
                <c:pt idx="69">
                  <c:v>97.781126261923788</c:v>
                </c:pt>
                <c:pt idx="70">
                  <c:v>97.781126261923788</c:v>
                </c:pt>
                <c:pt idx="71">
                  <c:v>97.781126261923788</c:v>
                </c:pt>
                <c:pt idx="72">
                  <c:v>97.781126261923788</c:v>
                </c:pt>
                <c:pt idx="73">
                  <c:v>97.781126261923788</c:v>
                </c:pt>
                <c:pt idx="74">
                  <c:v>97.781126261923788</c:v>
                </c:pt>
                <c:pt idx="75">
                  <c:v>97.781126261923788</c:v>
                </c:pt>
                <c:pt idx="76">
                  <c:v>97.781126261923788</c:v>
                </c:pt>
                <c:pt idx="77">
                  <c:v>97.781126261923788</c:v>
                </c:pt>
                <c:pt idx="78">
                  <c:v>97.781126261923788</c:v>
                </c:pt>
                <c:pt idx="79">
                  <c:v>97.781126261923788</c:v>
                </c:pt>
                <c:pt idx="80">
                  <c:v>97.781126261923788</c:v>
                </c:pt>
                <c:pt idx="81">
                  <c:v>97.781126261923788</c:v>
                </c:pt>
                <c:pt idx="82">
                  <c:v>97.781126261923788</c:v>
                </c:pt>
                <c:pt idx="83">
                  <c:v>97.781126261923788</c:v>
                </c:pt>
                <c:pt idx="84">
                  <c:v>97.781126261923788</c:v>
                </c:pt>
                <c:pt idx="85">
                  <c:v>97.781126261923788</c:v>
                </c:pt>
                <c:pt idx="86">
                  <c:v>97.781126261923788</c:v>
                </c:pt>
                <c:pt idx="87">
                  <c:v>97.781126261923788</c:v>
                </c:pt>
                <c:pt idx="88">
                  <c:v>97.781126261923788</c:v>
                </c:pt>
                <c:pt idx="89">
                  <c:v>97.781126261923788</c:v>
                </c:pt>
                <c:pt idx="90">
                  <c:v>97.781126261923788</c:v>
                </c:pt>
                <c:pt idx="91">
                  <c:v>97.781126261923788</c:v>
                </c:pt>
                <c:pt idx="92">
                  <c:v>97.781126261923788</c:v>
                </c:pt>
                <c:pt idx="93">
                  <c:v>97.781126261923788</c:v>
                </c:pt>
                <c:pt idx="94">
                  <c:v>97.781126261923788</c:v>
                </c:pt>
                <c:pt idx="95">
                  <c:v>97.781126261923788</c:v>
                </c:pt>
                <c:pt idx="96">
                  <c:v>97.781126261923788</c:v>
                </c:pt>
                <c:pt idx="97">
                  <c:v>97.781126261923788</c:v>
                </c:pt>
                <c:pt idx="98">
                  <c:v>97.781126261923788</c:v>
                </c:pt>
                <c:pt idx="99">
                  <c:v>97.781126261923788</c:v>
                </c:pt>
                <c:pt idx="100">
                  <c:v>97.781126261923788</c:v>
                </c:pt>
                <c:pt idx="101">
                  <c:v>97.781126261923788</c:v>
                </c:pt>
                <c:pt idx="102">
                  <c:v>97.781126261923788</c:v>
                </c:pt>
                <c:pt idx="103">
                  <c:v>97.781126261923788</c:v>
                </c:pt>
                <c:pt idx="104">
                  <c:v>97.781126261923788</c:v>
                </c:pt>
                <c:pt idx="105">
                  <c:v>97.781126261923788</c:v>
                </c:pt>
                <c:pt idx="106">
                  <c:v>97.781126261923788</c:v>
                </c:pt>
                <c:pt idx="107">
                  <c:v>97.781126261923788</c:v>
                </c:pt>
                <c:pt idx="108">
                  <c:v>97.781126261923788</c:v>
                </c:pt>
                <c:pt idx="109">
                  <c:v>97.781126261923788</c:v>
                </c:pt>
                <c:pt idx="110">
                  <c:v>97.781126261923788</c:v>
                </c:pt>
                <c:pt idx="111">
                  <c:v>97.781126261923788</c:v>
                </c:pt>
                <c:pt idx="112">
                  <c:v>97.781126261923788</c:v>
                </c:pt>
                <c:pt idx="113">
                  <c:v>97.781126261923788</c:v>
                </c:pt>
                <c:pt idx="114">
                  <c:v>97.781126261923788</c:v>
                </c:pt>
                <c:pt idx="115">
                  <c:v>97.781126261923788</c:v>
                </c:pt>
                <c:pt idx="116">
                  <c:v>97.781126261923788</c:v>
                </c:pt>
                <c:pt idx="117">
                  <c:v>97.781126261923788</c:v>
                </c:pt>
                <c:pt idx="118">
                  <c:v>97.781126261923788</c:v>
                </c:pt>
                <c:pt idx="119">
                  <c:v>97.781126261923788</c:v>
                </c:pt>
                <c:pt idx="120">
                  <c:v>97.781126261923788</c:v>
                </c:pt>
                <c:pt idx="121">
                  <c:v>97.781126261923788</c:v>
                </c:pt>
                <c:pt idx="122">
                  <c:v>97.781126261923788</c:v>
                </c:pt>
                <c:pt idx="123">
                  <c:v>97.781126261923788</c:v>
                </c:pt>
                <c:pt idx="124">
                  <c:v>97.781126261923788</c:v>
                </c:pt>
                <c:pt idx="125">
                  <c:v>97.781126261923788</c:v>
                </c:pt>
                <c:pt idx="126">
                  <c:v>97.781126261923788</c:v>
                </c:pt>
                <c:pt idx="127">
                  <c:v>97.781126261923788</c:v>
                </c:pt>
                <c:pt idx="128">
                  <c:v>97.781126261923788</c:v>
                </c:pt>
                <c:pt idx="129">
                  <c:v>97.781126261923788</c:v>
                </c:pt>
                <c:pt idx="130">
                  <c:v>97.781126261923788</c:v>
                </c:pt>
                <c:pt idx="131">
                  <c:v>97.781126261923788</c:v>
                </c:pt>
                <c:pt idx="132">
                  <c:v>97.781126261923788</c:v>
                </c:pt>
                <c:pt idx="133">
                  <c:v>97.781126261923788</c:v>
                </c:pt>
                <c:pt idx="134">
                  <c:v>97.781126261923788</c:v>
                </c:pt>
                <c:pt idx="135">
                  <c:v>97.781126261923788</c:v>
                </c:pt>
                <c:pt idx="136">
                  <c:v>97.781126261923788</c:v>
                </c:pt>
                <c:pt idx="137">
                  <c:v>97.781126261923788</c:v>
                </c:pt>
                <c:pt idx="138">
                  <c:v>97.781126261923788</c:v>
                </c:pt>
                <c:pt idx="139">
                  <c:v>97.781126261923788</c:v>
                </c:pt>
                <c:pt idx="140">
                  <c:v>97.781126261923788</c:v>
                </c:pt>
                <c:pt idx="141">
                  <c:v>97.781126261923788</c:v>
                </c:pt>
                <c:pt idx="142">
                  <c:v>97.781126261923788</c:v>
                </c:pt>
                <c:pt idx="143">
                  <c:v>97.781126261923788</c:v>
                </c:pt>
                <c:pt idx="144">
                  <c:v>97.781126261923788</c:v>
                </c:pt>
                <c:pt idx="145">
                  <c:v>97.781126261923788</c:v>
                </c:pt>
                <c:pt idx="146">
                  <c:v>97.781126261923788</c:v>
                </c:pt>
                <c:pt idx="147">
                  <c:v>97.781126261923788</c:v>
                </c:pt>
                <c:pt idx="148">
                  <c:v>97.781126261923788</c:v>
                </c:pt>
                <c:pt idx="149">
                  <c:v>97.781126261923788</c:v>
                </c:pt>
                <c:pt idx="150">
                  <c:v>97.781126261923788</c:v>
                </c:pt>
                <c:pt idx="151">
                  <c:v>97.781126261923788</c:v>
                </c:pt>
                <c:pt idx="152">
                  <c:v>97.781126261923788</c:v>
                </c:pt>
                <c:pt idx="153">
                  <c:v>97.781126261923788</c:v>
                </c:pt>
                <c:pt idx="154">
                  <c:v>97.781126261923788</c:v>
                </c:pt>
                <c:pt idx="155">
                  <c:v>97.781126261923788</c:v>
                </c:pt>
                <c:pt idx="156">
                  <c:v>97.781126261923788</c:v>
                </c:pt>
                <c:pt idx="157">
                  <c:v>97.781126261923788</c:v>
                </c:pt>
                <c:pt idx="158">
                  <c:v>97.781126261923788</c:v>
                </c:pt>
                <c:pt idx="159">
                  <c:v>97.781126261923788</c:v>
                </c:pt>
                <c:pt idx="160">
                  <c:v>97.781126261923788</c:v>
                </c:pt>
                <c:pt idx="161">
                  <c:v>97.781126261923788</c:v>
                </c:pt>
                <c:pt idx="162">
                  <c:v>97.781126261923788</c:v>
                </c:pt>
                <c:pt idx="163">
                  <c:v>97.781126261923788</c:v>
                </c:pt>
                <c:pt idx="164">
                  <c:v>97.781126261923788</c:v>
                </c:pt>
                <c:pt idx="165">
                  <c:v>97.781126261923788</c:v>
                </c:pt>
                <c:pt idx="166">
                  <c:v>97.781126261923788</c:v>
                </c:pt>
                <c:pt idx="167">
                  <c:v>97.781126261923788</c:v>
                </c:pt>
                <c:pt idx="168">
                  <c:v>97.781126261923788</c:v>
                </c:pt>
                <c:pt idx="169">
                  <c:v>97.781126261923788</c:v>
                </c:pt>
                <c:pt idx="170">
                  <c:v>97.781126261923788</c:v>
                </c:pt>
                <c:pt idx="171">
                  <c:v>97.781126261923788</c:v>
                </c:pt>
                <c:pt idx="172">
                  <c:v>97.781126261923788</c:v>
                </c:pt>
                <c:pt idx="173">
                  <c:v>97.781126261923788</c:v>
                </c:pt>
                <c:pt idx="174">
                  <c:v>97.781126261923788</c:v>
                </c:pt>
                <c:pt idx="175">
                  <c:v>97.781126261923788</c:v>
                </c:pt>
                <c:pt idx="176">
                  <c:v>97.781126261923788</c:v>
                </c:pt>
                <c:pt idx="177">
                  <c:v>97.781126261923788</c:v>
                </c:pt>
                <c:pt idx="178">
                  <c:v>97.781126261923788</c:v>
                </c:pt>
                <c:pt idx="179">
                  <c:v>97.781126261923788</c:v>
                </c:pt>
                <c:pt idx="180">
                  <c:v>97.781126261923788</c:v>
                </c:pt>
                <c:pt idx="181">
                  <c:v>97.781126261923788</c:v>
                </c:pt>
                <c:pt idx="182">
                  <c:v>97.781126261923788</c:v>
                </c:pt>
                <c:pt idx="183">
                  <c:v>97.781126261923788</c:v>
                </c:pt>
                <c:pt idx="184">
                  <c:v>97.781126261923788</c:v>
                </c:pt>
                <c:pt idx="185">
                  <c:v>97.781126261923788</c:v>
                </c:pt>
                <c:pt idx="186">
                  <c:v>97.781126261923788</c:v>
                </c:pt>
                <c:pt idx="187">
                  <c:v>97.781126261923788</c:v>
                </c:pt>
                <c:pt idx="188">
                  <c:v>97.781126261923788</c:v>
                </c:pt>
                <c:pt idx="189">
                  <c:v>97.781126261923788</c:v>
                </c:pt>
                <c:pt idx="190">
                  <c:v>97.781126261923788</c:v>
                </c:pt>
                <c:pt idx="191">
                  <c:v>97.781126261923788</c:v>
                </c:pt>
                <c:pt idx="192">
                  <c:v>97.781126261923788</c:v>
                </c:pt>
                <c:pt idx="193">
                  <c:v>97.781126261923788</c:v>
                </c:pt>
                <c:pt idx="194">
                  <c:v>97.781126261923788</c:v>
                </c:pt>
                <c:pt idx="195">
                  <c:v>97.781126261923788</c:v>
                </c:pt>
                <c:pt idx="196">
                  <c:v>97.781126261923788</c:v>
                </c:pt>
                <c:pt idx="197">
                  <c:v>97.781126261923788</c:v>
                </c:pt>
                <c:pt idx="198">
                  <c:v>97.781126261923788</c:v>
                </c:pt>
                <c:pt idx="199">
                  <c:v>97.781126261923788</c:v>
                </c:pt>
                <c:pt idx="200">
                  <c:v>97.781126261923788</c:v>
                </c:pt>
                <c:pt idx="201">
                  <c:v>97.781126261923788</c:v>
                </c:pt>
                <c:pt idx="202">
                  <c:v>97.781126261923788</c:v>
                </c:pt>
                <c:pt idx="203">
                  <c:v>97.781126261923788</c:v>
                </c:pt>
                <c:pt idx="204">
                  <c:v>97.781126261923788</c:v>
                </c:pt>
                <c:pt idx="205">
                  <c:v>97.781126261923788</c:v>
                </c:pt>
                <c:pt idx="206">
                  <c:v>97.781126261923788</c:v>
                </c:pt>
                <c:pt idx="207">
                  <c:v>97.781126261923788</c:v>
                </c:pt>
                <c:pt idx="208">
                  <c:v>97.781126261923788</c:v>
                </c:pt>
                <c:pt idx="209">
                  <c:v>97.781126261923788</c:v>
                </c:pt>
                <c:pt idx="210">
                  <c:v>97.781126261923788</c:v>
                </c:pt>
                <c:pt idx="211">
                  <c:v>97.781126261923788</c:v>
                </c:pt>
                <c:pt idx="212">
                  <c:v>97.781126261923788</c:v>
                </c:pt>
                <c:pt idx="213">
                  <c:v>97.781126261923788</c:v>
                </c:pt>
                <c:pt idx="214">
                  <c:v>97.781126261923788</c:v>
                </c:pt>
                <c:pt idx="215">
                  <c:v>97.781126261923788</c:v>
                </c:pt>
                <c:pt idx="216">
                  <c:v>97.781126261923788</c:v>
                </c:pt>
                <c:pt idx="217">
                  <c:v>97.781126261923788</c:v>
                </c:pt>
                <c:pt idx="218">
                  <c:v>97.781126261923788</c:v>
                </c:pt>
                <c:pt idx="219">
                  <c:v>97.781126261923788</c:v>
                </c:pt>
                <c:pt idx="220">
                  <c:v>97.781126261923788</c:v>
                </c:pt>
                <c:pt idx="221">
                  <c:v>97.781126261923788</c:v>
                </c:pt>
                <c:pt idx="222">
                  <c:v>97.781126261923788</c:v>
                </c:pt>
                <c:pt idx="223">
                  <c:v>97.781126261923788</c:v>
                </c:pt>
                <c:pt idx="224">
                  <c:v>97.781126261923788</c:v>
                </c:pt>
                <c:pt idx="225">
                  <c:v>97.781126261923788</c:v>
                </c:pt>
                <c:pt idx="226">
                  <c:v>97.781126261923788</c:v>
                </c:pt>
                <c:pt idx="227">
                  <c:v>97.781126261923788</c:v>
                </c:pt>
                <c:pt idx="228">
                  <c:v>97.781126261923788</c:v>
                </c:pt>
                <c:pt idx="229">
                  <c:v>97.781126261923788</c:v>
                </c:pt>
                <c:pt idx="230">
                  <c:v>97.781126261923788</c:v>
                </c:pt>
                <c:pt idx="231">
                  <c:v>97.781126261923788</c:v>
                </c:pt>
                <c:pt idx="232">
                  <c:v>97.781126261923788</c:v>
                </c:pt>
                <c:pt idx="233">
                  <c:v>97.781126261923788</c:v>
                </c:pt>
                <c:pt idx="234">
                  <c:v>97.781126261923788</c:v>
                </c:pt>
                <c:pt idx="235">
                  <c:v>97.781126261923788</c:v>
                </c:pt>
                <c:pt idx="236">
                  <c:v>97.781126261923788</c:v>
                </c:pt>
                <c:pt idx="237">
                  <c:v>97.781126261923788</c:v>
                </c:pt>
                <c:pt idx="238">
                  <c:v>97.781126261923788</c:v>
                </c:pt>
                <c:pt idx="239">
                  <c:v>97.781126261923788</c:v>
                </c:pt>
                <c:pt idx="240">
                  <c:v>97.781126261923788</c:v>
                </c:pt>
                <c:pt idx="241">
                  <c:v>97.781126261923788</c:v>
                </c:pt>
                <c:pt idx="242">
                  <c:v>97.781126261923788</c:v>
                </c:pt>
                <c:pt idx="243">
                  <c:v>97.781126261923788</c:v>
                </c:pt>
                <c:pt idx="244">
                  <c:v>97.781126261923788</c:v>
                </c:pt>
                <c:pt idx="245">
                  <c:v>97.781126261923788</c:v>
                </c:pt>
                <c:pt idx="246">
                  <c:v>97.781126261923788</c:v>
                </c:pt>
                <c:pt idx="247">
                  <c:v>97.781126261923788</c:v>
                </c:pt>
                <c:pt idx="248">
                  <c:v>97.781126261923788</c:v>
                </c:pt>
                <c:pt idx="249">
                  <c:v>97.781126261923788</c:v>
                </c:pt>
                <c:pt idx="250">
                  <c:v>97.781126261923788</c:v>
                </c:pt>
                <c:pt idx="251">
                  <c:v>97.781126261923788</c:v>
                </c:pt>
                <c:pt idx="252">
                  <c:v>97.781126261923788</c:v>
                </c:pt>
                <c:pt idx="253">
                  <c:v>97.781126261923788</c:v>
                </c:pt>
                <c:pt idx="254">
                  <c:v>97.781126261923788</c:v>
                </c:pt>
                <c:pt idx="255">
                  <c:v>97.781126261923788</c:v>
                </c:pt>
                <c:pt idx="256">
                  <c:v>97.781126261923788</c:v>
                </c:pt>
                <c:pt idx="257">
                  <c:v>97.781126261923788</c:v>
                </c:pt>
                <c:pt idx="258">
                  <c:v>97.781126261923788</c:v>
                </c:pt>
                <c:pt idx="259">
                  <c:v>97.781126261923788</c:v>
                </c:pt>
                <c:pt idx="260">
                  <c:v>97.781126261923788</c:v>
                </c:pt>
                <c:pt idx="261">
                  <c:v>97.781126261923788</c:v>
                </c:pt>
                <c:pt idx="262">
                  <c:v>97.781126261923788</c:v>
                </c:pt>
                <c:pt idx="263">
                  <c:v>97.781126261923788</c:v>
                </c:pt>
                <c:pt idx="264">
                  <c:v>97.781126261923788</c:v>
                </c:pt>
                <c:pt idx="265">
                  <c:v>97.781126261923788</c:v>
                </c:pt>
                <c:pt idx="266">
                  <c:v>97.781126261923788</c:v>
                </c:pt>
                <c:pt idx="267">
                  <c:v>97.781126261923788</c:v>
                </c:pt>
                <c:pt idx="268">
                  <c:v>97.781126261923788</c:v>
                </c:pt>
                <c:pt idx="269">
                  <c:v>97.781126261923788</c:v>
                </c:pt>
                <c:pt idx="270">
                  <c:v>97.781126261923788</c:v>
                </c:pt>
                <c:pt idx="271">
                  <c:v>97.781126261923788</c:v>
                </c:pt>
                <c:pt idx="272">
                  <c:v>97.781126261923788</c:v>
                </c:pt>
                <c:pt idx="273">
                  <c:v>97.781126261923788</c:v>
                </c:pt>
                <c:pt idx="274">
                  <c:v>97.781126261923788</c:v>
                </c:pt>
                <c:pt idx="275">
                  <c:v>97.781126261923788</c:v>
                </c:pt>
                <c:pt idx="276">
                  <c:v>97.781126261923788</c:v>
                </c:pt>
                <c:pt idx="277">
                  <c:v>97.781126261923788</c:v>
                </c:pt>
                <c:pt idx="278">
                  <c:v>97.781126261923788</c:v>
                </c:pt>
                <c:pt idx="279">
                  <c:v>97.781126261923788</c:v>
                </c:pt>
                <c:pt idx="280">
                  <c:v>97.781126261923788</c:v>
                </c:pt>
                <c:pt idx="281">
                  <c:v>97.781126261923788</c:v>
                </c:pt>
                <c:pt idx="282">
                  <c:v>97.781126261923788</c:v>
                </c:pt>
                <c:pt idx="283">
                  <c:v>97.781126261923788</c:v>
                </c:pt>
                <c:pt idx="284">
                  <c:v>97.781126261923788</c:v>
                </c:pt>
                <c:pt idx="285">
                  <c:v>97.781126261923788</c:v>
                </c:pt>
                <c:pt idx="286">
                  <c:v>97.781126261923788</c:v>
                </c:pt>
                <c:pt idx="287">
                  <c:v>97.781126261923788</c:v>
                </c:pt>
                <c:pt idx="288">
                  <c:v>97.781126261923788</c:v>
                </c:pt>
                <c:pt idx="289">
                  <c:v>97.781126261923788</c:v>
                </c:pt>
                <c:pt idx="290">
                  <c:v>97.781126261923788</c:v>
                </c:pt>
                <c:pt idx="291">
                  <c:v>97.781126261923788</c:v>
                </c:pt>
                <c:pt idx="292">
                  <c:v>97.781126261923788</c:v>
                </c:pt>
                <c:pt idx="293">
                  <c:v>97.781126261923788</c:v>
                </c:pt>
                <c:pt idx="294">
                  <c:v>97.781126261923788</c:v>
                </c:pt>
                <c:pt idx="295">
                  <c:v>97.781126261923788</c:v>
                </c:pt>
                <c:pt idx="296">
                  <c:v>97.781126261923788</c:v>
                </c:pt>
                <c:pt idx="297">
                  <c:v>97.781126261923788</c:v>
                </c:pt>
                <c:pt idx="298">
                  <c:v>97.781126261923788</c:v>
                </c:pt>
                <c:pt idx="299">
                  <c:v>97.781126261923788</c:v>
                </c:pt>
                <c:pt idx="300">
                  <c:v>97.781126261923788</c:v>
                </c:pt>
                <c:pt idx="301">
                  <c:v>97.781126261923788</c:v>
                </c:pt>
                <c:pt idx="302">
                  <c:v>97.781126261923788</c:v>
                </c:pt>
                <c:pt idx="303">
                  <c:v>97.781126261923788</c:v>
                </c:pt>
                <c:pt idx="304">
                  <c:v>97.781126261923788</c:v>
                </c:pt>
                <c:pt idx="305">
                  <c:v>97.781126261923788</c:v>
                </c:pt>
                <c:pt idx="306">
                  <c:v>97.781126261923788</c:v>
                </c:pt>
                <c:pt idx="307">
                  <c:v>97.781126261923788</c:v>
                </c:pt>
                <c:pt idx="308">
                  <c:v>97.781126261923788</c:v>
                </c:pt>
                <c:pt idx="309">
                  <c:v>97.781126261923788</c:v>
                </c:pt>
                <c:pt idx="310">
                  <c:v>97.781126261923788</c:v>
                </c:pt>
                <c:pt idx="311">
                  <c:v>97.781126261923788</c:v>
                </c:pt>
                <c:pt idx="312">
                  <c:v>97.781126261923788</c:v>
                </c:pt>
                <c:pt idx="313">
                  <c:v>97.781126261923788</c:v>
                </c:pt>
                <c:pt idx="314">
                  <c:v>97.781126261923788</c:v>
                </c:pt>
                <c:pt idx="315">
                  <c:v>97.781126261923788</c:v>
                </c:pt>
                <c:pt idx="316">
                  <c:v>97.781126261923788</c:v>
                </c:pt>
                <c:pt idx="317">
                  <c:v>97.781126261923788</c:v>
                </c:pt>
                <c:pt idx="318">
                  <c:v>97.781126261923788</c:v>
                </c:pt>
                <c:pt idx="319">
                  <c:v>97.781126261923788</c:v>
                </c:pt>
                <c:pt idx="320">
                  <c:v>97.781126261923788</c:v>
                </c:pt>
                <c:pt idx="321">
                  <c:v>97.781126261923788</c:v>
                </c:pt>
                <c:pt idx="322">
                  <c:v>97.781126261923788</c:v>
                </c:pt>
                <c:pt idx="323">
                  <c:v>97.781126261923788</c:v>
                </c:pt>
                <c:pt idx="324">
                  <c:v>97.781126261923788</c:v>
                </c:pt>
                <c:pt idx="325">
                  <c:v>97.781126261923788</c:v>
                </c:pt>
                <c:pt idx="326">
                  <c:v>97.781126261923788</c:v>
                </c:pt>
                <c:pt idx="327">
                  <c:v>97.781126261923788</c:v>
                </c:pt>
                <c:pt idx="328">
                  <c:v>97.781126261923788</c:v>
                </c:pt>
                <c:pt idx="329">
                  <c:v>97.781126261923788</c:v>
                </c:pt>
                <c:pt idx="330">
                  <c:v>97.781126261923788</c:v>
                </c:pt>
                <c:pt idx="331">
                  <c:v>97.781126261923788</c:v>
                </c:pt>
                <c:pt idx="332">
                  <c:v>97.781126261923788</c:v>
                </c:pt>
                <c:pt idx="333">
                  <c:v>97.781126261923788</c:v>
                </c:pt>
                <c:pt idx="334">
                  <c:v>97.781126261923788</c:v>
                </c:pt>
                <c:pt idx="335">
                  <c:v>97.781126261923788</c:v>
                </c:pt>
                <c:pt idx="336">
                  <c:v>97.781126261923788</c:v>
                </c:pt>
                <c:pt idx="337">
                  <c:v>97.781126261923788</c:v>
                </c:pt>
                <c:pt idx="338">
                  <c:v>97.781126261923788</c:v>
                </c:pt>
                <c:pt idx="339">
                  <c:v>97.781126261923788</c:v>
                </c:pt>
                <c:pt idx="340">
                  <c:v>97.781126261923788</c:v>
                </c:pt>
                <c:pt idx="341">
                  <c:v>97.781126261923788</c:v>
                </c:pt>
                <c:pt idx="342">
                  <c:v>97.781126261923788</c:v>
                </c:pt>
                <c:pt idx="343">
                  <c:v>97.781126261923788</c:v>
                </c:pt>
                <c:pt idx="344">
                  <c:v>97.781126261923788</c:v>
                </c:pt>
                <c:pt idx="345">
                  <c:v>97.781126261923788</c:v>
                </c:pt>
                <c:pt idx="346">
                  <c:v>97.781126261923788</c:v>
                </c:pt>
                <c:pt idx="347">
                  <c:v>97.781126261923788</c:v>
                </c:pt>
                <c:pt idx="348">
                  <c:v>97.781126261923788</c:v>
                </c:pt>
                <c:pt idx="349">
                  <c:v>97.781126261923788</c:v>
                </c:pt>
                <c:pt idx="350">
                  <c:v>97.781126261923788</c:v>
                </c:pt>
                <c:pt idx="351">
                  <c:v>97.781126261923788</c:v>
                </c:pt>
                <c:pt idx="352">
                  <c:v>97.781126261923788</c:v>
                </c:pt>
                <c:pt idx="353">
                  <c:v>97.781126261923788</c:v>
                </c:pt>
                <c:pt idx="354">
                  <c:v>97.781126261923788</c:v>
                </c:pt>
                <c:pt idx="355">
                  <c:v>97.781126261923788</c:v>
                </c:pt>
                <c:pt idx="356">
                  <c:v>97.781126261923788</c:v>
                </c:pt>
                <c:pt idx="357">
                  <c:v>97.781126261923788</c:v>
                </c:pt>
                <c:pt idx="358">
                  <c:v>97.781126261923788</c:v>
                </c:pt>
                <c:pt idx="359">
                  <c:v>97.781126261923788</c:v>
                </c:pt>
                <c:pt idx="360">
                  <c:v>97.781126261923788</c:v>
                </c:pt>
                <c:pt idx="361">
                  <c:v>97.781126261923788</c:v>
                </c:pt>
                <c:pt idx="362">
                  <c:v>97.781126261923788</c:v>
                </c:pt>
                <c:pt idx="363">
                  <c:v>97.781126261923788</c:v>
                </c:pt>
                <c:pt idx="364">
                  <c:v>97.781126261923788</c:v>
                </c:pt>
                <c:pt idx="365">
                  <c:v>97.781126261923788</c:v>
                </c:pt>
                <c:pt idx="366">
                  <c:v>97.781126261923788</c:v>
                </c:pt>
                <c:pt idx="367">
                  <c:v>97.781126261923788</c:v>
                </c:pt>
                <c:pt idx="368">
                  <c:v>97.781126261923788</c:v>
                </c:pt>
                <c:pt idx="369">
                  <c:v>97.781126261923788</c:v>
                </c:pt>
                <c:pt idx="370">
                  <c:v>97.781126261923788</c:v>
                </c:pt>
                <c:pt idx="371">
                  <c:v>97.781126261923788</c:v>
                </c:pt>
                <c:pt idx="372">
                  <c:v>97.781126261923788</c:v>
                </c:pt>
                <c:pt idx="373">
                  <c:v>97.781126261923788</c:v>
                </c:pt>
                <c:pt idx="374">
                  <c:v>97.781126261923788</c:v>
                </c:pt>
                <c:pt idx="375">
                  <c:v>97.781126261923788</c:v>
                </c:pt>
                <c:pt idx="376">
                  <c:v>97.781126261923788</c:v>
                </c:pt>
                <c:pt idx="377">
                  <c:v>97.781126261923788</c:v>
                </c:pt>
                <c:pt idx="378">
                  <c:v>97.781126261923788</c:v>
                </c:pt>
                <c:pt idx="379">
                  <c:v>97.781126261923788</c:v>
                </c:pt>
                <c:pt idx="380">
                  <c:v>97.781126261923788</c:v>
                </c:pt>
                <c:pt idx="381">
                  <c:v>97.781126261923788</c:v>
                </c:pt>
                <c:pt idx="382">
                  <c:v>97.781126261923788</c:v>
                </c:pt>
                <c:pt idx="383">
                  <c:v>97.781126261923788</c:v>
                </c:pt>
                <c:pt idx="384">
                  <c:v>97.781126261923788</c:v>
                </c:pt>
                <c:pt idx="385">
                  <c:v>97.781126261923788</c:v>
                </c:pt>
                <c:pt idx="386">
                  <c:v>97.781126261923788</c:v>
                </c:pt>
                <c:pt idx="387">
                  <c:v>97.781126261923788</c:v>
                </c:pt>
                <c:pt idx="388">
                  <c:v>97.781126261923788</c:v>
                </c:pt>
                <c:pt idx="389">
                  <c:v>97.781126261923788</c:v>
                </c:pt>
                <c:pt idx="390">
                  <c:v>97.781126261923788</c:v>
                </c:pt>
                <c:pt idx="391">
                  <c:v>97.781126261923788</c:v>
                </c:pt>
                <c:pt idx="392">
                  <c:v>97.781126261923788</c:v>
                </c:pt>
                <c:pt idx="393">
                  <c:v>97.781126261923788</c:v>
                </c:pt>
                <c:pt idx="394">
                  <c:v>97.781126261923788</c:v>
                </c:pt>
                <c:pt idx="395">
                  <c:v>97.781126261923788</c:v>
                </c:pt>
                <c:pt idx="396">
                  <c:v>97.781126261923788</c:v>
                </c:pt>
                <c:pt idx="397">
                  <c:v>97.781126261923788</c:v>
                </c:pt>
                <c:pt idx="398">
                  <c:v>97.781126261923788</c:v>
                </c:pt>
                <c:pt idx="399">
                  <c:v>97.781126261923788</c:v>
                </c:pt>
                <c:pt idx="400">
                  <c:v>97.781126261923788</c:v>
                </c:pt>
                <c:pt idx="401">
                  <c:v>97.781126261923788</c:v>
                </c:pt>
                <c:pt idx="402">
                  <c:v>97.781126261923788</c:v>
                </c:pt>
                <c:pt idx="403">
                  <c:v>97.781126261923788</c:v>
                </c:pt>
                <c:pt idx="404">
                  <c:v>97.781126261923788</c:v>
                </c:pt>
                <c:pt idx="405">
                  <c:v>97.781126261923788</c:v>
                </c:pt>
                <c:pt idx="406">
                  <c:v>97.781126261923788</c:v>
                </c:pt>
                <c:pt idx="407">
                  <c:v>97.781126261923788</c:v>
                </c:pt>
                <c:pt idx="408">
                  <c:v>97.781126261923788</c:v>
                </c:pt>
                <c:pt idx="409">
                  <c:v>97.781126261923788</c:v>
                </c:pt>
                <c:pt idx="410">
                  <c:v>97.781126261923788</c:v>
                </c:pt>
                <c:pt idx="411">
                  <c:v>97.781126261923788</c:v>
                </c:pt>
                <c:pt idx="412">
                  <c:v>97.781126261923788</c:v>
                </c:pt>
                <c:pt idx="413">
                  <c:v>97.781126261923788</c:v>
                </c:pt>
                <c:pt idx="414">
                  <c:v>97.781126261923788</c:v>
                </c:pt>
                <c:pt idx="415">
                  <c:v>97.781126261923788</c:v>
                </c:pt>
                <c:pt idx="416">
                  <c:v>97.781126261923788</c:v>
                </c:pt>
                <c:pt idx="417">
                  <c:v>97.781126261923788</c:v>
                </c:pt>
                <c:pt idx="418">
                  <c:v>97.781126261923788</c:v>
                </c:pt>
                <c:pt idx="419">
                  <c:v>97.781126261923788</c:v>
                </c:pt>
                <c:pt idx="420">
                  <c:v>97.781126261923788</c:v>
                </c:pt>
                <c:pt idx="421">
                  <c:v>97.781126261923788</c:v>
                </c:pt>
                <c:pt idx="422">
                  <c:v>97.781126261923788</c:v>
                </c:pt>
                <c:pt idx="423">
                  <c:v>97.781126261923788</c:v>
                </c:pt>
                <c:pt idx="424">
                  <c:v>97.781126261923788</c:v>
                </c:pt>
                <c:pt idx="425">
                  <c:v>97.781126261923788</c:v>
                </c:pt>
                <c:pt idx="426">
                  <c:v>97.781126261923788</c:v>
                </c:pt>
                <c:pt idx="427">
                  <c:v>97.781126261923788</c:v>
                </c:pt>
                <c:pt idx="428">
                  <c:v>97.781126261923788</c:v>
                </c:pt>
                <c:pt idx="429">
                  <c:v>97.781126261923788</c:v>
                </c:pt>
                <c:pt idx="430">
                  <c:v>97.781126261923788</c:v>
                </c:pt>
                <c:pt idx="431">
                  <c:v>97.781126261923788</c:v>
                </c:pt>
                <c:pt idx="432">
                  <c:v>97.781126261923788</c:v>
                </c:pt>
                <c:pt idx="433">
                  <c:v>97.781126261923788</c:v>
                </c:pt>
                <c:pt idx="434">
                  <c:v>97.781126261923788</c:v>
                </c:pt>
                <c:pt idx="435">
                  <c:v>97.781126261923788</c:v>
                </c:pt>
                <c:pt idx="436">
                  <c:v>97.781126261923788</c:v>
                </c:pt>
                <c:pt idx="437">
                  <c:v>97.781126261923788</c:v>
                </c:pt>
                <c:pt idx="438">
                  <c:v>97.781126261923788</c:v>
                </c:pt>
                <c:pt idx="439">
                  <c:v>97.781126261923788</c:v>
                </c:pt>
                <c:pt idx="440">
                  <c:v>97.781126261923788</c:v>
                </c:pt>
                <c:pt idx="441">
                  <c:v>97.781126261923788</c:v>
                </c:pt>
                <c:pt idx="442">
                  <c:v>97.781126261923788</c:v>
                </c:pt>
                <c:pt idx="443">
                  <c:v>97.781126261923788</c:v>
                </c:pt>
                <c:pt idx="444">
                  <c:v>97.781126261923788</c:v>
                </c:pt>
                <c:pt idx="445">
                  <c:v>97.781126261923788</c:v>
                </c:pt>
                <c:pt idx="446">
                  <c:v>97.781126261923788</c:v>
                </c:pt>
                <c:pt idx="447">
                  <c:v>97.781126261923788</c:v>
                </c:pt>
                <c:pt idx="448">
                  <c:v>97.781126261923788</c:v>
                </c:pt>
                <c:pt idx="449">
                  <c:v>97.781126261923788</c:v>
                </c:pt>
                <c:pt idx="450">
                  <c:v>97.781126261923788</c:v>
                </c:pt>
                <c:pt idx="451">
                  <c:v>97.781126261923788</c:v>
                </c:pt>
                <c:pt idx="452">
                  <c:v>97.781126261923788</c:v>
                </c:pt>
                <c:pt idx="453">
                  <c:v>97.781126261923788</c:v>
                </c:pt>
                <c:pt idx="454">
                  <c:v>97.781126261923788</c:v>
                </c:pt>
                <c:pt idx="455">
                  <c:v>97.781126261923788</c:v>
                </c:pt>
                <c:pt idx="456">
                  <c:v>97.781126261923788</c:v>
                </c:pt>
                <c:pt idx="457">
                  <c:v>97.781126261923788</c:v>
                </c:pt>
                <c:pt idx="458">
                  <c:v>97.781126261923788</c:v>
                </c:pt>
                <c:pt idx="45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6B-4A28-AF8D-105B59B27611}"/>
            </c:ext>
          </c:extLst>
        </c:ser>
        <c:ser>
          <c:idx val="4"/>
          <c:order val="1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Messdaten!$P$15:$P$2000</c:f>
              <c:numCache>
                <c:formatCode>0.000</c:formatCode>
                <c:ptCount val="1986"/>
                <c:pt idx="0">
                  <c:v>1.0424728487886383E-3</c:v>
                </c:pt>
                <c:pt idx="1">
                  <c:v>1.0424728487886383E-3</c:v>
                </c:pt>
                <c:pt idx="2">
                  <c:v>1.0424728487886383E-3</c:v>
                </c:pt>
                <c:pt idx="3">
                  <c:v>1.0424728487886383E-3</c:v>
                </c:pt>
                <c:pt idx="4">
                  <c:v>1.0424728487886383E-3</c:v>
                </c:pt>
                <c:pt idx="5">
                  <c:v>1.0424728487886383E-3</c:v>
                </c:pt>
                <c:pt idx="6">
                  <c:v>1.0424728487886383E-3</c:v>
                </c:pt>
                <c:pt idx="7">
                  <c:v>1.0424728487886383E-3</c:v>
                </c:pt>
                <c:pt idx="8">
                  <c:v>1.0424728487886383E-3</c:v>
                </c:pt>
                <c:pt idx="9">
                  <c:v>1.0424728487886383E-3</c:v>
                </c:pt>
                <c:pt idx="10">
                  <c:v>1.0424728487886383E-3</c:v>
                </c:pt>
                <c:pt idx="11">
                  <c:v>1.0424728487886383E-3</c:v>
                </c:pt>
                <c:pt idx="12">
                  <c:v>1.0424728487886383E-3</c:v>
                </c:pt>
                <c:pt idx="13">
                  <c:v>1.0424728487886383E-3</c:v>
                </c:pt>
                <c:pt idx="14">
                  <c:v>1.0424728487886383E-3</c:v>
                </c:pt>
                <c:pt idx="15">
                  <c:v>1.0424728487886383E-3</c:v>
                </c:pt>
                <c:pt idx="16">
                  <c:v>1.0424728487886383E-3</c:v>
                </c:pt>
                <c:pt idx="17">
                  <c:v>1.0424728487886383E-3</c:v>
                </c:pt>
                <c:pt idx="18">
                  <c:v>1.0424728487886383E-3</c:v>
                </c:pt>
                <c:pt idx="19">
                  <c:v>1.0424728487886383E-3</c:v>
                </c:pt>
                <c:pt idx="20">
                  <c:v>1.0424728487886383E-3</c:v>
                </c:pt>
                <c:pt idx="21">
                  <c:v>1.0424728487886383E-3</c:v>
                </c:pt>
                <c:pt idx="22">
                  <c:v>1.0424728487886383E-3</c:v>
                </c:pt>
                <c:pt idx="23">
                  <c:v>1.0424728487886383E-3</c:v>
                </c:pt>
                <c:pt idx="24">
                  <c:v>1.0424728487886383E-3</c:v>
                </c:pt>
                <c:pt idx="25">
                  <c:v>1.0424728487886383E-3</c:v>
                </c:pt>
                <c:pt idx="26">
                  <c:v>1.0424728487886383E-3</c:v>
                </c:pt>
                <c:pt idx="27">
                  <c:v>1.0424728487886383E-3</c:v>
                </c:pt>
                <c:pt idx="28">
                  <c:v>1.0424728487886383E-3</c:v>
                </c:pt>
                <c:pt idx="29">
                  <c:v>1.0424728487886383E-3</c:v>
                </c:pt>
                <c:pt idx="30">
                  <c:v>1.0424728487886383E-3</c:v>
                </c:pt>
                <c:pt idx="31">
                  <c:v>1.0424728487886383E-3</c:v>
                </c:pt>
                <c:pt idx="32">
                  <c:v>1.0424728487886383E-3</c:v>
                </c:pt>
                <c:pt idx="33">
                  <c:v>1.0424728487886383E-3</c:v>
                </c:pt>
                <c:pt idx="34">
                  <c:v>1.0424728487886383E-3</c:v>
                </c:pt>
                <c:pt idx="35">
                  <c:v>1.0424728487886383E-3</c:v>
                </c:pt>
                <c:pt idx="36">
                  <c:v>1.0424728487886383E-3</c:v>
                </c:pt>
                <c:pt idx="37">
                  <c:v>1.0424728487886383E-3</c:v>
                </c:pt>
                <c:pt idx="38">
                  <c:v>1.0424728487886383E-3</c:v>
                </c:pt>
                <c:pt idx="39">
                  <c:v>1.0424728487886383E-3</c:v>
                </c:pt>
                <c:pt idx="40">
                  <c:v>1.0424728487886383E-3</c:v>
                </c:pt>
                <c:pt idx="41">
                  <c:v>1.0424728487886383E-3</c:v>
                </c:pt>
                <c:pt idx="42">
                  <c:v>1.0424728487886383E-3</c:v>
                </c:pt>
                <c:pt idx="43">
                  <c:v>1.0424728487886383E-3</c:v>
                </c:pt>
                <c:pt idx="44">
                  <c:v>1.0424728487886383E-3</c:v>
                </c:pt>
                <c:pt idx="45">
                  <c:v>1.0424728487886383E-3</c:v>
                </c:pt>
                <c:pt idx="46">
                  <c:v>1.0424728487886383E-3</c:v>
                </c:pt>
                <c:pt idx="47">
                  <c:v>1.0424728487886383E-3</c:v>
                </c:pt>
                <c:pt idx="48">
                  <c:v>1.0424728487886383E-3</c:v>
                </c:pt>
                <c:pt idx="49">
                  <c:v>1.0424728487886383E-3</c:v>
                </c:pt>
                <c:pt idx="50">
                  <c:v>1.0424728487886383E-3</c:v>
                </c:pt>
                <c:pt idx="51">
                  <c:v>1.0424728487886383E-3</c:v>
                </c:pt>
                <c:pt idx="52">
                  <c:v>1.0424728487886383E-3</c:v>
                </c:pt>
                <c:pt idx="53">
                  <c:v>1.0424728487886383E-3</c:v>
                </c:pt>
                <c:pt idx="54">
                  <c:v>1.0424728487886383E-3</c:v>
                </c:pt>
                <c:pt idx="55">
                  <c:v>1.0424728487886383E-3</c:v>
                </c:pt>
                <c:pt idx="56">
                  <c:v>1.0424728487886383E-3</c:v>
                </c:pt>
                <c:pt idx="57">
                  <c:v>1.0424728487886383E-3</c:v>
                </c:pt>
                <c:pt idx="58">
                  <c:v>1.0424728487886383E-3</c:v>
                </c:pt>
                <c:pt idx="59">
                  <c:v>1.0424728487886383E-3</c:v>
                </c:pt>
                <c:pt idx="60">
                  <c:v>1.0424728487886383E-3</c:v>
                </c:pt>
                <c:pt idx="61">
                  <c:v>1.0424728487886383E-3</c:v>
                </c:pt>
                <c:pt idx="62">
                  <c:v>1.0424728487886383E-3</c:v>
                </c:pt>
                <c:pt idx="63">
                  <c:v>1.0424728487886383E-3</c:v>
                </c:pt>
                <c:pt idx="64">
                  <c:v>1.0424728487886383E-3</c:v>
                </c:pt>
                <c:pt idx="65">
                  <c:v>1.0424728487886383E-3</c:v>
                </c:pt>
                <c:pt idx="66">
                  <c:v>1.0424728487886383E-3</c:v>
                </c:pt>
                <c:pt idx="67">
                  <c:v>1.0424728487886383E-3</c:v>
                </c:pt>
                <c:pt idx="68">
                  <c:v>1.0424728487886383E-3</c:v>
                </c:pt>
                <c:pt idx="69">
                  <c:v>1.0424728487886383E-3</c:v>
                </c:pt>
                <c:pt idx="70">
                  <c:v>1.0424728487886383E-3</c:v>
                </c:pt>
                <c:pt idx="71">
                  <c:v>1.0424728487886383E-3</c:v>
                </c:pt>
                <c:pt idx="72">
                  <c:v>1.0424728487886383E-3</c:v>
                </c:pt>
                <c:pt idx="73">
                  <c:v>1.0424728487886383E-3</c:v>
                </c:pt>
                <c:pt idx="74">
                  <c:v>1.0424728487886383E-3</c:v>
                </c:pt>
                <c:pt idx="75">
                  <c:v>1.0424728487886383E-3</c:v>
                </c:pt>
                <c:pt idx="76">
                  <c:v>1.0424728487886383E-3</c:v>
                </c:pt>
                <c:pt idx="77">
                  <c:v>1.0424728487886383E-3</c:v>
                </c:pt>
                <c:pt idx="78">
                  <c:v>1.0424728487886383E-3</c:v>
                </c:pt>
                <c:pt idx="79">
                  <c:v>1.0424728487886383E-3</c:v>
                </c:pt>
                <c:pt idx="80">
                  <c:v>1.0424728487886383E-3</c:v>
                </c:pt>
                <c:pt idx="81">
                  <c:v>1.0424728487886383E-3</c:v>
                </c:pt>
                <c:pt idx="82">
                  <c:v>1.0424728487886383E-3</c:v>
                </c:pt>
                <c:pt idx="83">
                  <c:v>1.0424728487886383E-3</c:v>
                </c:pt>
                <c:pt idx="84">
                  <c:v>1.0424728487886383E-3</c:v>
                </c:pt>
                <c:pt idx="85">
                  <c:v>1.0424728487886383E-3</c:v>
                </c:pt>
                <c:pt idx="86">
                  <c:v>1.0424728487886383E-3</c:v>
                </c:pt>
                <c:pt idx="87">
                  <c:v>1.0424728487886383E-3</c:v>
                </c:pt>
                <c:pt idx="88">
                  <c:v>1.0424728487886383E-3</c:v>
                </c:pt>
                <c:pt idx="89">
                  <c:v>1.0424728487886383E-3</c:v>
                </c:pt>
                <c:pt idx="90">
                  <c:v>1.0424728487886383E-3</c:v>
                </c:pt>
                <c:pt idx="91">
                  <c:v>1.0424728487886383E-3</c:v>
                </c:pt>
                <c:pt idx="92">
                  <c:v>1.0424728487886383E-3</c:v>
                </c:pt>
                <c:pt idx="93">
                  <c:v>1.0424728487886383E-3</c:v>
                </c:pt>
                <c:pt idx="94">
                  <c:v>1.0424728487886383E-3</c:v>
                </c:pt>
                <c:pt idx="95">
                  <c:v>1.0424728487886383E-3</c:v>
                </c:pt>
                <c:pt idx="96">
                  <c:v>1.0424728487886383E-3</c:v>
                </c:pt>
                <c:pt idx="97">
                  <c:v>1.0424728487886383E-3</c:v>
                </c:pt>
                <c:pt idx="98">
                  <c:v>1.0424728487886383E-3</c:v>
                </c:pt>
                <c:pt idx="99">
                  <c:v>1.0424728487886383E-3</c:v>
                </c:pt>
                <c:pt idx="100">
                  <c:v>1.0424728487886383E-3</c:v>
                </c:pt>
                <c:pt idx="101">
                  <c:v>1.0424728487886383E-3</c:v>
                </c:pt>
                <c:pt idx="102">
                  <c:v>1.0424728487886383E-3</c:v>
                </c:pt>
                <c:pt idx="103">
                  <c:v>1.0424728487886383E-3</c:v>
                </c:pt>
                <c:pt idx="104">
                  <c:v>1.0424728487886383E-3</c:v>
                </c:pt>
                <c:pt idx="105">
                  <c:v>1.0424728487886383E-3</c:v>
                </c:pt>
                <c:pt idx="106">
                  <c:v>1.0424728487886383E-3</c:v>
                </c:pt>
                <c:pt idx="107">
                  <c:v>1.0424728487886383E-3</c:v>
                </c:pt>
                <c:pt idx="108">
                  <c:v>1.0424728487886383E-3</c:v>
                </c:pt>
                <c:pt idx="109">
                  <c:v>1.0424728487886383E-3</c:v>
                </c:pt>
                <c:pt idx="110">
                  <c:v>1.0424728487886383E-3</c:v>
                </c:pt>
                <c:pt idx="111">
                  <c:v>1.0424728487886383E-3</c:v>
                </c:pt>
                <c:pt idx="112">
                  <c:v>1.0424728487886383E-3</c:v>
                </c:pt>
                <c:pt idx="113">
                  <c:v>1.0424728487886383E-3</c:v>
                </c:pt>
                <c:pt idx="114">
                  <c:v>1.0424728487886383E-3</c:v>
                </c:pt>
                <c:pt idx="115">
                  <c:v>1.0424728487886383E-3</c:v>
                </c:pt>
                <c:pt idx="116">
                  <c:v>1.0424728487886383E-3</c:v>
                </c:pt>
                <c:pt idx="117">
                  <c:v>1.0424728487886383E-3</c:v>
                </c:pt>
                <c:pt idx="118">
                  <c:v>1.0424728487886383E-3</c:v>
                </c:pt>
                <c:pt idx="119">
                  <c:v>1.0424728487886383E-3</c:v>
                </c:pt>
                <c:pt idx="120">
                  <c:v>1.0424728487886383E-3</c:v>
                </c:pt>
                <c:pt idx="121">
                  <c:v>1.0424728487886383E-3</c:v>
                </c:pt>
                <c:pt idx="122">
                  <c:v>1.0424728487886383E-3</c:v>
                </c:pt>
                <c:pt idx="123">
                  <c:v>1.0424728487886383E-3</c:v>
                </c:pt>
                <c:pt idx="124">
                  <c:v>1.0424728487886383E-3</c:v>
                </c:pt>
                <c:pt idx="125">
                  <c:v>1.0424728487886383E-3</c:v>
                </c:pt>
                <c:pt idx="126">
                  <c:v>1.0424728487886383E-3</c:v>
                </c:pt>
                <c:pt idx="127">
                  <c:v>1.0424728487886383E-3</c:v>
                </c:pt>
                <c:pt idx="128">
                  <c:v>1.0424728487886383E-3</c:v>
                </c:pt>
                <c:pt idx="129">
                  <c:v>1.0424728487886383E-3</c:v>
                </c:pt>
                <c:pt idx="130">
                  <c:v>1.0424728487886383E-3</c:v>
                </c:pt>
                <c:pt idx="131">
                  <c:v>1.0424728487886383E-3</c:v>
                </c:pt>
                <c:pt idx="132">
                  <c:v>1.0424728487886383E-3</c:v>
                </c:pt>
                <c:pt idx="133">
                  <c:v>1.0424728487886383E-3</c:v>
                </c:pt>
                <c:pt idx="134">
                  <c:v>1.0424728487886383E-3</c:v>
                </c:pt>
                <c:pt idx="135">
                  <c:v>1.0424728487886383E-3</c:v>
                </c:pt>
                <c:pt idx="136">
                  <c:v>1.0424728487886383E-3</c:v>
                </c:pt>
                <c:pt idx="137">
                  <c:v>1.0424728487886383E-3</c:v>
                </c:pt>
                <c:pt idx="138">
                  <c:v>1.0424728487886383E-3</c:v>
                </c:pt>
                <c:pt idx="139">
                  <c:v>1.0424728487886383E-3</c:v>
                </c:pt>
                <c:pt idx="140">
                  <c:v>1.0424728487886383E-3</c:v>
                </c:pt>
                <c:pt idx="141">
                  <c:v>1.0424728487886383E-3</c:v>
                </c:pt>
                <c:pt idx="142">
                  <c:v>1.0424728487886383E-3</c:v>
                </c:pt>
                <c:pt idx="143">
                  <c:v>1.0424728487886383E-3</c:v>
                </c:pt>
                <c:pt idx="144">
                  <c:v>1.0424728487886383E-3</c:v>
                </c:pt>
                <c:pt idx="145">
                  <c:v>1.0424728487886383E-3</c:v>
                </c:pt>
                <c:pt idx="146">
                  <c:v>1.0424728487886383E-3</c:v>
                </c:pt>
                <c:pt idx="147">
                  <c:v>1.0424728487886383E-3</c:v>
                </c:pt>
                <c:pt idx="148">
                  <c:v>1.0424728487886383E-3</c:v>
                </c:pt>
                <c:pt idx="149">
                  <c:v>1.0424728487886383E-3</c:v>
                </c:pt>
                <c:pt idx="150">
                  <c:v>1.0424728487886383E-3</c:v>
                </c:pt>
                <c:pt idx="151">
                  <c:v>1.0424728487886383E-3</c:v>
                </c:pt>
                <c:pt idx="152">
                  <c:v>1.0424728487886383E-3</c:v>
                </c:pt>
                <c:pt idx="153">
                  <c:v>1.0424728487886383E-3</c:v>
                </c:pt>
                <c:pt idx="154">
                  <c:v>1.0424728487886383E-3</c:v>
                </c:pt>
                <c:pt idx="155">
                  <c:v>1.0424728487886383E-3</c:v>
                </c:pt>
                <c:pt idx="156">
                  <c:v>1.0424728487886383E-3</c:v>
                </c:pt>
                <c:pt idx="157">
                  <c:v>1.0424728487886383E-3</c:v>
                </c:pt>
                <c:pt idx="158">
                  <c:v>1.0424728487886383E-3</c:v>
                </c:pt>
                <c:pt idx="159">
                  <c:v>1.0424728487886383E-3</c:v>
                </c:pt>
                <c:pt idx="160">
                  <c:v>1.0424728487886383E-3</c:v>
                </c:pt>
                <c:pt idx="161">
                  <c:v>1.0424728487886383E-3</c:v>
                </c:pt>
                <c:pt idx="162">
                  <c:v>1.0424728487886383E-3</c:v>
                </c:pt>
                <c:pt idx="163">
                  <c:v>1.0424728487886383E-3</c:v>
                </c:pt>
                <c:pt idx="164">
                  <c:v>1.0424728487886383E-3</c:v>
                </c:pt>
                <c:pt idx="165">
                  <c:v>1.0424728487886383E-3</c:v>
                </c:pt>
                <c:pt idx="166">
                  <c:v>1.0424728487886383E-3</c:v>
                </c:pt>
                <c:pt idx="167">
                  <c:v>1.0424728487886383E-3</c:v>
                </c:pt>
                <c:pt idx="168">
                  <c:v>1.0424728487886383E-3</c:v>
                </c:pt>
                <c:pt idx="169">
                  <c:v>1.0424728487886383E-3</c:v>
                </c:pt>
                <c:pt idx="170">
                  <c:v>1.0424728487886383E-3</c:v>
                </c:pt>
                <c:pt idx="171">
                  <c:v>1.0424728487886383E-3</c:v>
                </c:pt>
                <c:pt idx="172">
                  <c:v>1.0424728487886383E-3</c:v>
                </c:pt>
                <c:pt idx="173">
                  <c:v>1.0424728487886383E-3</c:v>
                </c:pt>
                <c:pt idx="174">
                  <c:v>1.0424728487886383E-3</c:v>
                </c:pt>
                <c:pt idx="175">
                  <c:v>1.0424728487886383E-3</c:v>
                </c:pt>
                <c:pt idx="176">
                  <c:v>1.0424728487886383E-3</c:v>
                </c:pt>
                <c:pt idx="177">
                  <c:v>1.0424728487886383E-3</c:v>
                </c:pt>
                <c:pt idx="178">
                  <c:v>1.0424728487886383E-3</c:v>
                </c:pt>
                <c:pt idx="179">
                  <c:v>1.0424728487886383E-3</c:v>
                </c:pt>
                <c:pt idx="180">
                  <c:v>1.0424728487886383E-3</c:v>
                </c:pt>
                <c:pt idx="181">
                  <c:v>1.0424728487886383E-3</c:v>
                </c:pt>
                <c:pt idx="182">
                  <c:v>1.0424728487886383E-3</c:v>
                </c:pt>
                <c:pt idx="183">
                  <c:v>1.0424728487886383E-3</c:v>
                </c:pt>
                <c:pt idx="184">
                  <c:v>1.0424728487886383E-3</c:v>
                </c:pt>
                <c:pt idx="185">
                  <c:v>1.0424728487886383E-3</c:v>
                </c:pt>
                <c:pt idx="186">
                  <c:v>1.0424728487886383E-3</c:v>
                </c:pt>
                <c:pt idx="187">
                  <c:v>1.0424728487886383E-3</c:v>
                </c:pt>
                <c:pt idx="188">
                  <c:v>1.0424728487886383E-3</c:v>
                </c:pt>
                <c:pt idx="189">
                  <c:v>1.0424728487886383E-3</c:v>
                </c:pt>
                <c:pt idx="190">
                  <c:v>1.0424728487886383E-3</c:v>
                </c:pt>
                <c:pt idx="191">
                  <c:v>1.0424728487886383E-3</c:v>
                </c:pt>
                <c:pt idx="192">
                  <c:v>1.0424728487886383E-3</c:v>
                </c:pt>
                <c:pt idx="193">
                  <c:v>1.0424728487886383E-3</c:v>
                </c:pt>
                <c:pt idx="194">
                  <c:v>1.0424728487886383E-3</c:v>
                </c:pt>
                <c:pt idx="195">
                  <c:v>1.0424728487886383E-3</c:v>
                </c:pt>
                <c:pt idx="196">
                  <c:v>1.0424728487886383E-3</c:v>
                </c:pt>
                <c:pt idx="197">
                  <c:v>1.0424728487886383E-3</c:v>
                </c:pt>
                <c:pt idx="198">
                  <c:v>1.0424728487886383E-3</c:v>
                </c:pt>
                <c:pt idx="199">
                  <c:v>1.0424728487886383E-3</c:v>
                </c:pt>
                <c:pt idx="200">
                  <c:v>1.0424728487886383E-3</c:v>
                </c:pt>
                <c:pt idx="201">
                  <c:v>1.0424728487886383E-3</c:v>
                </c:pt>
                <c:pt idx="202">
                  <c:v>1.0424728487886383E-3</c:v>
                </c:pt>
                <c:pt idx="203">
                  <c:v>1.0424728487886383E-3</c:v>
                </c:pt>
                <c:pt idx="204">
                  <c:v>1.0424728487886383E-3</c:v>
                </c:pt>
                <c:pt idx="205">
                  <c:v>1.0424728487886383E-3</c:v>
                </c:pt>
                <c:pt idx="206">
                  <c:v>1.0424728487886383E-3</c:v>
                </c:pt>
                <c:pt idx="207">
                  <c:v>1.0424728487886383E-3</c:v>
                </c:pt>
                <c:pt idx="208">
                  <c:v>1.0424728487886383E-3</c:v>
                </c:pt>
                <c:pt idx="209">
                  <c:v>1.0424728487886383E-3</c:v>
                </c:pt>
                <c:pt idx="210">
                  <c:v>1.0424728487886383E-3</c:v>
                </c:pt>
                <c:pt idx="211">
                  <c:v>1.0424728487886383E-3</c:v>
                </c:pt>
                <c:pt idx="212">
                  <c:v>1.0424728487886383E-3</c:v>
                </c:pt>
                <c:pt idx="213">
                  <c:v>1.0424728487886383E-3</c:v>
                </c:pt>
                <c:pt idx="214">
                  <c:v>1.0424728487886383E-3</c:v>
                </c:pt>
                <c:pt idx="215">
                  <c:v>1.0424728487886383E-3</c:v>
                </c:pt>
                <c:pt idx="216">
                  <c:v>1.0424728487886383E-3</c:v>
                </c:pt>
                <c:pt idx="217">
                  <c:v>1.0424728487886383E-3</c:v>
                </c:pt>
                <c:pt idx="218">
                  <c:v>1.0424728487886383E-3</c:v>
                </c:pt>
                <c:pt idx="219">
                  <c:v>1.0424728487886383E-3</c:v>
                </c:pt>
                <c:pt idx="220">
                  <c:v>1.0424728487886383E-3</c:v>
                </c:pt>
                <c:pt idx="221">
                  <c:v>1.0424728487886383E-3</c:v>
                </c:pt>
                <c:pt idx="222">
                  <c:v>1.0424728487886383E-3</c:v>
                </c:pt>
                <c:pt idx="223">
                  <c:v>1.0424728487886383E-3</c:v>
                </c:pt>
                <c:pt idx="224">
                  <c:v>1.0424728487886383E-3</c:v>
                </c:pt>
                <c:pt idx="225">
                  <c:v>1.0424728487886383E-3</c:v>
                </c:pt>
                <c:pt idx="226">
                  <c:v>1.0424728487886383E-3</c:v>
                </c:pt>
                <c:pt idx="227">
                  <c:v>1.0424728487886383E-3</c:v>
                </c:pt>
                <c:pt idx="228">
                  <c:v>1.0424728487886383E-3</c:v>
                </c:pt>
                <c:pt idx="229">
                  <c:v>1.0424728487886383E-3</c:v>
                </c:pt>
                <c:pt idx="230">
                  <c:v>1.0424728487886383E-3</c:v>
                </c:pt>
                <c:pt idx="231">
                  <c:v>1.0424728487886383E-3</c:v>
                </c:pt>
                <c:pt idx="232">
                  <c:v>1.0424728487886383E-3</c:v>
                </c:pt>
                <c:pt idx="233">
                  <c:v>1.0424728487886383E-3</c:v>
                </c:pt>
                <c:pt idx="234">
                  <c:v>1.0424728487886383E-3</c:v>
                </c:pt>
                <c:pt idx="235">
                  <c:v>1.0424728487886383E-3</c:v>
                </c:pt>
                <c:pt idx="236">
                  <c:v>1.0424728487886383E-3</c:v>
                </c:pt>
                <c:pt idx="237">
                  <c:v>1.0424728487886383E-3</c:v>
                </c:pt>
                <c:pt idx="238">
                  <c:v>1.0424728487886383E-3</c:v>
                </c:pt>
                <c:pt idx="239">
                  <c:v>1.0424728487886383E-3</c:v>
                </c:pt>
                <c:pt idx="240">
                  <c:v>1.0424728487886383E-3</c:v>
                </c:pt>
                <c:pt idx="241">
                  <c:v>1.0424728487886383E-3</c:v>
                </c:pt>
                <c:pt idx="242">
                  <c:v>1.0424728487886383E-3</c:v>
                </c:pt>
                <c:pt idx="243">
                  <c:v>1.0424728487886383E-3</c:v>
                </c:pt>
                <c:pt idx="244">
                  <c:v>1.0424728487886383E-3</c:v>
                </c:pt>
                <c:pt idx="245">
                  <c:v>1.0424728487886383E-3</c:v>
                </c:pt>
                <c:pt idx="246">
                  <c:v>1.0424728487886383E-3</c:v>
                </c:pt>
                <c:pt idx="247">
                  <c:v>1.0424728487886383E-3</c:v>
                </c:pt>
                <c:pt idx="248">
                  <c:v>1.0424728487886383E-3</c:v>
                </c:pt>
                <c:pt idx="249">
                  <c:v>1.0424728487886383E-3</c:v>
                </c:pt>
                <c:pt idx="250">
                  <c:v>1.0424728487886383E-3</c:v>
                </c:pt>
                <c:pt idx="251">
                  <c:v>1.0424728487886383E-3</c:v>
                </c:pt>
                <c:pt idx="252">
                  <c:v>1.0424728487886383E-3</c:v>
                </c:pt>
                <c:pt idx="253">
                  <c:v>1.0424728487886383E-3</c:v>
                </c:pt>
                <c:pt idx="254">
                  <c:v>1.0424728487886383E-3</c:v>
                </c:pt>
                <c:pt idx="255">
                  <c:v>1.0424728487886383E-3</c:v>
                </c:pt>
                <c:pt idx="256">
                  <c:v>1.0424728487886383E-3</c:v>
                </c:pt>
                <c:pt idx="257">
                  <c:v>1.0424728487886383E-3</c:v>
                </c:pt>
                <c:pt idx="258">
                  <c:v>1.0424728487886383E-3</c:v>
                </c:pt>
                <c:pt idx="259">
                  <c:v>1.0424728487886383E-3</c:v>
                </c:pt>
                <c:pt idx="260">
                  <c:v>1.0424728487886383E-3</c:v>
                </c:pt>
                <c:pt idx="261">
                  <c:v>1.0424728487886383E-3</c:v>
                </c:pt>
                <c:pt idx="262">
                  <c:v>1.0424728487886383E-3</c:v>
                </c:pt>
                <c:pt idx="263">
                  <c:v>1.0424728487886383E-3</c:v>
                </c:pt>
                <c:pt idx="264">
                  <c:v>1.0424728487886383E-3</c:v>
                </c:pt>
                <c:pt idx="265">
                  <c:v>1.0424728487886383E-3</c:v>
                </c:pt>
                <c:pt idx="266">
                  <c:v>1.0424728487886383E-3</c:v>
                </c:pt>
                <c:pt idx="267">
                  <c:v>1.0424728487886383E-3</c:v>
                </c:pt>
                <c:pt idx="268">
                  <c:v>1.0424728487886383E-3</c:v>
                </c:pt>
                <c:pt idx="269">
                  <c:v>1.0424728487886383E-3</c:v>
                </c:pt>
                <c:pt idx="270">
                  <c:v>1.0424728487886383E-3</c:v>
                </c:pt>
                <c:pt idx="271">
                  <c:v>1.0424728487886383E-3</c:v>
                </c:pt>
                <c:pt idx="272">
                  <c:v>1.0424728487886383E-3</c:v>
                </c:pt>
                <c:pt idx="273">
                  <c:v>1.0424728487886383E-3</c:v>
                </c:pt>
                <c:pt idx="274">
                  <c:v>1.0424728487886383E-3</c:v>
                </c:pt>
                <c:pt idx="275">
                  <c:v>1.0424728487886383E-3</c:v>
                </c:pt>
                <c:pt idx="276">
                  <c:v>1.0424728487886383E-3</c:v>
                </c:pt>
                <c:pt idx="277">
                  <c:v>1.0424728487886383E-3</c:v>
                </c:pt>
                <c:pt idx="278">
                  <c:v>1.0424728487886383E-3</c:v>
                </c:pt>
                <c:pt idx="279">
                  <c:v>1.0424728487886383E-3</c:v>
                </c:pt>
                <c:pt idx="280">
                  <c:v>1.0424728487886383E-3</c:v>
                </c:pt>
                <c:pt idx="281">
                  <c:v>1.0424728487886383E-3</c:v>
                </c:pt>
                <c:pt idx="282">
                  <c:v>1.0424728487886383E-3</c:v>
                </c:pt>
                <c:pt idx="283">
                  <c:v>1.0424728487886383E-3</c:v>
                </c:pt>
                <c:pt idx="284">
                  <c:v>1.0424728487886383E-3</c:v>
                </c:pt>
                <c:pt idx="285">
                  <c:v>1.0424728487886383E-3</c:v>
                </c:pt>
                <c:pt idx="286">
                  <c:v>1.0424728487886383E-3</c:v>
                </c:pt>
                <c:pt idx="287">
                  <c:v>1.0424728487886383E-3</c:v>
                </c:pt>
                <c:pt idx="288">
                  <c:v>1.0424728487886383E-3</c:v>
                </c:pt>
                <c:pt idx="289">
                  <c:v>1.0424728487886383E-3</c:v>
                </c:pt>
                <c:pt idx="290">
                  <c:v>1.0424728487886383E-3</c:v>
                </c:pt>
                <c:pt idx="291">
                  <c:v>1.0424728487886383E-3</c:v>
                </c:pt>
                <c:pt idx="292">
                  <c:v>1.0424728487886383E-3</c:v>
                </c:pt>
                <c:pt idx="293">
                  <c:v>1.0424728487886383E-3</c:v>
                </c:pt>
                <c:pt idx="294">
                  <c:v>1.0424728487886383E-3</c:v>
                </c:pt>
                <c:pt idx="295">
                  <c:v>1.0424728487886383E-3</c:v>
                </c:pt>
                <c:pt idx="296">
                  <c:v>1.0424728487886383E-3</c:v>
                </c:pt>
                <c:pt idx="297">
                  <c:v>1.0424728487886383E-3</c:v>
                </c:pt>
                <c:pt idx="298">
                  <c:v>1.0424728487886383E-3</c:v>
                </c:pt>
                <c:pt idx="299">
                  <c:v>1.0424728487886383E-3</c:v>
                </c:pt>
                <c:pt idx="300">
                  <c:v>1.0424728487886383E-3</c:v>
                </c:pt>
                <c:pt idx="301">
                  <c:v>1.0424728487886383E-3</c:v>
                </c:pt>
                <c:pt idx="302">
                  <c:v>1.0424728487886383E-3</c:v>
                </c:pt>
                <c:pt idx="303">
                  <c:v>1.0424728487886383E-3</c:v>
                </c:pt>
                <c:pt idx="304">
                  <c:v>1.0424728487886383E-3</c:v>
                </c:pt>
                <c:pt idx="305">
                  <c:v>1.0424728487886383E-3</c:v>
                </c:pt>
                <c:pt idx="306">
                  <c:v>1.0424728487886383E-3</c:v>
                </c:pt>
                <c:pt idx="307">
                  <c:v>1.0424728487886383E-3</c:v>
                </c:pt>
                <c:pt idx="308">
                  <c:v>1.0424728487886383E-3</c:v>
                </c:pt>
                <c:pt idx="309">
                  <c:v>1.0424728487886383E-3</c:v>
                </c:pt>
                <c:pt idx="310">
                  <c:v>1.0424728487886383E-3</c:v>
                </c:pt>
                <c:pt idx="311">
                  <c:v>1.0424728487886383E-3</c:v>
                </c:pt>
                <c:pt idx="312">
                  <c:v>1.0424728487886383E-3</c:v>
                </c:pt>
                <c:pt idx="313">
                  <c:v>1.0424728487886383E-3</c:v>
                </c:pt>
                <c:pt idx="314">
                  <c:v>1.0424728487886383E-3</c:v>
                </c:pt>
                <c:pt idx="315">
                  <c:v>1.0424728487886383E-3</c:v>
                </c:pt>
                <c:pt idx="316">
                  <c:v>1.0424728487886383E-3</c:v>
                </c:pt>
                <c:pt idx="317">
                  <c:v>1.0424728487886383E-3</c:v>
                </c:pt>
                <c:pt idx="318">
                  <c:v>1.0424728487886383E-3</c:v>
                </c:pt>
                <c:pt idx="319">
                  <c:v>1.0424728487886383E-3</c:v>
                </c:pt>
                <c:pt idx="320">
                  <c:v>1.0424728487886383E-3</c:v>
                </c:pt>
                <c:pt idx="321">
                  <c:v>1.0424728487886383E-3</c:v>
                </c:pt>
                <c:pt idx="322">
                  <c:v>1.0424728487886383E-3</c:v>
                </c:pt>
                <c:pt idx="323">
                  <c:v>1.0424728487886383E-3</c:v>
                </c:pt>
                <c:pt idx="324">
                  <c:v>1.0424728487886383E-3</c:v>
                </c:pt>
                <c:pt idx="325">
                  <c:v>1.0424728487886383E-3</c:v>
                </c:pt>
                <c:pt idx="326">
                  <c:v>1.0424728487886383E-3</c:v>
                </c:pt>
                <c:pt idx="327">
                  <c:v>1.0424728487886383E-3</c:v>
                </c:pt>
                <c:pt idx="328">
                  <c:v>1.0424728487886383E-3</c:v>
                </c:pt>
                <c:pt idx="329">
                  <c:v>1.0424728487886383E-3</c:v>
                </c:pt>
                <c:pt idx="330">
                  <c:v>1.0424728487886383E-3</c:v>
                </c:pt>
                <c:pt idx="331">
                  <c:v>1.0424728487886383E-3</c:v>
                </c:pt>
                <c:pt idx="332">
                  <c:v>1.0424728487886383E-3</c:v>
                </c:pt>
                <c:pt idx="333">
                  <c:v>1.0424728487886383E-3</c:v>
                </c:pt>
                <c:pt idx="334">
                  <c:v>1.0424728487886383E-3</c:v>
                </c:pt>
                <c:pt idx="335">
                  <c:v>1.0424728487886383E-3</c:v>
                </c:pt>
                <c:pt idx="336">
                  <c:v>1.0424728487886383E-3</c:v>
                </c:pt>
                <c:pt idx="337">
                  <c:v>1.0424728487886383E-3</c:v>
                </c:pt>
                <c:pt idx="338">
                  <c:v>1.0424728487886383E-3</c:v>
                </c:pt>
                <c:pt idx="339">
                  <c:v>1.0424728487886383E-3</c:v>
                </c:pt>
                <c:pt idx="340">
                  <c:v>1.0424728487886383E-3</c:v>
                </c:pt>
                <c:pt idx="341">
                  <c:v>1.0424728487886383E-3</c:v>
                </c:pt>
                <c:pt idx="342">
                  <c:v>1.0424728487886383E-3</c:v>
                </c:pt>
                <c:pt idx="343">
                  <c:v>1.0424728487886383E-3</c:v>
                </c:pt>
                <c:pt idx="344">
                  <c:v>1.0424728487886383E-3</c:v>
                </c:pt>
                <c:pt idx="345">
                  <c:v>1.0424728487886383E-3</c:v>
                </c:pt>
                <c:pt idx="346">
                  <c:v>1.0424728487886383E-3</c:v>
                </c:pt>
                <c:pt idx="347">
                  <c:v>1.0424728487886383E-3</c:v>
                </c:pt>
                <c:pt idx="348">
                  <c:v>1.0424728487886383E-3</c:v>
                </c:pt>
                <c:pt idx="349">
                  <c:v>1.0424728487886383E-3</c:v>
                </c:pt>
                <c:pt idx="350">
                  <c:v>1.0424728487886383E-3</c:v>
                </c:pt>
                <c:pt idx="351">
                  <c:v>1.0424728487886383E-3</c:v>
                </c:pt>
                <c:pt idx="352">
                  <c:v>1.0424728487886383E-3</c:v>
                </c:pt>
                <c:pt idx="353">
                  <c:v>1.0424728487886383E-3</c:v>
                </c:pt>
                <c:pt idx="354">
                  <c:v>1.0424728487886383E-3</c:v>
                </c:pt>
                <c:pt idx="355">
                  <c:v>1.0424728487886383E-3</c:v>
                </c:pt>
                <c:pt idx="356">
                  <c:v>1.0424728487886383E-3</c:v>
                </c:pt>
                <c:pt idx="357">
                  <c:v>1.0424728487886383E-3</c:v>
                </c:pt>
                <c:pt idx="358">
                  <c:v>1.0424728487886383E-3</c:v>
                </c:pt>
                <c:pt idx="359">
                  <c:v>1.0424728487886383E-3</c:v>
                </c:pt>
                <c:pt idx="360">
                  <c:v>1.0424728487886383E-3</c:v>
                </c:pt>
                <c:pt idx="361">
                  <c:v>1.0424728487886383E-3</c:v>
                </c:pt>
                <c:pt idx="362">
                  <c:v>1.0424728487886383E-3</c:v>
                </c:pt>
                <c:pt idx="363">
                  <c:v>1.0424728487886383E-3</c:v>
                </c:pt>
                <c:pt idx="364">
                  <c:v>1.0424728487886383E-3</c:v>
                </c:pt>
                <c:pt idx="365">
                  <c:v>1.0424728487886383E-3</c:v>
                </c:pt>
                <c:pt idx="366">
                  <c:v>1.0424728487886383E-3</c:v>
                </c:pt>
                <c:pt idx="367">
                  <c:v>1.0424728487886383E-3</c:v>
                </c:pt>
                <c:pt idx="368">
                  <c:v>1.0424728487886383E-3</c:v>
                </c:pt>
                <c:pt idx="369">
                  <c:v>1.0424728487886383E-3</c:v>
                </c:pt>
                <c:pt idx="370">
                  <c:v>1.0424728487886383E-3</c:v>
                </c:pt>
                <c:pt idx="371">
                  <c:v>1.0424728487886383E-3</c:v>
                </c:pt>
                <c:pt idx="372">
                  <c:v>1.0424728487886383E-3</c:v>
                </c:pt>
                <c:pt idx="373">
                  <c:v>1.0424728487886383E-3</c:v>
                </c:pt>
                <c:pt idx="374">
                  <c:v>1.0424728487886383E-3</c:v>
                </c:pt>
                <c:pt idx="375">
                  <c:v>1.0424728487886383E-3</c:v>
                </c:pt>
                <c:pt idx="376">
                  <c:v>1.0424728487886383E-3</c:v>
                </c:pt>
                <c:pt idx="377">
                  <c:v>1.0424728487886383E-3</c:v>
                </c:pt>
                <c:pt idx="378">
                  <c:v>1.0424728487886383E-3</c:v>
                </c:pt>
                <c:pt idx="379">
                  <c:v>1.0424728487886383E-3</c:v>
                </c:pt>
                <c:pt idx="380">
                  <c:v>1.0424728487886383E-3</c:v>
                </c:pt>
                <c:pt idx="381">
                  <c:v>1.0424728487886383E-3</c:v>
                </c:pt>
                <c:pt idx="382">
                  <c:v>1.0424728487886383E-3</c:v>
                </c:pt>
                <c:pt idx="383">
                  <c:v>1.0424728487886383E-3</c:v>
                </c:pt>
                <c:pt idx="384">
                  <c:v>1.0424728487886383E-3</c:v>
                </c:pt>
                <c:pt idx="385">
                  <c:v>1.0424728487886383E-3</c:v>
                </c:pt>
                <c:pt idx="386">
                  <c:v>1.0424728487886383E-3</c:v>
                </c:pt>
                <c:pt idx="387">
                  <c:v>1.0424728487886383E-3</c:v>
                </c:pt>
                <c:pt idx="388">
                  <c:v>1.0424728487886383E-3</c:v>
                </c:pt>
                <c:pt idx="389">
                  <c:v>1.0424728487886383E-3</c:v>
                </c:pt>
                <c:pt idx="390">
                  <c:v>1.0424728487886383E-3</c:v>
                </c:pt>
                <c:pt idx="391">
                  <c:v>1.0424728487886383E-3</c:v>
                </c:pt>
                <c:pt idx="392">
                  <c:v>1.0424728487886383E-3</c:v>
                </c:pt>
                <c:pt idx="393">
                  <c:v>1.0424728487886383E-3</c:v>
                </c:pt>
                <c:pt idx="394">
                  <c:v>1.0424728487886383E-3</c:v>
                </c:pt>
                <c:pt idx="395">
                  <c:v>1.0424728487886383E-3</c:v>
                </c:pt>
                <c:pt idx="396">
                  <c:v>1.0424728487886383E-3</c:v>
                </c:pt>
                <c:pt idx="397">
                  <c:v>1.0424728487886383E-3</c:v>
                </c:pt>
                <c:pt idx="398">
                  <c:v>1.0424728487886383E-3</c:v>
                </c:pt>
                <c:pt idx="399">
                  <c:v>1.0424728487886383E-3</c:v>
                </c:pt>
                <c:pt idx="400">
                  <c:v>1.0424728487886383E-3</c:v>
                </c:pt>
                <c:pt idx="401">
                  <c:v>1.0424728487886383E-3</c:v>
                </c:pt>
                <c:pt idx="402">
                  <c:v>1.0424728487886383E-3</c:v>
                </c:pt>
                <c:pt idx="403">
                  <c:v>1.0424728487886383E-3</c:v>
                </c:pt>
                <c:pt idx="404">
                  <c:v>1.0424728487886383E-3</c:v>
                </c:pt>
                <c:pt idx="405">
                  <c:v>1.0424728487886383E-3</c:v>
                </c:pt>
                <c:pt idx="406">
                  <c:v>1.0424728487886383E-3</c:v>
                </c:pt>
                <c:pt idx="407">
                  <c:v>1.0424728487886383E-3</c:v>
                </c:pt>
                <c:pt idx="408">
                  <c:v>1.0424728487886383E-3</c:v>
                </c:pt>
                <c:pt idx="409">
                  <c:v>1.0424728487886383E-3</c:v>
                </c:pt>
                <c:pt idx="410">
                  <c:v>1.0424728487886383E-3</c:v>
                </c:pt>
                <c:pt idx="411">
                  <c:v>1.0424728487886383E-3</c:v>
                </c:pt>
                <c:pt idx="412">
                  <c:v>1.0424728487886383E-3</c:v>
                </c:pt>
                <c:pt idx="413">
                  <c:v>1.0424728487886383E-3</c:v>
                </c:pt>
                <c:pt idx="414">
                  <c:v>1.0424728487886383E-3</c:v>
                </c:pt>
                <c:pt idx="415">
                  <c:v>1.0424728487886383E-3</c:v>
                </c:pt>
                <c:pt idx="416">
                  <c:v>1.0424728487886383E-3</c:v>
                </c:pt>
                <c:pt idx="417">
                  <c:v>1.0424728487886383E-3</c:v>
                </c:pt>
                <c:pt idx="418">
                  <c:v>1.0424728487886383E-3</c:v>
                </c:pt>
                <c:pt idx="419">
                  <c:v>1.0424728487886383E-3</c:v>
                </c:pt>
                <c:pt idx="420">
                  <c:v>1.0424728487886383E-3</c:v>
                </c:pt>
                <c:pt idx="421">
                  <c:v>1.0424728487886383E-3</c:v>
                </c:pt>
                <c:pt idx="422">
                  <c:v>1.0424728487886383E-3</c:v>
                </c:pt>
                <c:pt idx="423">
                  <c:v>1.0424728487886383E-3</c:v>
                </c:pt>
                <c:pt idx="424">
                  <c:v>1.0424728487886383E-3</c:v>
                </c:pt>
                <c:pt idx="425">
                  <c:v>1.0424728487886383E-3</c:v>
                </c:pt>
                <c:pt idx="426">
                  <c:v>1.0424728487886383E-3</c:v>
                </c:pt>
                <c:pt idx="427">
                  <c:v>1.0424728487886383E-3</c:v>
                </c:pt>
                <c:pt idx="428">
                  <c:v>1.0424728487886383E-3</c:v>
                </c:pt>
                <c:pt idx="429">
                  <c:v>1.0424728487886383E-3</c:v>
                </c:pt>
                <c:pt idx="430">
                  <c:v>1.0424728487886383E-3</c:v>
                </c:pt>
                <c:pt idx="431">
                  <c:v>1.0424728487886383E-3</c:v>
                </c:pt>
                <c:pt idx="432">
                  <c:v>1.0424728487886383E-3</c:v>
                </c:pt>
                <c:pt idx="433">
                  <c:v>1.0424728487886383E-3</c:v>
                </c:pt>
                <c:pt idx="434">
                  <c:v>1.0424728487886383E-3</c:v>
                </c:pt>
                <c:pt idx="435">
                  <c:v>1.0424728487886383E-3</c:v>
                </c:pt>
                <c:pt idx="436">
                  <c:v>1.0424728487886383E-3</c:v>
                </c:pt>
                <c:pt idx="437">
                  <c:v>1.0424728487886383E-3</c:v>
                </c:pt>
                <c:pt idx="438">
                  <c:v>1.0424728487886383E-3</c:v>
                </c:pt>
                <c:pt idx="439">
                  <c:v>1.0424728487886383E-3</c:v>
                </c:pt>
                <c:pt idx="440">
                  <c:v>1.0424728487886383E-3</c:v>
                </c:pt>
                <c:pt idx="441">
                  <c:v>1.0424728487886383E-3</c:v>
                </c:pt>
                <c:pt idx="442">
                  <c:v>1.0424728487886383E-3</c:v>
                </c:pt>
                <c:pt idx="443">
                  <c:v>1.0424728487886383E-3</c:v>
                </c:pt>
                <c:pt idx="444">
                  <c:v>1.0424728487886383E-3</c:v>
                </c:pt>
                <c:pt idx="445">
                  <c:v>1.0424728487886383E-3</c:v>
                </c:pt>
                <c:pt idx="446">
                  <c:v>1.0424728487886383E-3</c:v>
                </c:pt>
                <c:pt idx="447">
                  <c:v>1.0424728487886383E-3</c:v>
                </c:pt>
                <c:pt idx="448">
                  <c:v>1.0424728487886383E-3</c:v>
                </c:pt>
                <c:pt idx="449">
                  <c:v>1.0424728487886383E-3</c:v>
                </c:pt>
                <c:pt idx="450">
                  <c:v>1.0424728487886383E-3</c:v>
                </c:pt>
                <c:pt idx="451">
                  <c:v>1.0424728487886383E-3</c:v>
                </c:pt>
                <c:pt idx="452">
                  <c:v>1.0424728487886383E-3</c:v>
                </c:pt>
                <c:pt idx="453">
                  <c:v>1.0424728487886383E-3</c:v>
                </c:pt>
                <c:pt idx="454">
                  <c:v>1.0424728487886383E-3</c:v>
                </c:pt>
                <c:pt idx="455">
                  <c:v>1.0424728487886383E-3</c:v>
                </c:pt>
                <c:pt idx="456">
                  <c:v>1.0424728487886383E-3</c:v>
                </c:pt>
                <c:pt idx="457">
                  <c:v>1.0424728487886383E-3</c:v>
                </c:pt>
                <c:pt idx="458">
                  <c:v>1.0424728487886383E-3</c:v>
                </c:pt>
                <c:pt idx="459">
                  <c:v>0.47753447284878864</c:v>
                </c:pt>
              </c:numCache>
            </c:numRef>
          </c:xVal>
          <c:yVal>
            <c:numRef>
              <c:f>Messdaten!$O$15:$O$2000</c:f>
              <c:numCache>
                <c:formatCode>0.000</c:formatCode>
                <c:ptCount val="1986"/>
                <c:pt idx="0">
                  <c:v>97.679298245614021</c:v>
                </c:pt>
                <c:pt idx="1">
                  <c:v>97.679298245614021</c:v>
                </c:pt>
                <c:pt idx="2">
                  <c:v>97.679298245614021</c:v>
                </c:pt>
                <c:pt idx="3">
                  <c:v>97.679298245614021</c:v>
                </c:pt>
                <c:pt idx="4">
                  <c:v>97.679298245614021</c:v>
                </c:pt>
                <c:pt idx="5">
                  <c:v>97.679298245614021</c:v>
                </c:pt>
                <c:pt idx="6">
                  <c:v>97.679298245614021</c:v>
                </c:pt>
                <c:pt idx="7">
                  <c:v>97.679298245614021</c:v>
                </c:pt>
                <c:pt idx="8">
                  <c:v>97.679298245614021</c:v>
                </c:pt>
                <c:pt idx="9">
                  <c:v>97.679298245614021</c:v>
                </c:pt>
                <c:pt idx="10">
                  <c:v>97.679298245614021</c:v>
                </c:pt>
                <c:pt idx="11">
                  <c:v>97.679298245614021</c:v>
                </c:pt>
                <c:pt idx="12">
                  <c:v>97.679298245614021</c:v>
                </c:pt>
                <c:pt idx="13">
                  <c:v>97.679298245614021</c:v>
                </c:pt>
                <c:pt idx="14">
                  <c:v>97.679298245614021</c:v>
                </c:pt>
                <c:pt idx="15">
                  <c:v>97.679298245614021</c:v>
                </c:pt>
                <c:pt idx="16">
                  <c:v>97.679298245614021</c:v>
                </c:pt>
                <c:pt idx="17">
                  <c:v>97.679298245614021</c:v>
                </c:pt>
                <c:pt idx="18">
                  <c:v>97.679298245614021</c:v>
                </c:pt>
                <c:pt idx="19">
                  <c:v>97.679298245614021</c:v>
                </c:pt>
                <c:pt idx="20">
                  <c:v>97.679298245614021</c:v>
                </c:pt>
                <c:pt idx="21">
                  <c:v>97.679298245614021</c:v>
                </c:pt>
                <c:pt idx="22">
                  <c:v>97.679298245614021</c:v>
                </c:pt>
                <c:pt idx="23">
                  <c:v>97.679298245614021</c:v>
                </c:pt>
                <c:pt idx="24">
                  <c:v>97.679298245614021</c:v>
                </c:pt>
                <c:pt idx="25">
                  <c:v>97.679298245614021</c:v>
                </c:pt>
                <c:pt idx="26">
                  <c:v>97.679298245614021</c:v>
                </c:pt>
                <c:pt idx="27">
                  <c:v>97.679298245614021</c:v>
                </c:pt>
                <c:pt idx="28">
                  <c:v>97.679298245614021</c:v>
                </c:pt>
                <c:pt idx="29">
                  <c:v>97.679298245614021</c:v>
                </c:pt>
                <c:pt idx="30">
                  <c:v>97.679298245614021</c:v>
                </c:pt>
                <c:pt idx="31">
                  <c:v>97.679298245614021</c:v>
                </c:pt>
                <c:pt idx="32">
                  <c:v>97.679298245614021</c:v>
                </c:pt>
                <c:pt idx="33">
                  <c:v>97.679298245614021</c:v>
                </c:pt>
                <c:pt idx="34">
                  <c:v>97.679298245614021</c:v>
                </c:pt>
                <c:pt idx="35">
                  <c:v>97.679298245614021</c:v>
                </c:pt>
                <c:pt idx="36">
                  <c:v>97.679298245614021</c:v>
                </c:pt>
                <c:pt idx="37">
                  <c:v>97.679298245614021</c:v>
                </c:pt>
                <c:pt idx="38">
                  <c:v>97.679298245614021</c:v>
                </c:pt>
                <c:pt idx="39">
                  <c:v>97.679298245614021</c:v>
                </c:pt>
                <c:pt idx="40">
                  <c:v>97.679298245614021</c:v>
                </c:pt>
                <c:pt idx="41">
                  <c:v>97.679298245614021</c:v>
                </c:pt>
                <c:pt idx="42">
                  <c:v>97.679298245614021</c:v>
                </c:pt>
                <c:pt idx="43">
                  <c:v>97.679298245614021</c:v>
                </c:pt>
                <c:pt idx="44">
                  <c:v>97.679298245614021</c:v>
                </c:pt>
                <c:pt idx="45">
                  <c:v>97.679298245614021</c:v>
                </c:pt>
                <c:pt idx="46">
                  <c:v>97.679298245614021</c:v>
                </c:pt>
                <c:pt idx="47">
                  <c:v>97.679298245614021</c:v>
                </c:pt>
                <c:pt idx="48">
                  <c:v>97.679298245614021</c:v>
                </c:pt>
                <c:pt idx="49">
                  <c:v>97.679298245614021</c:v>
                </c:pt>
                <c:pt idx="50">
                  <c:v>97.679298245614021</c:v>
                </c:pt>
                <c:pt idx="51">
                  <c:v>97.679298245614021</c:v>
                </c:pt>
                <c:pt idx="52">
                  <c:v>97.679298245614021</c:v>
                </c:pt>
                <c:pt idx="53">
                  <c:v>97.679298245614021</c:v>
                </c:pt>
                <c:pt idx="54">
                  <c:v>97.679298245614021</c:v>
                </c:pt>
                <c:pt idx="55">
                  <c:v>97.679298245614021</c:v>
                </c:pt>
                <c:pt idx="56">
                  <c:v>97.679298245614021</c:v>
                </c:pt>
                <c:pt idx="57">
                  <c:v>97.679298245614021</c:v>
                </c:pt>
                <c:pt idx="58">
                  <c:v>97.679298245614021</c:v>
                </c:pt>
                <c:pt idx="59">
                  <c:v>97.679298245614021</c:v>
                </c:pt>
                <c:pt idx="60">
                  <c:v>97.679298245614021</c:v>
                </c:pt>
                <c:pt idx="61">
                  <c:v>97.679298245614021</c:v>
                </c:pt>
                <c:pt idx="62">
                  <c:v>97.679298245614021</c:v>
                </c:pt>
                <c:pt idx="63">
                  <c:v>97.679298245614021</c:v>
                </c:pt>
                <c:pt idx="64">
                  <c:v>97.679298245614021</c:v>
                </c:pt>
                <c:pt idx="65">
                  <c:v>97.679298245614021</c:v>
                </c:pt>
                <c:pt idx="66">
                  <c:v>97.679298245614021</c:v>
                </c:pt>
                <c:pt idx="67">
                  <c:v>97.679298245614021</c:v>
                </c:pt>
                <c:pt idx="68">
                  <c:v>97.679298245614021</c:v>
                </c:pt>
                <c:pt idx="69">
                  <c:v>97.679298245614021</c:v>
                </c:pt>
                <c:pt idx="70">
                  <c:v>97.679298245614021</c:v>
                </c:pt>
                <c:pt idx="71">
                  <c:v>97.679298245614021</c:v>
                </c:pt>
                <c:pt idx="72">
                  <c:v>97.679298245614021</c:v>
                </c:pt>
                <c:pt idx="73">
                  <c:v>97.679298245614021</c:v>
                </c:pt>
                <c:pt idx="74">
                  <c:v>97.679298245614021</c:v>
                </c:pt>
                <c:pt idx="75">
                  <c:v>97.679298245614021</c:v>
                </c:pt>
                <c:pt idx="76">
                  <c:v>97.679298245614021</c:v>
                </c:pt>
                <c:pt idx="77">
                  <c:v>97.679298245614021</c:v>
                </c:pt>
                <c:pt idx="78">
                  <c:v>97.679298245614021</c:v>
                </c:pt>
                <c:pt idx="79">
                  <c:v>97.679298245614021</c:v>
                </c:pt>
                <c:pt idx="80">
                  <c:v>97.679298245614021</c:v>
                </c:pt>
                <c:pt idx="81">
                  <c:v>97.679298245614021</c:v>
                </c:pt>
                <c:pt idx="82">
                  <c:v>97.679298245614021</c:v>
                </c:pt>
                <c:pt idx="83">
                  <c:v>97.679298245614021</c:v>
                </c:pt>
                <c:pt idx="84">
                  <c:v>97.679298245614021</c:v>
                </c:pt>
                <c:pt idx="85">
                  <c:v>97.679298245614021</c:v>
                </c:pt>
                <c:pt idx="86">
                  <c:v>97.679298245614021</c:v>
                </c:pt>
                <c:pt idx="87">
                  <c:v>97.679298245614021</c:v>
                </c:pt>
                <c:pt idx="88">
                  <c:v>97.679298245614021</c:v>
                </c:pt>
                <c:pt idx="89">
                  <c:v>97.679298245614021</c:v>
                </c:pt>
                <c:pt idx="90">
                  <c:v>97.679298245614021</c:v>
                </c:pt>
                <c:pt idx="91">
                  <c:v>97.679298245614021</c:v>
                </c:pt>
                <c:pt idx="92">
                  <c:v>97.679298245614021</c:v>
                </c:pt>
                <c:pt idx="93">
                  <c:v>97.679298245614021</c:v>
                </c:pt>
                <c:pt idx="94">
                  <c:v>97.679298245614021</c:v>
                </c:pt>
                <c:pt idx="95">
                  <c:v>97.679298245614021</c:v>
                </c:pt>
                <c:pt idx="96">
                  <c:v>97.679298245614021</c:v>
                </c:pt>
                <c:pt idx="97">
                  <c:v>97.679298245614021</c:v>
                </c:pt>
                <c:pt idx="98">
                  <c:v>97.679298245614021</c:v>
                </c:pt>
                <c:pt idx="99">
                  <c:v>97.679298245614021</c:v>
                </c:pt>
                <c:pt idx="100">
                  <c:v>97.679298245614021</c:v>
                </c:pt>
                <c:pt idx="101">
                  <c:v>97.679298245614021</c:v>
                </c:pt>
                <c:pt idx="102">
                  <c:v>97.679298245614021</c:v>
                </c:pt>
                <c:pt idx="103">
                  <c:v>97.679298245614021</c:v>
                </c:pt>
                <c:pt idx="104">
                  <c:v>97.679298245614021</c:v>
                </c:pt>
                <c:pt idx="105">
                  <c:v>97.679298245614021</c:v>
                </c:pt>
                <c:pt idx="106">
                  <c:v>97.679298245614021</c:v>
                </c:pt>
                <c:pt idx="107">
                  <c:v>97.679298245614021</c:v>
                </c:pt>
                <c:pt idx="108">
                  <c:v>97.679298245614021</c:v>
                </c:pt>
                <c:pt idx="109">
                  <c:v>97.679298245614021</c:v>
                </c:pt>
                <c:pt idx="110">
                  <c:v>97.679298245614021</c:v>
                </c:pt>
                <c:pt idx="111">
                  <c:v>97.679298245614021</c:v>
                </c:pt>
                <c:pt idx="112">
                  <c:v>97.679298245614021</c:v>
                </c:pt>
                <c:pt idx="113">
                  <c:v>97.679298245614021</c:v>
                </c:pt>
                <c:pt idx="114">
                  <c:v>97.679298245614021</c:v>
                </c:pt>
                <c:pt idx="115">
                  <c:v>97.679298245614021</c:v>
                </c:pt>
                <c:pt idx="116">
                  <c:v>97.679298245614021</c:v>
                </c:pt>
                <c:pt idx="117">
                  <c:v>97.679298245614021</c:v>
                </c:pt>
                <c:pt idx="118">
                  <c:v>97.679298245614021</c:v>
                </c:pt>
                <c:pt idx="119">
                  <c:v>97.679298245614021</c:v>
                </c:pt>
                <c:pt idx="120">
                  <c:v>97.679298245614021</c:v>
                </c:pt>
                <c:pt idx="121">
                  <c:v>97.679298245614021</c:v>
                </c:pt>
                <c:pt idx="122">
                  <c:v>97.679298245614021</c:v>
                </c:pt>
                <c:pt idx="123">
                  <c:v>97.679298245614021</c:v>
                </c:pt>
                <c:pt idx="124">
                  <c:v>97.679298245614021</c:v>
                </c:pt>
                <c:pt idx="125">
                  <c:v>97.679298245614021</c:v>
                </c:pt>
                <c:pt idx="126">
                  <c:v>97.679298245614021</c:v>
                </c:pt>
                <c:pt idx="127">
                  <c:v>97.679298245614021</c:v>
                </c:pt>
                <c:pt idx="128">
                  <c:v>97.679298245614021</c:v>
                </c:pt>
                <c:pt idx="129">
                  <c:v>97.679298245614021</c:v>
                </c:pt>
                <c:pt idx="130">
                  <c:v>97.679298245614021</c:v>
                </c:pt>
                <c:pt idx="131">
                  <c:v>97.679298245614021</c:v>
                </c:pt>
                <c:pt idx="132">
                  <c:v>97.679298245614021</c:v>
                </c:pt>
                <c:pt idx="133">
                  <c:v>97.679298245614021</c:v>
                </c:pt>
                <c:pt idx="134">
                  <c:v>97.679298245614021</c:v>
                </c:pt>
                <c:pt idx="135">
                  <c:v>97.679298245614021</c:v>
                </c:pt>
                <c:pt idx="136">
                  <c:v>97.679298245614021</c:v>
                </c:pt>
                <c:pt idx="137">
                  <c:v>97.679298245614021</c:v>
                </c:pt>
                <c:pt idx="138">
                  <c:v>97.679298245614021</c:v>
                </c:pt>
                <c:pt idx="139">
                  <c:v>97.679298245614021</c:v>
                </c:pt>
                <c:pt idx="140">
                  <c:v>97.679298245614021</c:v>
                </c:pt>
                <c:pt idx="141">
                  <c:v>97.679298245614021</c:v>
                </c:pt>
                <c:pt idx="142">
                  <c:v>97.679298245614021</c:v>
                </c:pt>
                <c:pt idx="143">
                  <c:v>97.679298245614021</c:v>
                </c:pt>
                <c:pt idx="144">
                  <c:v>97.679298245614021</c:v>
                </c:pt>
                <c:pt idx="145">
                  <c:v>97.679298245614021</c:v>
                </c:pt>
                <c:pt idx="146">
                  <c:v>97.679298245614021</c:v>
                </c:pt>
                <c:pt idx="147">
                  <c:v>97.679298245614021</c:v>
                </c:pt>
                <c:pt idx="148">
                  <c:v>97.679298245614021</c:v>
                </c:pt>
                <c:pt idx="149">
                  <c:v>97.679298245614021</c:v>
                </c:pt>
                <c:pt idx="150">
                  <c:v>97.679298245614021</c:v>
                </c:pt>
                <c:pt idx="151">
                  <c:v>97.679298245614021</c:v>
                </c:pt>
                <c:pt idx="152">
                  <c:v>97.679298245614021</c:v>
                </c:pt>
                <c:pt idx="153">
                  <c:v>97.679298245614021</c:v>
                </c:pt>
                <c:pt idx="154">
                  <c:v>97.679298245614021</c:v>
                </c:pt>
                <c:pt idx="155">
                  <c:v>97.679298245614021</c:v>
                </c:pt>
                <c:pt idx="156">
                  <c:v>97.679298245614021</c:v>
                </c:pt>
                <c:pt idx="157">
                  <c:v>97.679298245614021</c:v>
                </c:pt>
                <c:pt idx="158">
                  <c:v>97.679298245614021</c:v>
                </c:pt>
                <c:pt idx="159">
                  <c:v>97.679298245614021</c:v>
                </c:pt>
                <c:pt idx="160">
                  <c:v>97.679298245614021</c:v>
                </c:pt>
                <c:pt idx="161">
                  <c:v>97.679298245614021</c:v>
                </c:pt>
                <c:pt idx="162">
                  <c:v>97.679298245614021</c:v>
                </c:pt>
                <c:pt idx="163">
                  <c:v>97.679298245614021</c:v>
                </c:pt>
                <c:pt idx="164">
                  <c:v>97.679298245614021</c:v>
                </c:pt>
                <c:pt idx="165">
                  <c:v>97.679298245614021</c:v>
                </c:pt>
                <c:pt idx="166">
                  <c:v>97.679298245614021</c:v>
                </c:pt>
                <c:pt idx="167">
                  <c:v>97.679298245614021</c:v>
                </c:pt>
                <c:pt idx="168">
                  <c:v>97.679298245614021</c:v>
                </c:pt>
                <c:pt idx="169">
                  <c:v>97.679298245614021</c:v>
                </c:pt>
                <c:pt idx="170">
                  <c:v>97.679298245614021</c:v>
                </c:pt>
                <c:pt idx="171">
                  <c:v>97.679298245614021</c:v>
                </c:pt>
                <c:pt idx="172">
                  <c:v>97.679298245614021</c:v>
                </c:pt>
                <c:pt idx="173">
                  <c:v>97.679298245614021</c:v>
                </c:pt>
                <c:pt idx="174">
                  <c:v>97.679298245614021</c:v>
                </c:pt>
                <c:pt idx="175">
                  <c:v>97.679298245614021</c:v>
                </c:pt>
                <c:pt idx="176">
                  <c:v>97.679298245614021</c:v>
                </c:pt>
                <c:pt idx="177">
                  <c:v>97.679298245614021</c:v>
                </c:pt>
                <c:pt idx="178">
                  <c:v>97.679298245614021</c:v>
                </c:pt>
                <c:pt idx="179">
                  <c:v>97.679298245614021</c:v>
                </c:pt>
                <c:pt idx="180">
                  <c:v>97.679298245614021</c:v>
                </c:pt>
                <c:pt idx="181">
                  <c:v>97.679298245614021</c:v>
                </c:pt>
                <c:pt idx="182">
                  <c:v>97.679298245614021</c:v>
                </c:pt>
                <c:pt idx="183">
                  <c:v>97.679298245614021</c:v>
                </c:pt>
                <c:pt idx="184">
                  <c:v>97.679298245614021</c:v>
                </c:pt>
                <c:pt idx="185">
                  <c:v>97.679298245614021</c:v>
                </c:pt>
                <c:pt idx="186">
                  <c:v>97.679298245614021</c:v>
                </c:pt>
                <c:pt idx="187">
                  <c:v>97.679298245614021</c:v>
                </c:pt>
                <c:pt idx="188">
                  <c:v>97.679298245614021</c:v>
                </c:pt>
                <c:pt idx="189">
                  <c:v>97.679298245614021</c:v>
                </c:pt>
                <c:pt idx="190">
                  <c:v>97.679298245614021</c:v>
                </c:pt>
                <c:pt idx="191">
                  <c:v>97.679298245614021</c:v>
                </c:pt>
                <c:pt idx="192">
                  <c:v>97.679298245614021</c:v>
                </c:pt>
                <c:pt idx="193">
                  <c:v>97.679298245614021</c:v>
                </c:pt>
                <c:pt idx="194">
                  <c:v>97.679298245614021</c:v>
                </c:pt>
                <c:pt idx="195">
                  <c:v>97.679298245614021</c:v>
                </c:pt>
                <c:pt idx="196">
                  <c:v>97.679298245614021</c:v>
                </c:pt>
                <c:pt idx="197">
                  <c:v>97.679298245614021</c:v>
                </c:pt>
                <c:pt idx="198">
                  <c:v>97.679298245614021</c:v>
                </c:pt>
                <c:pt idx="199">
                  <c:v>97.679298245614021</c:v>
                </c:pt>
                <c:pt idx="200">
                  <c:v>97.679298245614021</c:v>
                </c:pt>
                <c:pt idx="201">
                  <c:v>97.679298245614021</c:v>
                </c:pt>
                <c:pt idx="202">
                  <c:v>97.679298245614021</c:v>
                </c:pt>
                <c:pt idx="203">
                  <c:v>97.679298245614021</c:v>
                </c:pt>
                <c:pt idx="204">
                  <c:v>97.679298245614021</c:v>
                </c:pt>
                <c:pt idx="205">
                  <c:v>97.679298245614021</c:v>
                </c:pt>
                <c:pt idx="206">
                  <c:v>97.679298245614021</c:v>
                </c:pt>
                <c:pt idx="207">
                  <c:v>97.679298245614021</c:v>
                </c:pt>
                <c:pt idx="208">
                  <c:v>97.679298245614021</c:v>
                </c:pt>
                <c:pt idx="209">
                  <c:v>97.679298245614021</c:v>
                </c:pt>
                <c:pt idx="210">
                  <c:v>97.679298245614021</c:v>
                </c:pt>
                <c:pt idx="211">
                  <c:v>97.679298245614021</c:v>
                </c:pt>
                <c:pt idx="212">
                  <c:v>97.679298245614021</c:v>
                </c:pt>
                <c:pt idx="213">
                  <c:v>97.679298245614021</c:v>
                </c:pt>
                <c:pt idx="214">
                  <c:v>97.679298245614021</c:v>
                </c:pt>
                <c:pt idx="215">
                  <c:v>97.679298245614021</c:v>
                </c:pt>
                <c:pt idx="216">
                  <c:v>97.679298245614021</c:v>
                </c:pt>
                <c:pt idx="217">
                  <c:v>97.679298245614021</c:v>
                </c:pt>
                <c:pt idx="218">
                  <c:v>97.679298245614021</c:v>
                </c:pt>
                <c:pt idx="219">
                  <c:v>97.679298245614021</c:v>
                </c:pt>
                <c:pt idx="220">
                  <c:v>97.679298245614021</c:v>
                </c:pt>
                <c:pt idx="221">
                  <c:v>97.679298245614021</c:v>
                </c:pt>
                <c:pt idx="222">
                  <c:v>97.679298245614021</c:v>
                </c:pt>
                <c:pt idx="223">
                  <c:v>97.679298245614021</c:v>
                </c:pt>
                <c:pt idx="224">
                  <c:v>97.679298245614021</c:v>
                </c:pt>
                <c:pt idx="225">
                  <c:v>97.679298245614021</c:v>
                </c:pt>
                <c:pt idx="226">
                  <c:v>97.679298245614021</c:v>
                </c:pt>
                <c:pt idx="227">
                  <c:v>97.679298245614021</c:v>
                </c:pt>
                <c:pt idx="228">
                  <c:v>97.679298245614021</c:v>
                </c:pt>
                <c:pt idx="229">
                  <c:v>97.679298245614021</c:v>
                </c:pt>
                <c:pt idx="230">
                  <c:v>97.679298245614021</c:v>
                </c:pt>
                <c:pt idx="231">
                  <c:v>97.679298245614021</c:v>
                </c:pt>
                <c:pt idx="232">
                  <c:v>97.679298245614021</c:v>
                </c:pt>
                <c:pt idx="233">
                  <c:v>97.679298245614021</c:v>
                </c:pt>
                <c:pt idx="234">
                  <c:v>97.679298245614021</c:v>
                </c:pt>
                <c:pt idx="235">
                  <c:v>97.679298245614021</c:v>
                </c:pt>
                <c:pt idx="236">
                  <c:v>97.679298245614021</c:v>
                </c:pt>
                <c:pt idx="237">
                  <c:v>97.679298245614021</c:v>
                </c:pt>
                <c:pt idx="238">
                  <c:v>97.679298245614021</c:v>
                </c:pt>
                <c:pt idx="239">
                  <c:v>97.679298245614021</c:v>
                </c:pt>
                <c:pt idx="240">
                  <c:v>97.679298245614021</c:v>
                </c:pt>
                <c:pt idx="241">
                  <c:v>97.679298245614021</c:v>
                </c:pt>
                <c:pt idx="242">
                  <c:v>97.679298245614021</c:v>
                </c:pt>
                <c:pt idx="243">
                  <c:v>97.679298245614021</c:v>
                </c:pt>
                <c:pt idx="244">
                  <c:v>97.679298245614021</c:v>
                </c:pt>
                <c:pt idx="245">
                  <c:v>97.679298245614021</c:v>
                </c:pt>
                <c:pt idx="246">
                  <c:v>97.679298245614021</c:v>
                </c:pt>
                <c:pt idx="247">
                  <c:v>97.679298245614021</c:v>
                </c:pt>
                <c:pt idx="248">
                  <c:v>97.679298245614021</c:v>
                </c:pt>
                <c:pt idx="249">
                  <c:v>97.679298245614021</c:v>
                </c:pt>
                <c:pt idx="250">
                  <c:v>97.679298245614021</c:v>
                </c:pt>
                <c:pt idx="251">
                  <c:v>97.679298245614021</c:v>
                </c:pt>
                <c:pt idx="252">
                  <c:v>97.679298245614021</c:v>
                </c:pt>
                <c:pt idx="253">
                  <c:v>97.679298245614021</c:v>
                </c:pt>
                <c:pt idx="254">
                  <c:v>97.679298245614021</c:v>
                </c:pt>
                <c:pt idx="255">
                  <c:v>97.679298245614021</c:v>
                </c:pt>
                <c:pt idx="256">
                  <c:v>97.679298245614021</c:v>
                </c:pt>
                <c:pt idx="257">
                  <c:v>97.679298245614021</c:v>
                </c:pt>
                <c:pt idx="258">
                  <c:v>97.679298245614021</c:v>
                </c:pt>
                <c:pt idx="259">
                  <c:v>97.679298245614021</c:v>
                </c:pt>
                <c:pt idx="260">
                  <c:v>97.679298245614021</c:v>
                </c:pt>
                <c:pt idx="261">
                  <c:v>97.679298245614021</c:v>
                </c:pt>
                <c:pt idx="262">
                  <c:v>97.679298245614021</c:v>
                </c:pt>
                <c:pt idx="263">
                  <c:v>97.679298245614021</c:v>
                </c:pt>
                <c:pt idx="264">
                  <c:v>97.679298245614021</c:v>
                </c:pt>
                <c:pt idx="265">
                  <c:v>97.679298245614021</c:v>
                </c:pt>
                <c:pt idx="266">
                  <c:v>97.679298245614021</c:v>
                </c:pt>
                <c:pt idx="267">
                  <c:v>97.679298245614021</c:v>
                </c:pt>
                <c:pt idx="268">
                  <c:v>97.679298245614021</c:v>
                </c:pt>
                <c:pt idx="269">
                  <c:v>97.679298245614021</c:v>
                </c:pt>
                <c:pt idx="270">
                  <c:v>97.679298245614021</c:v>
                </c:pt>
                <c:pt idx="271">
                  <c:v>97.679298245614021</c:v>
                </c:pt>
                <c:pt idx="272">
                  <c:v>97.679298245614021</c:v>
                </c:pt>
                <c:pt idx="273">
                  <c:v>97.679298245614021</c:v>
                </c:pt>
                <c:pt idx="274">
                  <c:v>97.679298245614021</c:v>
                </c:pt>
                <c:pt idx="275">
                  <c:v>97.679298245614021</c:v>
                </c:pt>
                <c:pt idx="276">
                  <c:v>97.679298245614021</c:v>
                </c:pt>
                <c:pt idx="277">
                  <c:v>97.679298245614021</c:v>
                </c:pt>
                <c:pt idx="278">
                  <c:v>97.679298245614021</c:v>
                </c:pt>
                <c:pt idx="279">
                  <c:v>97.679298245614021</c:v>
                </c:pt>
                <c:pt idx="280">
                  <c:v>97.679298245614021</c:v>
                </c:pt>
                <c:pt idx="281">
                  <c:v>97.679298245614021</c:v>
                </c:pt>
                <c:pt idx="282">
                  <c:v>97.679298245614021</c:v>
                </c:pt>
                <c:pt idx="283">
                  <c:v>97.679298245614021</c:v>
                </c:pt>
                <c:pt idx="284">
                  <c:v>97.679298245614021</c:v>
                </c:pt>
                <c:pt idx="285">
                  <c:v>97.679298245614021</c:v>
                </c:pt>
                <c:pt idx="286">
                  <c:v>97.679298245614021</c:v>
                </c:pt>
                <c:pt idx="287">
                  <c:v>97.679298245614021</c:v>
                </c:pt>
                <c:pt idx="288">
                  <c:v>97.679298245614021</c:v>
                </c:pt>
                <c:pt idx="289">
                  <c:v>97.679298245614021</c:v>
                </c:pt>
                <c:pt idx="290">
                  <c:v>97.679298245614021</c:v>
                </c:pt>
                <c:pt idx="291">
                  <c:v>97.679298245614021</c:v>
                </c:pt>
                <c:pt idx="292">
                  <c:v>97.679298245614021</c:v>
                </c:pt>
                <c:pt idx="293">
                  <c:v>97.679298245614021</c:v>
                </c:pt>
                <c:pt idx="294">
                  <c:v>97.679298245614021</c:v>
                </c:pt>
                <c:pt idx="295">
                  <c:v>97.679298245614021</c:v>
                </c:pt>
                <c:pt idx="296">
                  <c:v>97.679298245614021</c:v>
                </c:pt>
                <c:pt idx="297">
                  <c:v>97.679298245614021</c:v>
                </c:pt>
                <c:pt idx="298">
                  <c:v>97.679298245614021</c:v>
                </c:pt>
                <c:pt idx="299">
                  <c:v>97.679298245614021</c:v>
                </c:pt>
                <c:pt idx="300">
                  <c:v>97.679298245614021</c:v>
                </c:pt>
                <c:pt idx="301">
                  <c:v>97.679298245614021</c:v>
                </c:pt>
                <c:pt idx="302">
                  <c:v>97.679298245614021</c:v>
                </c:pt>
                <c:pt idx="303">
                  <c:v>97.679298245614021</c:v>
                </c:pt>
                <c:pt idx="304">
                  <c:v>97.679298245614021</c:v>
                </c:pt>
                <c:pt idx="305">
                  <c:v>97.679298245614021</c:v>
                </c:pt>
                <c:pt idx="306">
                  <c:v>97.679298245614021</c:v>
                </c:pt>
                <c:pt idx="307">
                  <c:v>97.679298245614021</c:v>
                </c:pt>
                <c:pt idx="308">
                  <c:v>97.679298245614021</c:v>
                </c:pt>
                <c:pt idx="309">
                  <c:v>97.679298245614021</c:v>
                </c:pt>
                <c:pt idx="310">
                  <c:v>97.679298245614021</c:v>
                </c:pt>
                <c:pt idx="311">
                  <c:v>97.679298245614021</c:v>
                </c:pt>
                <c:pt idx="312">
                  <c:v>97.679298245614021</c:v>
                </c:pt>
                <c:pt idx="313">
                  <c:v>97.679298245614021</c:v>
                </c:pt>
                <c:pt idx="314">
                  <c:v>97.679298245614021</c:v>
                </c:pt>
                <c:pt idx="315">
                  <c:v>97.679298245614021</c:v>
                </c:pt>
                <c:pt idx="316">
                  <c:v>97.679298245614021</c:v>
                </c:pt>
                <c:pt idx="317">
                  <c:v>97.679298245614021</c:v>
                </c:pt>
                <c:pt idx="318">
                  <c:v>97.679298245614021</c:v>
                </c:pt>
                <c:pt idx="319">
                  <c:v>97.679298245614021</c:v>
                </c:pt>
                <c:pt idx="320">
                  <c:v>97.679298245614021</c:v>
                </c:pt>
                <c:pt idx="321">
                  <c:v>97.679298245614021</c:v>
                </c:pt>
                <c:pt idx="322">
                  <c:v>97.679298245614021</c:v>
                </c:pt>
                <c:pt idx="323">
                  <c:v>97.679298245614021</c:v>
                </c:pt>
                <c:pt idx="324">
                  <c:v>97.679298245614021</c:v>
                </c:pt>
                <c:pt idx="325">
                  <c:v>97.679298245614021</c:v>
                </c:pt>
                <c:pt idx="326">
                  <c:v>97.679298245614021</c:v>
                </c:pt>
                <c:pt idx="327">
                  <c:v>97.679298245614021</c:v>
                </c:pt>
                <c:pt idx="328">
                  <c:v>97.679298245614021</c:v>
                </c:pt>
                <c:pt idx="329">
                  <c:v>97.679298245614021</c:v>
                </c:pt>
                <c:pt idx="330">
                  <c:v>97.679298245614021</c:v>
                </c:pt>
                <c:pt idx="331">
                  <c:v>97.679298245614021</c:v>
                </c:pt>
                <c:pt idx="332">
                  <c:v>97.679298245614021</c:v>
                </c:pt>
                <c:pt idx="333">
                  <c:v>97.679298245614021</c:v>
                </c:pt>
                <c:pt idx="334">
                  <c:v>97.679298245614021</c:v>
                </c:pt>
                <c:pt idx="335">
                  <c:v>97.679298245614021</c:v>
                </c:pt>
                <c:pt idx="336">
                  <c:v>97.679298245614021</c:v>
                </c:pt>
                <c:pt idx="337">
                  <c:v>97.679298245614021</c:v>
                </c:pt>
                <c:pt idx="338">
                  <c:v>97.679298245614021</c:v>
                </c:pt>
                <c:pt idx="339">
                  <c:v>97.679298245614021</c:v>
                </c:pt>
                <c:pt idx="340">
                  <c:v>97.679298245614021</c:v>
                </c:pt>
                <c:pt idx="341">
                  <c:v>97.679298245614021</c:v>
                </c:pt>
                <c:pt idx="342">
                  <c:v>97.679298245614021</c:v>
                </c:pt>
                <c:pt idx="343">
                  <c:v>97.679298245614021</c:v>
                </c:pt>
                <c:pt idx="344">
                  <c:v>97.679298245614021</c:v>
                </c:pt>
                <c:pt idx="345">
                  <c:v>97.679298245614021</c:v>
                </c:pt>
                <c:pt idx="346">
                  <c:v>97.679298245614021</c:v>
                </c:pt>
                <c:pt idx="347">
                  <c:v>97.679298245614021</c:v>
                </c:pt>
                <c:pt idx="348">
                  <c:v>97.679298245614021</c:v>
                </c:pt>
                <c:pt idx="349">
                  <c:v>97.679298245614021</c:v>
                </c:pt>
                <c:pt idx="350">
                  <c:v>97.679298245614021</c:v>
                </c:pt>
                <c:pt idx="351">
                  <c:v>97.679298245614021</c:v>
                </c:pt>
                <c:pt idx="352">
                  <c:v>97.679298245614021</c:v>
                </c:pt>
                <c:pt idx="353">
                  <c:v>97.679298245614021</c:v>
                </c:pt>
                <c:pt idx="354">
                  <c:v>97.679298245614021</c:v>
                </c:pt>
                <c:pt idx="355">
                  <c:v>97.679298245614021</c:v>
                </c:pt>
                <c:pt idx="356">
                  <c:v>97.679298245614021</c:v>
                </c:pt>
                <c:pt idx="357">
                  <c:v>97.679298245614021</c:v>
                </c:pt>
                <c:pt idx="358">
                  <c:v>97.679298245614021</c:v>
                </c:pt>
                <c:pt idx="359">
                  <c:v>97.679298245614021</c:v>
                </c:pt>
                <c:pt idx="360">
                  <c:v>97.679298245614021</c:v>
                </c:pt>
                <c:pt idx="361">
                  <c:v>97.679298245614021</c:v>
                </c:pt>
                <c:pt idx="362">
                  <c:v>97.679298245614021</c:v>
                </c:pt>
                <c:pt idx="363">
                  <c:v>97.679298245614021</c:v>
                </c:pt>
                <c:pt idx="364">
                  <c:v>97.679298245614021</c:v>
                </c:pt>
                <c:pt idx="365">
                  <c:v>97.679298245614021</c:v>
                </c:pt>
                <c:pt idx="366">
                  <c:v>97.679298245614021</c:v>
                </c:pt>
                <c:pt idx="367">
                  <c:v>97.679298245614021</c:v>
                </c:pt>
                <c:pt idx="368">
                  <c:v>97.679298245614021</c:v>
                </c:pt>
                <c:pt idx="369">
                  <c:v>97.679298245614021</c:v>
                </c:pt>
                <c:pt idx="370">
                  <c:v>97.679298245614021</c:v>
                </c:pt>
                <c:pt idx="371">
                  <c:v>97.679298245614021</c:v>
                </c:pt>
                <c:pt idx="372">
                  <c:v>97.679298245614021</c:v>
                </c:pt>
                <c:pt idx="373">
                  <c:v>97.679298245614021</c:v>
                </c:pt>
                <c:pt idx="374">
                  <c:v>97.679298245614021</c:v>
                </c:pt>
                <c:pt idx="375">
                  <c:v>97.679298245614021</c:v>
                </c:pt>
                <c:pt idx="376">
                  <c:v>97.679298245614021</c:v>
                </c:pt>
                <c:pt idx="377">
                  <c:v>97.679298245614021</c:v>
                </c:pt>
                <c:pt idx="378">
                  <c:v>97.679298245614021</c:v>
                </c:pt>
                <c:pt idx="379">
                  <c:v>97.679298245614021</c:v>
                </c:pt>
                <c:pt idx="380">
                  <c:v>97.679298245614021</c:v>
                </c:pt>
                <c:pt idx="381">
                  <c:v>97.679298245614021</c:v>
                </c:pt>
                <c:pt idx="382">
                  <c:v>97.679298245614021</c:v>
                </c:pt>
                <c:pt idx="383">
                  <c:v>97.679298245614021</c:v>
                </c:pt>
                <c:pt idx="384">
                  <c:v>97.679298245614021</c:v>
                </c:pt>
                <c:pt idx="385">
                  <c:v>97.679298245614021</c:v>
                </c:pt>
                <c:pt idx="386">
                  <c:v>97.679298245614021</c:v>
                </c:pt>
                <c:pt idx="387">
                  <c:v>97.679298245614021</c:v>
                </c:pt>
                <c:pt idx="388">
                  <c:v>97.679298245614021</c:v>
                </c:pt>
                <c:pt idx="389">
                  <c:v>97.679298245614021</c:v>
                </c:pt>
                <c:pt idx="390">
                  <c:v>97.679298245614021</c:v>
                </c:pt>
                <c:pt idx="391">
                  <c:v>97.679298245614021</c:v>
                </c:pt>
                <c:pt idx="392">
                  <c:v>97.679298245614021</c:v>
                </c:pt>
                <c:pt idx="393">
                  <c:v>97.679298245614021</c:v>
                </c:pt>
                <c:pt idx="394">
                  <c:v>97.679298245614021</c:v>
                </c:pt>
                <c:pt idx="395">
                  <c:v>97.679298245614021</c:v>
                </c:pt>
                <c:pt idx="396">
                  <c:v>97.679298245614021</c:v>
                </c:pt>
                <c:pt idx="397">
                  <c:v>97.679298245614021</c:v>
                </c:pt>
                <c:pt idx="398">
                  <c:v>97.679298245614021</c:v>
                </c:pt>
                <c:pt idx="399">
                  <c:v>97.679298245614021</c:v>
                </c:pt>
                <c:pt idx="400">
                  <c:v>97.679298245614021</c:v>
                </c:pt>
                <c:pt idx="401">
                  <c:v>97.679298245614021</c:v>
                </c:pt>
                <c:pt idx="402">
                  <c:v>97.679298245614021</c:v>
                </c:pt>
                <c:pt idx="403">
                  <c:v>97.679298245614021</c:v>
                </c:pt>
                <c:pt idx="404">
                  <c:v>97.679298245614021</c:v>
                </c:pt>
                <c:pt idx="405">
                  <c:v>97.679298245614021</c:v>
                </c:pt>
                <c:pt idx="406">
                  <c:v>97.679298245614021</c:v>
                </c:pt>
                <c:pt idx="407">
                  <c:v>97.679298245614021</c:v>
                </c:pt>
                <c:pt idx="408">
                  <c:v>97.679298245614021</c:v>
                </c:pt>
                <c:pt idx="409">
                  <c:v>97.679298245614021</c:v>
                </c:pt>
                <c:pt idx="410">
                  <c:v>97.679298245614021</c:v>
                </c:pt>
                <c:pt idx="411">
                  <c:v>97.679298245614021</c:v>
                </c:pt>
                <c:pt idx="412">
                  <c:v>97.679298245614021</c:v>
                </c:pt>
                <c:pt idx="413">
                  <c:v>97.679298245614021</c:v>
                </c:pt>
                <c:pt idx="414">
                  <c:v>97.679298245614021</c:v>
                </c:pt>
                <c:pt idx="415">
                  <c:v>97.679298245614021</c:v>
                </c:pt>
                <c:pt idx="416">
                  <c:v>97.679298245614021</c:v>
                </c:pt>
                <c:pt idx="417">
                  <c:v>97.679298245614021</c:v>
                </c:pt>
                <c:pt idx="418">
                  <c:v>97.679298245614021</c:v>
                </c:pt>
                <c:pt idx="419">
                  <c:v>97.679298245614021</c:v>
                </c:pt>
                <c:pt idx="420">
                  <c:v>97.679298245614021</c:v>
                </c:pt>
                <c:pt idx="421">
                  <c:v>97.679298245614021</c:v>
                </c:pt>
                <c:pt idx="422">
                  <c:v>97.679298245614021</c:v>
                </c:pt>
                <c:pt idx="423">
                  <c:v>97.679298245614021</c:v>
                </c:pt>
                <c:pt idx="424">
                  <c:v>97.679298245614021</c:v>
                </c:pt>
                <c:pt idx="425">
                  <c:v>97.679298245614021</c:v>
                </c:pt>
                <c:pt idx="426">
                  <c:v>97.679298245614021</c:v>
                </c:pt>
                <c:pt idx="427">
                  <c:v>97.679298245614021</c:v>
                </c:pt>
                <c:pt idx="428">
                  <c:v>97.679298245614021</c:v>
                </c:pt>
                <c:pt idx="429">
                  <c:v>97.679298245614021</c:v>
                </c:pt>
                <c:pt idx="430">
                  <c:v>97.679298245614021</c:v>
                </c:pt>
                <c:pt idx="431">
                  <c:v>97.679298245614021</c:v>
                </c:pt>
                <c:pt idx="432">
                  <c:v>97.679298245614021</c:v>
                </c:pt>
                <c:pt idx="433">
                  <c:v>97.679298245614021</c:v>
                </c:pt>
                <c:pt idx="434">
                  <c:v>97.679298245614021</c:v>
                </c:pt>
                <c:pt idx="435">
                  <c:v>97.679298245614021</c:v>
                </c:pt>
                <c:pt idx="436">
                  <c:v>97.679298245614021</c:v>
                </c:pt>
                <c:pt idx="437">
                  <c:v>97.679298245614021</c:v>
                </c:pt>
                <c:pt idx="438">
                  <c:v>97.679298245614021</c:v>
                </c:pt>
                <c:pt idx="439">
                  <c:v>97.679298245614021</c:v>
                </c:pt>
                <c:pt idx="440">
                  <c:v>97.679298245614021</c:v>
                </c:pt>
                <c:pt idx="441">
                  <c:v>97.679298245614021</c:v>
                </c:pt>
                <c:pt idx="442">
                  <c:v>97.679298245614021</c:v>
                </c:pt>
                <c:pt idx="443">
                  <c:v>97.679298245614021</c:v>
                </c:pt>
                <c:pt idx="444">
                  <c:v>97.679298245614021</c:v>
                </c:pt>
                <c:pt idx="445">
                  <c:v>97.679298245614021</c:v>
                </c:pt>
                <c:pt idx="446">
                  <c:v>97.679298245614021</c:v>
                </c:pt>
                <c:pt idx="447">
                  <c:v>97.679298245614021</c:v>
                </c:pt>
                <c:pt idx="448">
                  <c:v>97.679298245614021</c:v>
                </c:pt>
                <c:pt idx="449">
                  <c:v>97.679298245614021</c:v>
                </c:pt>
                <c:pt idx="450">
                  <c:v>97.679298245614021</c:v>
                </c:pt>
                <c:pt idx="451">
                  <c:v>97.679298245614021</c:v>
                </c:pt>
                <c:pt idx="452">
                  <c:v>97.679298245614021</c:v>
                </c:pt>
                <c:pt idx="453">
                  <c:v>97.679298245614021</c:v>
                </c:pt>
                <c:pt idx="454">
                  <c:v>97.679298245614021</c:v>
                </c:pt>
                <c:pt idx="455">
                  <c:v>97.679298245614021</c:v>
                </c:pt>
                <c:pt idx="456">
                  <c:v>97.679298245614021</c:v>
                </c:pt>
                <c:pt idx="457">
                  <c:v>97.679298245614021</c:v>
                </c:pt>
                <c:pt idx="458">
                  <c:v>97.679298245614021</c:v>
                </c:pt>
                <c:pt idx="459">
                  <c:v>369.1894736842105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6B-4A28-AF8D-105B59B27611}"/>
            </c:ext>
          </c:extLst>
        </c:ser>
        <c:ser>
          <c:idx val="1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Auswertung!$A$8:$A$9</c:f>
              <c:numCache>
                <c:formatCode>0.000</c:formatCode>
                <c:ptCount val="2"/>
                <c:pt idx="0">
                  <c:v>-6.9876018728959398E-7</c:v>
                </c:pt>
                <c:pt idx="1">
                  <c:v>2.4985108534616302E-3</c:v>
                </c:pt>
              </c:numCache>
            </c:numRef>
          </c:xVal>
          <c:yVal>
            <c:numRef>
              <c:f>Auswertung!$B$8:$B$9</c:f>
              <c:numCache>
                <c:formatCode>0.000</c:formatCode>
                <c:ptCount val="2"/>
                <c:pt idx="0">
                  <c:v>0</c:v>
                </c:pt>
                <c:pt idx="1">
                  <c:v>369.1894736842105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6B-4A28-AF8D-105B59B27611}"/>
            </c:ext>
          </c:extLst>
        </c:ser>
        <c:ser>
          <c:idx val="2"/>
          <c:order val="3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Auswertung!$C$8:$C$9</c:f>
              <c:numCache>
                <c:formatCode>0.000</c:formatCode>
                <c:ptCount val="2"/>
                <c:pt idx="0">
                  <c:v>1.9993012398127103E-3</c:v>
                </c:pt>
                <c:pt idx="1">
                  <c:v>4.4985108534616302E-3</c:v>
                </c:pt>
              </c:numCache>
            </c:numRef>
          </c:xVal>
          <c:yVal>
            <c:numRef>
              <c:f>Auswertung!$D$8:$D$9</c:f>
              <c:numCache>
                <c:formatCode>0.000</c:formatCode>
                <c:ptCount val="2"/>
                <c:pt idx="0">
                  <c:v>0</c:v>
                </c:pt>
                <c:pt idx="1">
                  <c:v>369.1894736842105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B6B-4A28-AF8D-105B59B27611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Auswertung!$E$8:$E$9</c:f>
              <c:numCache>
                <c:formatCode>0.000</c:formatCode>
                <c:ptCount val="2"/>
                <c:pt idx="0">
                  <c:v>0.47503526323513973</c:v>
                </c:pt>
                <c:pt idx="1">
                  <c:v>0.47753447284878864</c:v>
                </c:pt>
              </c:numCache>
            </c:numRef>
          </c:xVal>
          <c:yVal>
            <c:numRef>
              <c:f>Auswertung!$F$8:$F$9</c:f>
              <c:numCache>
                <c:formatCode>0.000</c:formatCode>
                <c:ptCount val="2"/>
                <c:pt idx="0">
                  <c:v>0</c:v>
                </c:pt>
                <c:pt idx="1">
                  <c:v>369.1894736842105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B6B-4A28-AF8D-105B59B27611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Auswertung!$I$8:$I$9</c:f>
              <c:numCache>
                <c:formatCode>0.000</c:formatCode>
                <c:ptCount val="2"/>
                <c:pt idx="0">
                  <c:v>0.47503526323513973</c:v>
                </c:pt>
                <c:pt idx="1">
                  <c:v>0.47753447284878864</c:v>
                </c:pt>
              </c:numCache>
            </c:numRef>
          </c:xVal>
          <c:yVal>
            <c:numRef>
              <c:f>Auswertung!$J$8:$J$9</c:f>
              <c:numCache>
                <c:formatCode>0.000</c:formatCode>
                <c:ptCount val="2"/>
                <c:pt idx="0">
                  <c:v>0</c:v>
                </c:pt>
                <c:pt idx="1">
                  <c:v>369.1894736842105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B6B-4A28-AF8D-105B59B27611}"/>
            </c:ext>
          </c:extLst>
        </c:ser>
        <c:ser>
          <c:idx val="6"/>
          <c:order val="6"/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Messdaten!$K$10</c:f>
              <c:numCache>
                <c:formatCode>0.000</c:formatCode>
                <c:ptCount val="1"/>
                <c:pt idx="0">
                  <c:v>1.3151984394361602</c:v>
                </c:pt>
              </c:numCache>
            </c:numRef>
          </c:xVal>
          <c:yVal>
            <c:numRef>
              <c:f>Messdaten!$K$9</c:f>
              <c:numCache>
                <c:formatCode>0\ "MPa"</c:formatCode>
                <c:ptCount val="1"/>
                <c:pt idx="0">
                  <c:v>1375.4117647058822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B6B-4A28-AF8D-105B59B27611}"/>
            </c:ext>
          </c:extLst>
        </c:ser>
        <c:ser>
          <c:idx val="7"/>
          <c:order val="7"/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(Messdaten!$M$10,Messdaten!$K$10)</c:f>
              <c:numCache>
                <c:formatCode>0.000</c:formatCode>
                <c:ptCount val="2"/>
                <c:pt idx="0">
                  <c:v>1.0419298513089797E-3</c:v>
                </c:pt>
                <c:pt idx="1">
                  <c:v>1.3151984394361602</c:v>
                </c:pt>
              </c:numCache>
            </c:numRef>
          </c:xVal>
          <c:yVal>
            <c:numRef>
              <c:f>(Messdaten!$M$9,Messdaten!$K$9)</c:f>
              <c:numCache>
                <c:formatCode>0\ "MPa"</c:formatCode>
                <c:ptCount val="2"/>
                <c:pt idx="0">
                  <c:v>97.781126261923788</c:v>
                </c:pt>
                <c:pt idx="1">
                  <c:v>1375.4117647058822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B6B-4A28-AF8D-105B59B27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372864"/>
        <c:axId val="186374784"/>
      </c:scatterChart>
      <c:scatterChart>
        <c:scatterStyle val="lineMarker"/>
        <c:varyColors val="0"/>
        <c:ser>
          <c:idx val="8"/>
          <c:order val="8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Messdaten!$P$15:$P$2000</c:f>
              <c:numCache>
                <c:formatCode>0.000</c:formatCode>
                <c:ptCount val="1986"/>
                <c:pt idx="0">
                  <c:v>1.0424728487886383E-3</c:v>
                </c:pt>
                <c:pt idx="1">
                  <c:v>1.0424728487886383E-3</c:v>
                </c:pt>
                <c:pt idx="2">
                  <c:v>1.0424728487886383E-3</c:v>
                </c:pt>
                <c:pt idx="3">
                  <c:v>1.0424728487886383E-3</c:v>
                </c:pt>
                <c:pt idx="4">
                  <c:v>1.0424728487886383E-3</c:v>
                </c:pt>
                <c:pt idx="5">
                  <c:v>1.0424728487886383E-3</c:v>
                </c:pt>
                <c:pt idx="6">
                  <c:v>1.0424728487886383E-3</c:v>
                </c:pt>
                <c:pt idx="7">
                  <c:v>1.0424728487886383E-3</c:v>
                </c:pt>
                <c:pt idx="8">
                  <c:v>1.0424728487886383E-3</c:v>
                </c:pt>
                <c:pt idx="9">
                  <c:v>1.0424728487886383E-3</c:v>
                </c:pt>
                <c:pt idx="10">
                  <c:v>1.0424728487886383E-3</c:v>
                </c:pt>
                <c:pt idx="11">
                  <c:v>1.0424728487886383E-3</c:v>
                </c:pt>
                <c:pt idx="12">
                  <c:v>1.0424728487886383E-3</c:v>
                </c:pt>
                <c:pt idx="13">
                  <c:v>1.0424728487886383E-3</c:v>
                </c:pt>
                <c:pt idx="14">
                  <c:v>1.0424728487886383E-3</c:v>
                </c:pt>
                <c:pt idx="15">
                  <c:v>1.0424728487886383E-3</c:v>
                </c:pt>
                <c:pt idx="16">
                  <c:v>1.0424728487886383E-3</c:v>
                </c:pt>
                <c:pt idx="17">
                  <c:v>1.0424728487886383E-3</c:v>
                </c:pt>
                <c:pt idx="18">
                  <c:v>1.0424728487886383E-3</c:v>
                </c:pt>
                <c:pt idx="19">
                  <c:v>1.0424728487886383E-3</c:v>
                </c:pt>
                <c:pt idx="20">
                  <c:v>1.0424728487886383E-3</c:v>
                </c:pt>
                <c:pt idx="21">
                  <c:v>1.0424728487886383E-3</c:v>
                </c:pt>
                <c:pt idx="22">
                  <c:v>1.0424728487886383E-3</c:v>
                </c:pt>
                <c:pt idx="23">
                  <c:v>1.0424728487886383E-3</c:v>
                </c:pt>
                <c:pt idx="24">
                  <c:v>1.0424728487886383E-3</c:v>
                </c:pt>
                <c:pt idx="25">
                  <c:v>1.0424728487886383E-3</c:v>
                </c:pt>
                <c:pt idx="26">
                  <c:v>1.0424728487886383E-3</c:v>
                </c:pt>
                <c:pt idx="27">
                  <c:v>1.0424728487886383E-3</c:v>
                </c:pt>
                <c:pt idx="28">
                  <c:v>1.0424728487886383E-3</c:v>
                </c:pt>
                <c:pt idx="29">
                  <c:v>1.0424728487886383E-3</c:v>
                </c:pt>
                <c:pt idx="30">
                  <c:v>1.0424728487886383E-3</c:v>
                </c:pt>
                <c:pt idx="31">
                  <c:v>1.0424728487886383E-3</c:v>
                </c:pt>
                <c:pt idx="32">
                  <c:v>1.0424728487886383E-3</c:v>
                </c:pt>
                <c:pt idx="33">
                  <c:v>1.0424728487886383E-3</c:v>
                </c:pt>
                <c:pt idx="34">
                  <c:v>1.0424728487886383E-3</c:v>
                </c:pt>
                <c:pt idx="35">
                  <c:v>1.0424728487886383E-3</c:v>
                </c:pt>
                <c:pt idx="36">
                  <c:v>1.0424728487886383E-3</c:v>
                </c:pt>
                <c:pt idx="37">
                  <c:v>1.0424728487886383E-3</c:v>
                </c:pt>
                <c:pt idx="38">
                  <c:v>1.0424728487886383E-3</c:v>
                </c:pt>
                <c:pt idx="39">
                  <c:v>1.0424728487886383E-3</c:v>
                </c:pt>
                <c:pt idx="40">
                  <c:v>1.0424728487886383E-3</c:v>
                </c:pt>
                <c:pt idx="41">
                  <c:v>1.0424728487886383E-3</c:v>
                </c:pt>
                <c:pt idx="42">
                  <c:v>1.0424728487886383E-3</c:v>
                </c:pt>
                <c:pt idx="43">
                  <c:v>1.0424728487886383E-3</c:v>
                </c:pt>
                <c:pt idx="44">
                  <c:v>1.0424728487886383E-3</c:v>
                </c:pt>
                <c:pt idx="45">
                  <c:v>1.0424728487886383E-3</c:v>
                </c:pt>
                <c:pt idx="46">
                  <c:v>1.0424728487886383E-3</c:v>
                </c:pt>
                <c:pt idx="47">
                  <c:v>1.0424728487886383E-3</c:v>
                </c:pt>
                <c:pt idx="48">
                  <c:v>1.0424728487886383E-3</c:v>
                </c:pt>
                <c:pt idx="49">
                  <c:v>1.0424728487886383E-3</c:v>
                </c:pt>
                <c:pt idx="50">
                  <c:v>1.0424728487886383E-3</c:v>
                </c:pt>
                <c:pt idx="51">
                  <c:v>1.0424728487886383E-3</c:v>
                </c:pt>
                <c:pt idx="52">
                  <c:v>1.0424728487886383E-3</c:v>
                </c:pt>
                <c:pt idx="53">
                  <c:v>1.0424728487886383E-3</c:v>
                </c:pt>
                <c:pt idx="54">
                  <c:v>1.0424728487886383E-3</c:v>
                </c:pt>
                <c:pt idx="55">
                  <c:v>1.0424728487886383E-3</c:v>
                </c:pt>
                <c:pt idx="56">
                  <c:v>1.0424728487886383E-3</c:v>
                </c:pt>
                <c:pt idx="57">
                  <c:v>1.0424728487886383E-3</c:v>
                </c:pt>
                <c:pt idx="58">
                  <c:v>1.0424728487886383E-3</c:v>
                </c:pt>
                <c:pt idx="59">
                  <c:v>1.0424728487886383E-3</c:v>
                </c:pt>
                <c:pt idx="60">
                  <c:v>1.0424728487886383E-3</c:v>
                </c:pt>
                <c:pt idx="61">
                  <c:v>1.0424728487886383E-3</c:v>
                </c:pt>
                <c:pt idx="62">
                  <c:v>1.0424728487886383E-3</c:v>
                </c:pt>
                <c:pt idx="63">
                  <c:v>1.0424728487886383E-3</c:v>
                </c:pt>
                <c:pt idx="64">
                  <c:v>1.0424728487886383E-3</c:v>
                </c:pt>
                <c:pt idx="65">
                  <c:v>1.0424728487886383E-3</c:v>
                </c:pt>
                <c:pt idx="66">
                  <c:v>1.0424728487886383E-3</c:v>
                </c:pt>
                <c:pt idx="67">
                  <c:v>1.0424728487886383E-3</c:v>
                </c:pt>
                <c:pt idx="68">
                  <c:v>1.0424728487886383E-3</c:v>
                </c:pt>
                <c:pt idx="69">
                  <c:v>1.0424728487886383E-3</c:v>
                </c:pt>
                <c:pt idx="70">
                  <c:v>1.0424728487886383E-3</c:v>
                </c:pt>
                <c:pt idx="71">
                  <c:v>1.0424728487886383E-3</c:v>
                </c:pt>
                <c:pt idx="72">
                  <c:v>1.0424728487886383E-3</c:v>
                </c:pt>
                <c:pt idx="73">
                  <c:v>1.0424728487886383E-3</c:v>
                </c:pt>
                <c:pt idx="74">
                  <c:v>1.0424728487886383E-3</c:v>
                </c:pt>
                <c:pt idx="75">
                  <c:v>1.0424728487886383E-3</c:v>
                </c:pt>
                <c:pt idx="76">
                  <c:v>1.0424728487886383E-3</c:v>
                </c:pt>
                <c:pt idx="77">
                  <c:v>1.0424728487886383E-3</c:v>
                </c:pt>
                <c:pt idx="78">
                  <c:v>1.0424728487886383E-3</c:v>
                </c:pt>
                <c:pt idx="79">
                  <c:v>1.0424728487886383E-3</c:v>
                </c:pt>
                <c:pt idx="80">
                  <c:v>1.0424728487886383E-3</c:v>
                </c:pt>
                <c:pt idx="81">
                  <c:v>1.0424728487886383E-3</c:v>
                </c:pt>
                <c:pt idx="82">
                  <c:v>1.0424728487886383E-3</c:v>
                </c:pt>
                <c:pt idx="83">
                  <c:v>1.0424728487886383E-3</c:v>
                </c:pt>
                <c:pt idx="84">
                  <c:v>1.0424728487886383E-3</c:v>
                </c:pt>
                <c:pt idx="85">
                  <c:v>1.0424728487886383E-3</c:v>
                </c:pt>
                <c:pt idx="86">
                  <c:v>1.0424728487886383E-3</c:v>
                </c:pt>
                <c:pt idx="87">
                  <c:v>1.0424728487886383E-3</c:v>
                </c:pt>
                <c:pt idx="88">
                  <c:v>1.0424728487886383E-3</c:v>
                </c:pt>
                <c:pt idx="89">
                  <c:v>1.0424728487886383E-3</c:v>
                </c:pt>
                <c:pt idx="90">
                  <c:v>1.0424728487886383E-3</c:v>
                </c:pt>
                <c:pt idx="91">
                  <c:v>1.0424728487886383E-3</c:v>
                </c:pt>
                <c:pt idx="92">
                  <c:v>1.0424728487886383E-3</c:v>
                </c:pt>
                <c:pt idx="93">
                  <c:v>1.0424728487886383E-3</c:v>
                </c:pt>
                <c:pt idx="94">
                  <c:v>1.0424728487886383E-3</c:v>
                </c:pt>
                <c:pt idx="95">
                  <c:v>1.0424728487886383E-3</c:v>
                </c:pt>
                <c:pt idx="96">
                  <c:v>1.0424728487886383E-3</c:v>
                </c:pt>
                <c:pt idx="97">
                  <c:v>1.0424728487886383E-3</c:v>
                </c:pt>
                <c:pt idx="98">
                  <c:v>1.0424728487886383E-3</c:v>
                </c:pt>
                <c:pt idx="99">
                  <c:v>1.0424728487886383E-3</c:v>
                </c:pt>
                <c:pt idx="100">
                  <c:v>1.0424728487886383E-3</c:v>
                </c:pt>
                <c:pt idx="101">
                  <c:v>1.0424728487886383E-3</c:v>
                </c:pt>
                <c:pt idx="102">
                  <c:v>1.0424728487886383E-3</c:v>
                </c:pt>
                <c:pt idx="103">
                  <c:v>1.0424728487886383E-3</c:v>
                </c:pt>
                <c:pt idx="104">
                  <c:v>1.0424728487886383E-3</c:v>
                </c:pt>
                <c:pt idx="105">
                  <c:v>1.0424728487886383E-3</c:v>
                </c:pt>
                <c:pt idx="106">
                  <c:v>1.0424728487886383E-3</c:v>
                </c:pt>
                <c:pt idx="107">
                  <c:v>1.0424728487886383E-3</c:v>
                </c:pt>
                <c:pt idx="108">
                  <c:v>1.0424728487886383E-3</c:v>
                </c:pt>
                <c:pt idx="109">
                  <c:v>1.0424728487886383E-3</c:v>
                </c:pt>
                <c:pt idx="110">
                  <c:v>1.0424728487886383E-3</c:v>
                </c:pt>
                <c:pt idx="111">
                  <c:v>1.0424728487886383E-3</c:v>
                </c:pt>
                <c:pt idx="112">
                  <c:v>1.0424728487886383E-3</c:v>
                </c:pt>
                <c:pt idx="113">
                  <c:v>1.0424728487886383E-3</c:v>
                </c:pt>
                <c:pt idx="114">
                  <c:v>1.0424728487886383E-3</c:v>
                </c:pt>
                <c:pt idx="115">
                  <c:v>1.0424728487886383E-3</c:v>
                </c:pt>
                <c:pt idx="116">
                  <c:v>1.0424728487886383E-3</c:v>
                </c:pt>
                <c:pt idx="117">
                  <c:v>1.0424728487886383E-3</c:v>
                </c:pt>
                <c:pt idx="118">
                  <c:v>1.0424728487886383E-3</c:v>
                </c:pt>
                <c:pt idx="119">
                  <c:v>1.0424728487886383E-3</c:v>
                </c:pt>
                <c:pt idx="120">
                  <c:v>1.0424728487886383E-3</c:v>
                </c:pt>
                <c:pt idx="121">
                  <c:v>1.0424728487886383E-3</c:v>
                </c:pt>
                <c:pt idx="122">
                  <c:v>1.0424728487886383E-3</c:v>
                </c:pt>
                <c:pt idx="123">
                  <c:v>1.0424728487886383E-3</c:v>
                </c:pt>
                <c:pt idx="124">
                  <c:v>1.0424728487886383E-3</c:v>
                </c:pt>
                <c:pt idx="125">
                  <c:v>1.0424728487886383E-3</c:v>
                </c:pt>
                <c:pt idx="126">
                  <c:v>1.0424728487886383E-3</c:v>
                </c:pt>
                <c:pt idx="127">
                  <c:v>1.0424728487886383E-3</c:v>
                </c:pt>
                <c:pt idx="128">
                  <c:v>1.0424728487886383E-3</c:v>
                </c:pt>
                <c:pt idx="129">
                  <c:v>1.0424728487886383E-3</c:v>
                </c:pt>
                <c:pt idx="130">
                  <c:v>1.0424728487886383E-3</c:v>
                </c:pt>
                <c:pt idx="131">
                  <c:v>1.0424728487886383E-3</c:v>
                </c:pt>
                <c:pt idx="132">
                  <c:v>1.0424728487886383E-3</c:v>
                </c:pt>
                <c:pt idx="133">
                  <c:v>1.0424728487886383E-3</c:v>
                </c:pt>
                <c:pt idx="134">
                  <c:v>1.0424728487886383E-3</c:v>
                </c:pt>
                <c:pt idx="135">
                  <c:v>1.0424728487886383E-3</c:v>
                </c:pt>
                <c:pt idx="136">
                  <c:v>1.0424728487886383E-3</c:v>
                </c:pt>
                <c:pt idx="137">
                  <c:v>1.0424728487886383E-3</c:v>
                </c:pt>
                <c:pt idx="138">
                  <c:v>1.0424728487886383E-3</c:v>
                </c:pt>
                <c:pt idx="139">
                  <c:v>1.0424728487886383E-3</c:v>
                </c:pt>
                <c:pt idx="140">
                  <c:v>1.0424728487886383E-3</c:v>
                </c:pt>
                <c:pt idx="141">
                  <c:v>1.0424728487886383E-3</c:v>
                </c:pt>
                <c:pt idx="142">
                  <c:v>1.0424728487886383E-3</c:v>
                </c:pt>
                <c:pt idx="143">
                  <c:v>1.0424728487886383E-3</c:v>
                </c:pt>
                <c:pt idx="144">
                  <c:v>1.0424728487886383E-3</c:v>
                </c:pt>
                <c:pt idx="145">
                  <c:v>1.0424728487886383E-3</c:v>
                </c:pt>
                <c:pt idx="146">
                  <c:v>1.0424728487886383E-3</c:v>
                </c:pt>
                <c:pt idx="147">
                  <c:v>1.0424728487886383E-3</c:v>
                </c:pt>
                <c:pt idx="148">
                  <c:v>1.0424728487886383E-3</c:v>
                </c:pt>
                <c:pt idx="149">
                  <c:v>1.0424728487886383E-3</c:v>
                </c:pt>
                <c:pt idx="150">
                  <c:v>1.0424728487886383E-3</c:v>
                </c:pt>
                <c:pt idx="151">
                  <c:v>1.0424728487886383E-3</c:v>
                </c:pt>
                <c:pt idx="152">
                  <c:v>1.0424728487886383E-3</c:v>
                </c:pt>
                <c:pt idx="153">
                  <c:v>1.0424728487886383E-3</c:v>
                </c:pt>
                <c:pt idx="154">
                  <c:v>1.0424728487886383E-3</c:v>
                </c:pt>
                <c:pt idx="155">
                  <c:v>1.0424728487886383E-3</c:v>
                </c:pt>
                <c:pt idx="156">
                  <c:v>1.0424728487886383E-3</c:v>
                </c:pt>
                <c:pt idx="157">
                  <c:v>1.0424728487886383E-3</c:v>
                </c:pt>
                <c:pt idx="158">
                  <c:v>1.0424728487886383E-3</c:v>
                </c:pt>
                <c:pt idx="159">
                  <c:v>1.0424728487886383E-3</c:v>
                </c:pt>
                <c:pt idx="160">
                  <c:v>1.0424728487886383E-3</c:v>
                </c:pt>
                <c:pt idx="161">
                  <c:v>1.0424728487886383E-3</c:v>
                </c:pt>
                <c:pt idx="162">
                  <c:v>1.0424728487886383E-3</c:v>
                </c:pt>
                <c:pt idx="163">
                  <c:v>1.0424728487886383E-3</c:v>
                </c:pt>
                <c:pt idx="164">
                  <c:v>1.0424728487886383E-3</c:v>
                </c:pt>
                <c:pt idx="165">
                  <c:v>1.0424728487886383E-3</c:v>
                </c:pt>
                <c:pt idx="166">
                  <c:v>1.0424728487886383E-3</c:v>
                </c:pt>
                <c:pt idx="167">
                  <c:v>1.0424728487886383E-3</c:v>
                </c:pt>
                <c:pt idx="168">
                  <c:v>1.0424728487886383E-3</c:v>
                </c:pt>
                <c:pt idx="169">
                  <c:v>1.0424728487886383E-3</c:v>
                </c:pt>
                <c:pt idx="170">
                  <c:v>1.0424728487886383E-3</c:v>
                </c:pt>
                <c:pt idx="171">
                  <c:v>1.0424728487886383E-3</c:v>
                </c:pt>
                <c:pt idx="172">
                  <c:v>1.0424728487886383E-3</c:v>
                </c:pt>
                <c:pt idx="173">
                  <c:v>1.0424728487886383E-3</c:v>
                </c:pt>
                <c:pt idx="174">
                  <c:v>1.0424728487886383E-3</c:v>
                </c:pt>
                <c:pt idx="175">
                  <c:v>1.0424728487886383E-3</c:v>
                </c:pt>
                <c:pt idx="176">
                  <c:v>1.0424728487886383E-3</c:v>
                </c:pt>
                <c:pt idx="177">
                  <c:v>1.0424728487886383E-3</c:v>
                </c:pt>
                <c:pt idx="178">
                  <c:v>1.0424728487886383E-3</c:v>
                </c:pt>
                <c:pt idx="179">
                  <c:v>1.0424728487886383E-3</c:v>
                </c:pt>
                <c:pt idx="180">
                  <c:v>1.0424728487886383E-3</c:v>
                </c:pt>
                <c:pt idx="181">
                  <c:v>1.0424728487886383E-3</c:v>
                </c:pt>
                <c:pt idx="182">
                  <c:v>1.0424728487886383E-3</c:v>
                </c:pt>
                <c:pt idx="183">
                  <c:v>1.0424728487886383E-3</c:v>
                </c:pt>
                <c:pt idx="184">
                  <c:v>1.0424728487886383E-3</c:v>
                </c:pt>
                <c:pt idx="185">
                  <c:v>1.0424728487886383E-3</c:v>
                </c:pt>
                <c:pt idx="186">
                  <c:v>1.0424728487886383E-3</c:v>
                </c:pt>
                <c:pt idx="187">
                  <c:v>1.0424728487886383E-3</c:v>
                </c:pt>
                <c:pt idx="188">
                  <c:v>1.0424728487886383E-3</c:v>
                </c:pt>
                <c:pt idx="189">
                  <c:v>1.0424728487886383E-3</c:v>
                </c:pt>
                <c:pt idx="190">
                  <c:v>1.0424728487886383E-3</c:v>
                </c:pt>
                <c:pt idx="191">
                  <c:v>1.0424728487886383E-3</c:v>
                </c:pt>
                <c:pt idx="192">
                  <c:v>1.0424728487886383E-3</c:v>
                </c:pt>
                <c:pt idx="193">
                  <c:v>1.0424728487886383E-3</c:v>
                </c:pt>
                <c:pt idx="194">
                  <c:v>1.0424728487886383E-3</c:v>
                </c:pt>
                <c:pt idx="195">
                  <c:v>1.0424728487886383E-3</c:v>
                </c:pt>
                <c:pt idx="196">
                  <c:v>1.0424728487886383E-3</c:v>
                </c:pt>
                <c:pt idx="197">
                  <c:v>1.0424728487886383E-3</c:v>
                </c:pt>
                <c:pt idx="198">
                  <c:v>1.0424728487886383E-3</c:v>
                </c:pt>
                <c:pt idx="199">
                  <c:v>1.0424728487886383E-3</c:v>
                </c:pt>
                <c:pt idx="200">
                  <c:v>1.0424728487886383E-3</c:v>
                </c:pt>
                <c:pt idx="201">
                  <c:v>1.0424728487886383E-3</c:v>
                </c:pt>
                <c:pt idx="202">
                  <c:v>1.0424728487886383E-3</c:v>
                </c:pt>
                <c:pt idx="203">
                  <c:v>1.0424728487886383E-3</c:v>
                </c:pt>
                <c:pt idx="204">
                  <c:v>1.0424728487886383E-3</c:v>
                </c:pt>
                <c:pt idx="205">
                  <c:v>1.0424728487886383E-3</c:v>
                </c:pt>
                <c:pt idx="206">
                  <c:v>1.0424728487886383E-3</c:v>
                </c:pt>
                <c:pt idx="207">
                  <c:v>1.0424728487886383E-3</c:v>
                </c:pt>
                <c:pt idx="208">
                  <c:v>1.0424728487886383E-3</c:v>
                </c:pt>
                <c:pt idx="209">
                  <c:v>1.0424728487886383E-3</c:v>
                </c:pt>
                <c:pt idx="210">
                  <c:v>1.0424728487886383E-3</c:v>
                </c:pt>
                <c:pt idx="211">
                  <c:v>1.0424728487886383E-3</c:v>
                </c:pt>
                <c:pt idx="212">
                  <c:v>1.0424728487886383E-3</c:v>
                </c:pt>
                <c:pt idx="213">
                  <c:v>1.0424728487886383E-3</c:v>
                </c:pt>
                <c:pt idx="214">
                  <c:v>1.0424728487886383E-3</c:v>
                </c:pt>
                <c:pt idx="215">
                  <c:v>1.0424728487886383E-3</c:v>
                </c:pt>
                <c:pt idx="216">
                  <c:v>1.0424728487886383E-3</c:v>
                </c:pt>
                <c:pt idx="217">
                  <c:v>1.0424728487886383E-3</c:v>
                </c:pt>
                <c:pt idx="218">
                  <c:v>1.0424728487886383E-3</c:v>
                </c:pt>
                <c:pt idx="219">
                  <c:v>1.0424728487886383E-3</c:v>
                </c:pt>
                <c:pt idx="220">
                  <c:v>1.0424728487886383E-3</c:v>
                </c:pt>
                <c:pt idx="221">
                  <c:v>1.0424728487886383E-3</c:v>
                </c:pt>
                <c:pt idx="222">
                  <c:v>1.0424728487886383E-3</c:v>
                </c:pt>
                <c:pt idx="223">
                  <c:v>1.0424728487886383E-3</c:v>
                </c:pt>
                <c:pt idx="224">
                  <c:v>1.0424728487886383E-3</c:v>
                </c:pt>
                <c:pt idx="225">
                  <c:v>1.0424728487886383E-3</c:v>
                </c:pt>
                <c:pt idx="226">
                  <c:v>1.0424728487886383E-3</c:v>
                </c:pt>
                <c:pt idx="227">
                  <c:v>1.0424728487886383E-3</c:v>
                </c:pt>
                <c:pt idx="228">
                  <c:v>1.0424728487886383E-3</c:v>
                </c:pt>
                <c:pt idx="229">
                  <c:v>1.0424728487886383E-3</c:v>
                </c:pt>
                <c:pt idx="230">
                  <c:v>1.0424728487886383E-3</c:v>
                </c:pt>
                <c:pt idx="231">
                  <c:v>1.0424728487886383E-3</c:v>
                </c:pt>
                <c:pt idx="232">
                  <c:v>1.0424728487886383E-3</c:v>
                </c:pt>
                <c:pt idx="233">
                  <c:v>1.0424728487886383E-3</c:v>
                </c:pt>
                <c:pt idx="234">
                  <c:v>1.0424728487886383E-3</c:v>
                </c:pt>
                <c:pt idx="235">
                  <c:v>1.0424728487886383E-3</c:v>
                </c:pt>
                <c:pt idx="236">
                  <c:v>1.0424728487886383E-3</c:v>
                </c:pt>
                <c:pt idx="237">
                  <c:v>1.0424728487886383E-3</c:v>
                </c:pt>
                <c:pt idx="238">
                  <c:v>1.0424728487886383E-3</c:v>
                </c:pt>
                <c:pt idx="239">
                  <c:v>1.0424728487886383E-3</c:v>
                </c:pt>
                <c:pt idx="240">
                  <c:v>1.0424728487886383E-3</c:v>
                </c:pt>
                <c:pt idx="241">
                  <c:v>1.0424728487886383E-3</c:v>
                </c:pt>
                <c:pt idx="242">
                  <c:v>1.0424728487886383E-3</c:v>
                </c:pt>
                <c:pt idx="243">
                  <c:v>1.0424728487886383E-3</c:v>
                </c:pt>
                <c:pt idx="244">
                  <c:v>1.0424728487886383E-3</c:v>
                </c:pt>
                <c:pt idx="245">
                  <c:v>1.0424728487886383E-3</c:v>
                </c:pt>
                <c:pt idx="246">
                  <c:v>1.0424728487886383E-3</c:v>
                </c:pt>
                <c:pt idx="247">
                  <c:v>1.0424728487886383E-3</c:v>
                </c:pt>
                <c:pt idx="248">
                  <c:v>1.0424728487886383E-3</c:v>
                </c:pt>
                <c:pt idx="249">
                  <c:v>1.0424728487886383E-3</c:v>
                </c:pt>
                <c:pt idx="250">
                  <c:v>1.0424728487886383E-3</c:v>
                </c:pt>
                <c:pt idx="251">
                  <c:v>1.0424728487886383E-3</c:v>
                </c:pt>
                <c:pt idx="252">
                  <c:v>1.0424728487886383E-3</c:v>
                </c:pt>
                <c:pt idx="253">
                  <c:v>1.0424728487886383E-3</c:v>
                </c:pt>
                <c:pt idx="254">
                  <c:v>1.0424728487886383E-3</c:v>
                </c:pt>
                <c:pt idx="255">
                  <c:v>1.0424728487886383E-3</c:v>
                </c:pt>
                <c:pt idx="256">
                  <c:v>1.0424728487886383E-3</c:v>
                </c:pt>
                <c:pt idx="257">
                  <c:v>1.0424728487886383E-3</c:v>
                </c:pt>
                <c:pt idx="258">
                  <c:v>1.0424728487886383E-3</c:v>
                </c:pt>
                <c:pt idx="259">
                  <c:v>1.0424728487886383E-3</c:v>
                </c:pt>
                <c:pt idx="260">
                  <c:v>1.0424728487886383E-3</c:v>
                </c:pt>
                <c:pt idx="261">
                  <c:v>1.0424728487886383E-3</c:v>
                </c:pt>
                <c:pt idx="262">
                  <c:v>1.0424728487886383E-3</c:v>
                </c:pt>
                <c:pt idx="263">
                  <c:v>1.0424728487886383E-3</c:v>
                </c:pt>
                <c:pt idx="264">
                  <c:v>1.0424728487886383E-3</c:v>
                </c:pt>
                <c:pt idx="265">
                  <c:v>1.0424728487886383E-3</c:v>
                </c:pt>
                <c:pt idx="266">
                  <c:v>1.0424728487886383E-3</c:v>
                </c:pt>
                <c:pt idx="267">
                  <c:v>1.0424728487886383E-3</c:v>
                </c:pt>
                <c:pt idx="268">
                  <c:v>1.0424728487886383E-3</c:v>
                </c:pt>
                <c:pt idx="269">
                  <c:v>1.0424728487886383E-3</c:v>
                </c:pt>
                <c:pt idx="270">
                  <c:v>1.0424728487886383E-3</c:v>
                </c:pt>
                <c:pt idx="271">
                  <c:v>1.0424728487886383E-3</c:v>
                </c:pt>
                <c:pt idx="272">
                  <c:v>1.0424728487886383E-3</c:v>
                </c:pt>
                <c:pt idx="273">
                  <c:v>1.0424728487886383E-3</c:v>
                </c:pt>
                <c:pt idx="274">
                  <c:v>1.0424728487886383E-3</c:v>
                </c:pt>
                <c:pt idx="275">
                  <c:v>1.0424728487886383E-3</c:v>
                </c:pt>
                <c:pt idx="276">
                  <c:v>1.0424728487886383E-3</c:v>
                </c:pt>
                <c:pt idx="277">
                  <c:v>1.0424728487886383E-3</c:v>
                </c:pt>
                <c:pt idx="278">
                  <c:v>1.0424728487886383E-3</c:v>
                </c:pt>
                <c:pt idx="279">
                  <c:v>1.0424728487886383E-3</c:v>
                </c:pt>
                <c:pt idx="280">
                  <c:v>1.0424728487886383E-3</c:v>
                </c:pt>
                <c:pt idx="281">
                  <c:v>1.0424728487886383E-3</c:v>
                </c:pt>
                <c:pt idx="282">
                  <c:v>1.0424728487886383E-3</c:v>
                </c:pt>
                <c:pt idx="283">
                  <c:v>1.0424728487886383E-3</c:v>
                </c:pt>
                <c:pt idx="284">
                  <c:v>1.0424728487886383E-3</c:v>
                </c:pt>
                <c:pt idx="285">
                  <c:v>1.0424728487886383E-3</c:v>
                </c:pt>
                <c:pt idx="286">
                  <c:v>1.0424728487886383E-3</c:v>
                </c:pt>
                <c:pt idx="287">
                  <c:v>1.0424728487886383E-3</c:v>
                </c:pt>
                <c:pt idx="288">
                  <c:v>1.0424728487886383E-3</c:v>
                </c:pt>
                <c:pt idx="289">
                  <c:v>1.0424728487886383E-3</c:v>
                </c:pt>
                <c:pt idx="290">
                  <c:v>1.0424728487886383E-3</c:v>
                </c:pt>
                <c:pt idx="291">
                  <c:v>1.0424728487886383E-3</c:v>
                </c:pt>
                <c:pt idx="292">
                  <c:v>1.0424728487886383E-3</c:v>
                </c:pt>
                <c:pt idx="293">
                  <c:v>1.0424728487886383E-3</c:v>
                </c:pt>
                <c:pt idx="294">
                  <c:v>1.0424728487886383E-3</c:v>
                </c:pt>
                <c:pt idx="295">
                  <c:v>1.0424728487886383E-3</c:v>
                </c:pt>
                <c:pt idx="296">
                  <c:v>1.0424728487886383E-3</c:v>
                </c:pt>
                <c:pt idx="297">
                  <c:v>1.0424728487886383E-3</c:v>
                </c:pt>
                <c:pt idx="298">
                  <c:v>1.0424728487886383E-3</c:v>
                </c:pt>
                <c:pt idx="299">
                  <c:v>1.0424728487886383E-3</c:v>
                </c:pt>
                <c:pt idx="300">
                  <c:v>1.0424728487886383E-3</c:v>
                </c:pt>
                <c:pt idx="301">
                  <c:v>1.0424728487886383E-3</c:v>
                </c:pt>
                <c:pt idx="302">
                  <c:v>1.0424728487886383E-3</c:v>
                </c:pt>
                <c:pt idx="303">
                  <c:v>1.0424728487886383E-3</c:v>
                </c:pt>
                <c:pt idx="304">
                  <c:v>1.0424728487886383E-3</c:v>
                </c:pt>
                <c:pt idx="305">
                  <c:v>1.0424728487886383E-3</c:v>
                </c:pt>
                <c:pt idx="306">
                  <c:v>1.0424728487886383E-3</c:v>
                </c:pt>
                <c:pt idx="307">
                  <c:v>1.0424728487886383E-3</c:v>
                </c:pt>
                <c:pt idx="308">
                  <c:v>1.0424728487886383E-3</c:v>
                </c:pt>
                <c:pt idx="309">
                  <c:v>1.0424728487886383E-3</c:v>
                </c:pt>
                <c:pt idx="310">
                  <c:v>1.0424728487886383E-3</c:v>
                </c:pt>
                <c:pt idx="311">
                  <c:v>1.0424728487886383E-3</c:v>
                </c:pt>
                <c:pt idx="312">
                  <c:v>1.0424728487886383E-3</c:v>
                </c:pt>
                <c:pt idx="313">
                  <c:v>1.0424728487886383E-3</c:v>
                </c:pt>
                <c:pt idx="314">
                  <c:v>1.0424728487886383E-3</c:v>
                </c:pt>
                <c:pt idx="315">
                  <c:v>1.0424728487886383E-3</c:v>
                </c:pt>
                <c:pt idx="316">
                  <c:v>1.0424728487886383E-3</c:v>
                </c:pt>
                <c:pt idx="317">
                  <c:v>1.0424728487886383E-3</c:v>
                </c:pt>
                <c:pt idx="318">
                  <c:v>1.0424728487886383E-3</c:v>
                </c:pt>
                <c:pt idx="319">
                  <c:v>1.0424728487886383E-3</c:v>
                </c:pt>
                <c:pt idx="320">
                  <c:v>1.0424728487886383E-3</c:v>
                </c:pt>
                <c:pt idx="321">
                  <c:v>1.0424728487886383E-3</c:v>
                </c:pt>
                <c:pt idx="322">
                  <c:v>1.0424728487886383E-3</c:v>
                </c:pt>
                <c:pt idx="323">
                  <c:v>1.0424728487886383E-3</c:v>
                </c:pt>
                <c:pt idx="324">
                  <c:v>1.0424728487886383E-3</c:v>
                </c:pt>
                <c:pt idx="325">
                  <c:v>1.0424728487886383E-3</c:v>
                </c:pt>
                <c:pt idx="326">
                  <c:v>1.0424728487886383E-3</c:v>
                </c:pt>
                <c:pt idx="327">
                  <c:v>1.0424728487886383E-3</c:v>
                </c:pt>
                <c:pt idx="328">
                  <c:v>1.0424728487886383E-3</c:v>
                </c:pt>
                <c:pt idx="329">
                  <c:v>1.0424728487886383E-3</c:v>
                </c:pt>
                <c:pt idx="330">
                  <c:v>1.0424728487886383E-3</c:v>
                </c:pt>
                <c:pt idx="331">
                  <c:v>1.0424728487886383E-3</c:v>
                </c:pt>
                <c:pt idx="332">
                  <c:v>1.0424728487886383E-3</c:v>
                </c:pt>
                <c:pt idx="333">
                  <c:v>1.0424728487886383E-3</c:v>
                </c:pt>
                <c:pt idx="334">
                  <c:v>1.0424728487886383E-3</c:v>
                </c:pt>
                <c:pt idx="335">
                  <c:v>1.0424728487886383E-3</c:v>
                </c:pt>
                <c:pt idx="336">
                  <c:v>1.0424728487886383E-3</c:v>
                </c:pt>
                <c:pt idx="337">
                  <c:v>1.0424728487886383E-3</c:v>
                </c:pt>
                <c:pt idx="338">
                  <c:v>1.0424728487886383E-3</c:v>
                </c:pt>
                <c:pt idx="339">
                  <c:v>1.0424728487886383E-3</c:v>
                </c:pt>
                <c:pt idx="340">
                  <c:v>1.0424728487886383E-3</c:v>
                </c:pt>
                <c:pt idx="341">
                  <c:v>1.0424728487886383E-3</c:v>
                </c:pt>
                <c:pt idx="342">
                  <c:v>1.0424728487886383E-3</c:v>
                </c:pt>
                <c:pt idx="343">
                  <c:v>1.0424728487886383E-3</c:v>
                </c:pt>
                <c:pt idx="344">
                  <c:v>1.0424728487886383E-3</c:v>
                </c:pt>
                <c:pt idx="345">
                  <c:v>1.0424728487886383E-3</c:v>
                </c:pt>
                <c:pt idx="346">
                  <c:v>1.0424728487886383E-3</c:v>
                </c:pt>
                <c:pt idx="347">
                  <c:v>1.0424728487886383E-3</c:v>
                </c:pt>
                <c:pt idx="348">
                  <c:v>1.0424728487886383E-3</c:v>
                </c:pt>
                <c:pt idx="349">
                  <c:v>1.0424728487886383E-3</c:v>
                </c:pt>
                <c:pt idx="350">
                  <c:v>1.0424728487886383E-3</c:v>
                </c:pt>
                <c:pt idx="351">
                  <c:v>1.0424728487886383E-3</c:v>
                </c:pt>
                <c:pt idx="352">
                  <c:v>1.0424728487886383E-3</c:v>
                </c:pt>
                <c:pt idx="353">
                  <c:v>1.0424728487886383E-3</c:v>
                </c:pt>
                <c:pt idx="354">
                  <c:v>1.0424728487886383E-3</c:v>
                </c:pt>
                <c:pt idx="355">
                  <c:v>1.0424728487886383E-3</c:v>
                </c:pt>
                <c:pt idx="356">
                  <c:v>1.0424728487886383E-3</c:v>
                </c:pt>
                <c:pt idx="357">
                  <c:v>1.0424728487886383E-3</c:v>
                </c:pt>
                <c:pt idx="358">
                  <c:v>1.0424728487886383E-3</c:v>
                </c:pt>
                <c:pt idx="359">
                  <c:v>1.0424728487886383E-3</c:v>
                </c:pt>
                <c:pt idx="360">
                  <c:v>1.0424728487886383E-3</c:v>
                </c:pt>
                <c:pt idx="361">
                  <c:v>1.0424728487886383E-3</c:v>
                </c:pt>
                <c:pt idx="362">
                  <c:v>1.0424728487886383E-3</c:v>
                </c:pt>
                <c:pt idx="363">
                  <c:v>1.0424728487886383E-3</c:v>
                </c:pt>
                <c:pt idx="364">
                  <c:v>1.0424728487886383E-3</c:v>
                </c:pt>
                <c:pt idx="365">
                  <c:v>1.0424728487886383E-3</c:v>
                </c:pt>
                <c:pt idx="366">
                  <c:v>1.0424728487886383E-3</c:v>
                </c:pt>
                <c:pt idx="367">
                  <c:v>1.0424728487886383E-3</c:v>
                </c:pt>
                <c:pt idx="368">
                  <c:v>1.0424728487886383E-3</c:v>
                </c:pt>
                <c:pt idx="369">
                  <c:v>1.0424728487886383E-3</c:v>
                </c:pt>
                <c:pt idx="370">
                  <c:v>1.0424728487886383E-3</c:v>
                </c:pt>
                <c:pt idx="371">
                  <c:v>1.0424728487886383E-3</c:v>
                </c:pt>
                <c:pt idx="372">
                  <c:v>1.0424728487886383E-3</c:v>
                </c:pt>
                <c:pt idx="373">
                  <c:v>1.0424728487886383E-3</c:v>
                </c:pt>
                <c:pt idx="374">
                  <c:v>1.0424728487886383E-3</c:v>
                </c:pt>
                <c:pt idx="375">
                  <c:v>1.0424728487886383E-3</c:v>
                </c:pt>
                <c:pt idx="376">
                  <c:v>1.0424728487886383E-3</c:v>
                </c:pt>
                <c:pt idx="377">
                  <c:v>1.0424728487886383E-3</c:v>
                </c:pt>
                <c:pt idx="378">
                  <c:v>1.0424728487886383E-3</c:v>
                </c:pt>
                <c:pt idx="379">
                  <c:v>1.0424728487886383E-3</c:v>
                </c:pt>
                <c:pt idx="380">
                  <c:v>1.0424728487886383E-3</c:v>
                </c:pt>
                <c:pt idx="381">
                  <c:v>1.0424728487886383E-3</c:v>
                </c:pt>
                <c:pt idx="382">
                  <c:v>1.0424728487886383E-3</c:v>
                </c:pt>
                <c:pt idx="383">
                  <c:v>1.0424728487886383E-3</c:v>
                </c:pt>
                <c:pt idx="384">
                  <c:v>1.0424728487886383E-3</c:v>
                </c:pt>
                <c:pt idx="385">
                  <c:v>1.0424728487886383E-3</c:v>
                </c:pt>
                <c:pt idx="386">
                  <c:v>1.0424728487886383E-3</c:v>
                </c:pt>
                <c:pt idx="387">
                  <c:v>1.0424728487886383E-3</c:v>
                </c:pt>
                <c:pt idx="388">
                  <c:v>1.0424728487886383E-3</c:v>
                </c:pt>
                <c:pt idx="389">
                  <c:v>1.0424728487886383E-3</c:v>
                </c:pt>
                <c:pt idx="390">
                  <c:v>1.0424728487886383E-3</c:v>
                </c:pt>
                <c:pt idx="391">
                  <c:v>1.0424728487886383E-3</c:v>
                </c:pt>
                <c:pt idx="392">
                  <c:v>1.0424728487886383E-3</c:v>
                </c:pt>
                <c:pt idx="393">
                  <c:v>1.0424728487886383E-3</c:v>
                </c:pt>
                <c:pt idx="394">
                  <c:v>1.0424728487886383E-3</c:v>
                </c:pt>
                <c:pt idx="395">
                  <c:v>1.0424728487886383E-3</c:v>
                </c:pt>
                <c:pt idx="396">
                  <c:v>1.0424728487886383E-3</c:v>
                </c:pt>
                <c:pt idx="397">
                  <c:v>1.0424728487886383E-3</c:v>
                </c:pt>
                <c:pt idx="398">
                  <c:v>1.0424728487886383E-3</c:v>
                </c:pt>
                <c:pt idx="399">
                  <c:v>1.0424728487886383E-3</c:v>
                </c:pt>
                <c:pt idx="400">
                  <c:v>1.0424728487886383E-3</c:v>
                </c:pt>
                <c:pt idx="401">
                  <c:v>1.0424728487886383E-3</c:v>
                </c:pt>
                <c:pt idx="402">
                  <c:v>1.0424728487886383E-3</c:v>
                </c:pt>
                <c:pt idx="403">
                  <c:v>1.0424728487886383E-3</c:v>
                </c:pt>
                <c:pt idx="404">
                  <c:v>1.0424728487886383E-3</c:v>
                </c:pt>
                <c:pt idx="405">
                  <c:v>1.0424728487886383E-3</c:v>
                </c:pt>
                <c:pt idx="406">
                  <c:v>1.0424728487886383E-3</c:v>
                </c:pt>
                <c:pt idx="407">
                  <c:v>1.0424728487886383E-3</c:v>
                </c:pt>
                <c:pt idx="408">
                  <c:v>1.0424728487886383E-3</c:v>
                </c:pt>
                <c:pt idx="409">
                  <c:v>1.0424728487886383E-3</c:v>
                </c:pt>
                <c:pt idx="410">
                  <c:v>1.0424728487886383E-3</c:v>
                </c:pt>
                <c:pt idx="411">
                  <c:v>1.0424728487886383E-3</c:v>
                </c:pt>
                <c:pt idx="412">
                  <c:v>1.0424728487886383E-3</c:v>
                </c:pt>
                <c:pt idx="413">
                  <c:v>1.0424728487886383E-3</c:v>
                </c:pt>
                <c:pt idx="414">
                  <c:v>1.0424728487886383E-3</c:v>
                </c:pt>
                <c:pt idx="415">
                  <c:v>1.0424728487886383E-3</c:v>
                </c:pt>
                <c:pt idx="416">
                  <c:v>1.0424728487886383E-3</c:v>
                </c:pt>
                <c:pt idx="417">
                  <c:v>1.0424728487886383E-3</c:v>
                </c:pt>
                <c:pt idx="418">
                  <c:v>1.0424728487886383E-3</c:v>
                </c:pt>
                <c:pt idx="419">
                  <c:v>1.0424728487886383E-3</c:v>
                </c:pt>
                <c:pt idx="420">
                  <c:v>1.0424728487886383E-3</c:v>
                </c:pt>
                <c:pt idx="421">
                  <c:v>1.0424728487886383E-3</c:v>
                </c:pt>
                <c:pt idx="422">
                  <c:v>1.0424728487886383E-3</c:v>
                </c:pt>
                <c:pt idx="423">
                  <c:v>1.0424728487886383E-3</c:v>
                </c:pt>
                <c:pt idx="424">
                  <c:v>1.0424728487886383E-3</c:v>
                </c:pt>
                <c:pt idx="425">
                  <c:v>1.0424728487886383E-3</c:v>
                </c:pt>
                <c:pt idx="426">
                  <c:v>1.0424728487886383E-3</c:v>
                </c:pt>
                <c:pt idx="427">
                  <c:v>1.0424728487886383E-3</c:v>
                </c:pt>
                <c:pt idx="428">
                  <c:v>1.0424728487886383E-3</c:v>
                </c:pt>
                <c:pt idx="429">
                  <c:v>1.0424728487886383E-3</c:v>
                </c:pt>
                <c:pt idx="430">
                  <c:v>1.0424728487886383E-3</c:v>
                </c:pt>
                <c:pt idx="431">
                  <c:v>1.0424728487886383E-3</c:v>
                </c:pt>
                <c:pt idx="432">
                  <c:v>1.0424728487886383E-3</c:v>
                </c:pt>
                <c:pt idx="433">
                  <c:v>1.0424728487886383E-3</c:v>
                </c:pt>
                <c:pt idx="434">
                  <c:v>1.0424728487886383E-3</c:v>
                </c:pt>
                <c:pt idx="435">
                  <c:v>1.0424728487886383E-3</c:v>
                </c:pt>
                <c:pt idx="436">
                  <c:v>1.0424728487886383E-3</c:v>
                </c:pt>
                <c:pt idx="437">
                  <c:v>1.0424728487886383E-3</c:v>
                </c:pt>
                <c:pt idx="438">
                  <c:v>1.0424728487886383E-3</c:v>
                </c:pt>
                <c:pt idx="439">
                  <c:v>1.0424728487886383E-3</c:v>
                </c:pt>
                <c:pt idx="440">
                  <c:v>1.0424728487886383E-3</c:v>
                </c:pt>
                <c:pt idx="441">
                  <c:v>1.0424728487886383E-3</c:v>
                </c:pt>
                <c:pt idx="442">
                  <c:v>1.0424728487886383E-3</c:v>
                </c:pt>
                <c:pt idx="443">
                  <c:v>1.0424728487886383E-3</c:v>
                </c:pt>
                <c:pt idx="444">
                  <c:v>1.0424728487886383E-3</c:v>
                </c:pt>
                <c:pt idx="445">
                  <c:v>1.0424728487886383E-3</c:v>
                </c:pt>
                <c:pt idx="446">
                  <c:v>1.0424728487886383E-3</c:v>
                </c:pt>
                <c:pt idx="447">
                  <c:v>1.0424728487886383E-3</c:v>
                </c:pt>
                <c:pt idx="448">
                  <c:v>1.0424728487886383E-3</c:v>
                </c:pt>
                <c:pt idx="449">
                  <c:v>1.0424728487886383E-3</c:v>
                </c:pt>
                <c:pt idx="450">
                  <c:v>1.0424728487886383E-3</c:v>
                </c:pt>
                <c:pt idx="451">
                  <c:v>1.0424728487886383E-3</c:v>
                </c:pt>
                <c:pt idx="452">
                  <c:v>1.0424728487886383E-3</c:v>
                </c:pt>
                <c:pt idx="453">
                  <c:v>1.0424728487886383E-3</c:v>
                </c:pt>
                <c:pt idx="454">
                  <c:v>1.0424728487886383E-3</c:v>
                </c:pt>
                <c:pt idx="455">
                  <c:v>1.0424728487886383E-3</c:v>
                </c:pt>
                <c:pt idx="456">
                  <c:v>1.0424728487886383E-3</c:v>
                </c:pt>
                <c:pt idx="457">
                  <c:v>1.0424728487886383E-3</c:v>
                </c:pt>
                <c:pt idx="458">
                  <c:v>1.0424728487886383E-3</c:v>
                </c:pt>
                <c:pt idx="459">
                  <c:v>0.47753447284878864</c:v>
                </c:pt>
              </c:numCache>
            </c:numRef>
          </c:xVal>
          <c:yVal>
            <c:numRef>
              <c:f>Messdaten!$L$15:$L$2000</c:f>
              <c:numCache>
                <c:formatCode>0.000</c:formatCode>
                <c:ptCount val="198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B6B-4A28-AF8D-105B59B27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03008"/>
        <c:axId val="186604544"/>
      </c:scatterChart>
      <c:valAx>
        <c:axId val="18637286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25" b="1" i="0" u="none" strike="noStrike" baseline="0">
                    <a:solidFill>
                      <a:srgbClr val="000000"/>
                    </a:solidFill>
                    <a:latin typeface="Symbol"/>
                    <a:ea typeface="Symbol"/>
                    <a:cs typeface="Symbol"/>
                  </a:defRPr>
                </a:pPr>
                <a:r>
                  <a:rPr lang="de-DE"/>
                  <a:t>e</a:t>
                </a:r>
              </a:p>
            </c:rich>
          </c:tx>
          <c:layout>
            <c:manualLayout>
              <c:xMode val="edge"/>
              <c:yMode val="edge"/>
              <c:x val="0.47172893372173386"/>
              <c:y val="0.9061583577712609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6374784"/>
        <c:crosses val="autoZero"/>
        <c:crossBetween val="midCat"/>
      </c:valAx>
      <c:valAx>
        <c:axId val="1863747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 sz="850" b="1" i="0" u="none" strike="noStrike" baseline="0">
                    <a:solidFill>
                      <a:srgbClr val="000000"/>
                    </a:solidFill>
                    <a:latin typeface="Symbol"/>
                  </a:rPr>
                  <a:t>s</a:t>
                </a:r>
                <a:r>
                  <a:rPr lang="de-DE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[MPa]</a:t>
                </a:r>
                <a:endParaRPr lang="de-DE"/>
              </a:p>
            </c:rich>
          </c:tx>
          <c:layout>
            <c:manualLayout>
              <c:xMode val="edge"/>
              <c:yMode val="edge"/>
              <c:x val="1.9386106623586429E-2"/>
              <c:y val="0.378299120234604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6372864"/>
        <c:crosses val="autoZero"/>
        <c:crossBetween val="midCat"/>
      </c:valAx>
      <c:valAx>
        <c:axId val="186603008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186604544"/>
        <c:crosses val="autoZero"/>
        <c:crossBetween val="midCat"/>
      </c:valAx>
      <c:valAx>
        <c:axId val="186604544"/>
        <c:scaling>
          <c:orientation val="minMax"/>
          <c:max val="3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r</a:t>
                </a:r>
              </a:p>
            </c:rich>
          </c:tx>
          <c:layout>
            <c:manualLayout>
              <c:xMode val="edge"/>
              <c:yMode val="edge"/>
              <c:x val="0.92891828747577798"/>
              <c:y val="0.428152492668621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6603008"/>
        <c:crosses val="max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47554806070826"/>
          <c:y val="4.8022731348018592E-2"/>
          <c:w val="0.76582244725130177"/>
          <c:h val="0.790962633967365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Messdaten!$K$15:$K$656</c:f>
              <c:numCache>
                <c:formatCode>0.000</c:formatCode>
                <c:ptCount val="642"/>
                <c:pt idx="0">
                  <c:v>3.812377415311391E-4</c:v>
                </c:pt>
                <c:pt idx="1">
                  <c:v>3.812377415311391E-4</c:v>
                </c:pt>
                <c:pt idx="2">
                  <c:v>3.812377415311391E-4</c:v>
                </c:pt>
                <c:pt idx="3">
                  <c:v>3.812377415311391E-4</c:v>
                </c:pt>
                <c:pt idx="4">
                  <c:v>3.812377415311391E-4</c:v>
                </c:pt>
                <c:pt idx="5">
                  <c:v>3.812377415311391E-4</c:v>
                </c:pt>
                <c:pt idx="6">
                  <c:v>3.812377415311391E-4</c:v>
                </c:pt>
                <c:pt idx="7">
                  <c:v>3.812377415311391E-4</c:v>
                </c:pt>
                <c:pt idx="8">
                  <c:v>3.812377415311391E-4</c:v>
                </c:pt>
                <c:pt idx="9">
                  <c:v>3.812377415311391E-4</c:v>
                </c:pt>
                <c:pt idx="10">
                  <c:v>3.812377415311391E-4</c:v>
                </c:pt>
                <c:pt idx="11">
                  <c:v>3.812377415311391E-4</c:v>
                </c:pt>
                <c:pt idx="12">
                  <c:v>3.812377415311391E-4</c:v>
                </c:pt>
                <c:pt idx="13">
                  <c:v>3.812377415311391E-4</c:v>
                </c:pt>
                <c:pt idx="14">
                  <c:v>3.812377415311391E-4</c:v>
                </c:pt>
                <c:pt idx="15">
                  <c:v>3.812377415311391E-4</c:v>
                </c:pt>
                <c:pt idx="16">
                  <c:v>3.812377415311391E-4</c:v>
                </c:pt>
                <c:pt idx="17">
                  <c:v>3.812377415311391E-4</c:v>
                </c:pt>
                <c:pt idx="18">
                  <c:v>3.812377415311391E-4</c:v>
                </c:pt>
                <c:pt idx="19">
                  <c:v>3.812377415311391E-4</c:v>
                </c:pt>
                <c:pt idx="20">
                  <c:v>3.812377415311391E-4</c:v>
                </c:pt>
                <c:pt idx="21">
                  <c:v>3.812377415311391E-4</c:v>
                </c:pt>
                <c:pt idx="22">
                  <c:v>3.812377415311391E-4</c:v>
                </c:pt>
                <c:pt idx="23">
                  <c:v>3.812377415311391E-4</c:v>
                </c:pt>
                <c:pt idx="24">
                  <c:v>3.812377415311391E-4</c:v>
                </c:pt>
                <c:pt idx="25">
                  <c:v>3.812377415311391E-4</c:v>
                </c:pt>
                <c:pt idx="26">
                  <c:v>3.812377415311391E-4</c:v>
                </c:pt>
                <c:pt idx="27">
                  <c:v>3.812377415311391E-4</c:v>
                </c:pt>
                <c:pt idx="28">
                  <c:v>3.812377415311391E-4</c:v>
                </c:pt>
                <c:pt idx="29">
                  <c:v>3.812377415311391E-4</c:v>
                </c:pt>
                <c:pt idx="30">
                  <c:v>3.812377415311391E-4</c:v>
                </c:pt>
                <c:pt idx="31">
                  <c:v>3.812377415311391E-4</c:v>
                </c:pt>
                <c:pt idx="32">
                  <c:v>3.812377415311391E-4</c:v>
                </c:pt>
                <c:pt idx="33">
                  <c:v>3.812377415311391E-4</c:v>
                </c:pt>
                <c:pt idx="34">
                  <c:v>3.812377415311391E-4</c:v>
                </c:pt>
                <c:pt idx="35">
                  <c:v>3.812377415311391E-4</c:v>
                </c:pt>
                <c:pt idx="36">
                  <c:v>3.812377415311391E-4</c:v>
                </c:pt>
                <c:pt idx="37">
                  <c:v>3.812377415311391E-4</c:v>
                </c:pt>
                <c:pt idx="38">
                  <c:v>3.812377415311391E-4</c:v>
                </c:pt>
                <c:pt idx="39">
                  <c:v>3.812377415311391E-4</c:v>
                </c:pt>
                <c:pt idx="40">
                  <c:v>3.812377415311391E-4</c:v>
                </c:pt>
                <c:pt idx="41">
                  <c:v>3.812377415311391E-4</c:v>
                </c:pt>
                <c:pt idx="42">
                  <c:v>3.812377415311391E-4</c:v>
                </c:pt>
                <c:pt idx="43">
                  <c:v>3.812377415311391E-4</c:v>
                </c:pt>
                <c:pt idx="44">
                  <c:v>3.812377415311391E-4</c:v>
                </c:pt>
                <c:pt idx="45">
                  <c:v>3.812377415311391E-4</c:v>
                </c:pt>
                <c:pt idx="46">
                  <c:v>3.812377415311391E-4</c:v>
                </c:pt>
                <c:pt idx="47">
                  <c:v>3.812377415311391E-4</c:v>
                </c:pt>
                <c:pt idx="48">
                  <c:v>3.812377415311391E-4</c:v>
                </c:pt>
                <c:pt idx="49">
                  <c:v>3.812377415311391E-4</c:v>
                </c:pt>
                <c:pt idx="50">
                  <c:v>3.812377415311391E-4</c:v>
                </c:pt>
                <c:pt idx="51">
                  <c:v>3.812377415311391E-4</c:v>
                </c:pt>
                <c:pt idx="52">
                  <c:v>3.812377415311391E-4</c:v>
                </c:pt>
                <c:pt idx="53">
                  <c:v>3.812377415311391E-4</c:v>
                </c:pt>
                <c:pt idx="54">
                  <c:v>3.812377415311391E-4</c:v>
                </c:pt>
                <c:pt idx="55">
                  <c:v>3.812377415311391E-4</c:v>
                </c:pt>
                <c:pt idx="56">
                  <c:v>3.812377415311391E-4</c:v>
                </c:pt>
                <c:pt idx="57">
                  <c:v>3.812377415311391E-4</c:v>
                </c:pt>
                <c:pt idx="58">
                  <c:v>3.812377415311391E-4</c:v>
                </c:pt>
                <c:pt idx="59">
                  <c:v>3.812377415311391E-4</c:v>
                </c:pt>
                <c:pt idx="60">
                  <c:v>3.812377415311391E-4</c:v>
                </c:pt>
                <c:pt idx="61">
                  <c:v>3.812377415311391E-4</c:v>
                </c:pt>
                <c:pt idx="62">
                  <c:v>3.812377415311391E-4</c:v>
                </c:pt>
                <c:pt idx="63">
                  <c:v>3.812377415311391E-4</c:v>
                </c:pt>
                <c:pt idx="64">
                  <c:v>3.812377415311391E-4</c:v>
                </c:pt>
                <c:pt idx="65">
                  <c:v>3.812377415311391E-4</c:v>
                </c:pt>
                <c:pt idx="66">
                  <c:v>3.812377415311391E-4</c:v>
                </c:pt>
                <c:pt idx="67">
                  <c:v>3.812377415311391E-4</c:v>
                </c:pt>
                <c:pt idx="68">
                  <c:v>3.812377415311391E-4</c:v>
                </c:pt>
                <c:pt idx="69">
                  <c:v>3.812377415311391E-4</c:v>
                </c:pt>
                <c:pt idx="70">
                  <c:v>3.812377415311391E-4</c:v>
                </c:pt>
                <c:pt idx="71">
                  <c:v>3.812377415311391E-4</c:v>
                </c:pt>
                <c:pt idx="72">
                  <c:v>3.812377415311391E-4</c:v>
                </c:pt>
                <c:pt idx="73">
                  <c:v>3.812377415311391E-4</c:v>
                </c:pt>
                <c:pt idx="74">
                  <c:v>3.812377415311391E-4</c:v>
                </c:pt>
                <c:pt idx="75">
                  <c:v>3.812377415311391E-4</c:v>
                </c:pt>
                <c:pt idx="76">
                  <c:v>3.812377415311391E-4</c:v>
                </c:pt>
                <c:pt idx="77">
                  <c:v>3.812377415311391E-4</c:v>
                </c:pt>
                <c:pt idx="78">
                  <c:v>3.812377415311391E-4</c:v>
                </c:pt>
                <c:pt idx="79">
                  <c:v>3.812377415311391E-4</c:v>
                </c:pt>
                <c:pt idx="80">
                  <c:v>3.812377415311391E-4</c:v>
                </c:pt>
                <c:pt idx="81">
                  <c:v>3.812377415311391E-4</c:v>
                </c:pt>
                <c:pt idx="82">
                  <c:v>3.812377415311391E-4</c:v>
                </c:pt>
                <c:pt idx="83">
                  <c:v>3.812377415311391E-4</c:v>
                </c:pt>
                <c:pt idx="84">
                  <c:v>3.812377415311391E-4</c:v>
                </c:pt>
                <c:pt idx="85">
                  <c:v>3.812377415311391E-4</c:v>
                </c:pt>
                <c:pt idx="86">
                  <c:v>3.812377415311391E-4</c:v>
                </c:pt>
                <c:pt idx="87">
                  <c:v>3.812377415311391E-4</c:v>
                </c:pt>
                <c:pt idx="88">
                  <c:v>3.812377415311391E-4</c:v>
                </c:pt>
                <c:pt idx="89">
                  <c:v>3.812377415311391E-4</c:v>
                </c:pt>
                <c:pt idx="90">
                  <c:v>3.812377415311391E-4</c:v>
                </c:pt>
                <c:pt idx="91">
                  <c:v>3.812377415311391E-4</c:v>
                </c:pt>
                <c:pt idx="92">
                  <c:v>3.812377415311391E-4</c:v>
                </c:pt>
                <c:pt idx="93">
                  <c:v>3.812377415311391E-4</c:v>
                </c:pt>
                <c:pt idx="94">
                  <c:v>3.812377415311391E-4</c:v>
                </c:pt>
                <c:pt idx="95">
                  <c:v>3.812377415311391E-4</c:v>
                </c:pt>
                <c:pt idx="96">
                  <c:v>3.812377415311391E-4</c:v>
                </c:pt>
                <c:pt idx="97">
                  <c:v>3.812377415311391E-4</c:v>
                </c:pt>
                <c:pt idx="98">
                  <c:v>3.812377415311391E-4</c:v>
                </c:pt>
                <c:pt idx="99">
                  <c:v>3.812377415311391E-4</c:v>
                </c:pt>
                <c:pt idx="100">
                  <c:v>3.812377415311391E-4</c:v>
                </c:pt>
                <c:pt idx="101">
                  <c:v>3.812377415311391E-4</c:v>
                </c:pt>
                <c:pt idx="102">
                  <c:v>3.812377415311391E-4</c:v>
                </c:pt>
                <c:pt idx="103">
                  <c:v>3.812377415311391E-4</c:v>
                </c:pt>
                <c:pt idx="104">
                  <c:v>3.812377415311391E-4</c:v>
                </c:pt>
                <c:pt idx="105">
                  <c:v>3.812377415311391E-4</c:v>
                </c:pt>
                <c:pt idx="106">
                  <c:v>3.812377415311391E-4</c:v>
                </c:pt>
                <c:pt idx="107">
                  <c:v>3.812377415311391E-4</c:v>
                </c:pt>
                <c:pt idx="108">
                  <c:v>3.812377415311391E-4</c:v>
                </c:pt>
                <c:pt idx="109">
                  <c:v>3.812377415311391E-4</c:v>
                </c:pt>
                <c:pt idx="110">
                  <c:v>3.812377415311391E-4</c:v>
                </c:pt>
                <c:pt idx="111">
                  <c:v>3.812377415311391E-4</c:v>
                </c:pt>
                <c:pt idx="112">
                  <c:v>3.812377415311391E-4</c:v>
                </c:pt>
                <c:pt idx="113">
                  <c:v>3.812377415311391E-4</c:v>
                </c:pt>
                <c:pt idx="114">
                  <c:v>3.812377415311391E-4</c:v>
                </c:pt>
                <c:pt idx="115">
                  <c:v>3.812377415311391E-4</c:v>
                </c:pt>
                <c:pt idx="116">
                  <c:v>3.812377415311391E-4</c:v>
                </c:pt>
                <c:pt idx="117">
                  <c:v>3.812377415311391E-4</c:v>
                </c:pt>
                <c:pt idx="118">
                  <c:v>3.812377415311391E-4</c:v>
                </c:pt>
                <c:pt idx="119">
                  <c:v>3.812377415311391E-4</c:v>
                </c:pt>
                <c:pt idx="120">
                  <c:v>3.812377415311391E-4</c:v>
                </c:pt>
                <c:pt idx="121">
                  <c:v>3.812377415311391E-4</c:v>
                </c:pt>
                <c:pt idx="122">
                  <c:v>3.812377415311391E-4</c:v>
                </c:pt>
                <c:pt idx="123">
                  <c:v>3.812377415311391E-4</c:v>
                </c:pt>
                <c:pt idx="124">
                  <c:v>3.812377415311391E-4</c:v>
                </c:pt>
                <c:pt idx="125">
                  <c:v>3.812377415311391E-4</c:v>
                </c:pt>
                <c:pt idx="126">
                  <c:v>3.812377415311391E-4</c:v>
                </c:pt>
                <c:pt idx="127">
                  <c:v>3.812377415311391E-4</c:v>
                </c:pt>
                <c:pt idx="128">
                  <c:v>3.812377415311391E-4</c:v>
                </c:pt>
                <c:pt idx="129">
                  <c:v>3.812377415311391E-4</c:v>
                </c:pt>
                <c:pt idx="130">
                  <c:v>3.812377415311391E-4</c:v>
                </c:pt>
                <c:pt idx="131">
                  <c:v>3.812377415311391E-4</c:v>
                </c:pt>
                <c:pt idx="132">
                  <c:v>3.812377415311391E-4</c:v>
                </c:pt>
                <c:pt idx="133">
                  <c:v>3.812377415311391E-4</c:v>
                </c:pt>
                <c:pt idx="134">
                  <c:v>3.812377415311391E-4</c:v>
                </c:pt>
                <c:pt idx="135">
                  <c:v>3.812377415311391E-4</c:v>
                </c:pt>
                <c:pt idx="136">
                  <c:v>3.812377415311391E-4</c:v>
                </c:pt>
                <c:pt idx="137">
                  <c:v>3.812377415311391E-4</c:v>
                </c:pt>
                <c:pt idx="138">
                  <c:v>3.812377415311391E-4</c:v>
                </c:pt>
                <c:pt idx="139">
                  <c:v>3.812377415311391E-4</c:v>
                </c:pt>
                <c:pt idx="140">
                  <c:v>3.812377415311391E-4</c:v>
                </c:pt>
                <c:pt idx="141">
                  <c:v>3.812377415311391E-4</c:v>
                </c:pt>
                <c:pt idx="142">
                  <c:v>3.812377415311391E-4</c:v>
                </c:pt>
                <c:pt idx="143">
                  <c:v>3.812377415311391E-4</c:v>
                </c:pt>
                <c:pt idx="144">
                  <c:v>3.812377415311391E-4</c:v>
                </c:pt>
                <c:pt idx="145">
                  <c:v>3.812377415311391E-4</c:v>
                </c:pt>
                <c:pt idx="146">
                  <c:v>3.812377415311391E-4</c:v>
                </c:pt>
                <c:pt idx="147">
                  <c:v>3.812377415311391E-4</c:v>
                </c:pt>
                <c:pt idx="148">
                  <c:v>3.812377415311391E-4</c:v>
                </c:pt>
                <c:pt idx="149">
                  <c:v>3.812377415311391E-4</c:v>
                </c:pt>
                <c:pt idx="150">
                  <c:v>3.812377415311391E-4</c:v>
                </c:pt>
                <c:pt idx="151">
                  <c:v>3.812377415311391E-4</c:v>
                </c:pt>
                <c:pt idx="152">
                  <c:v>3.812377415311391E-4</c:v>
                </c:pt>
                <c:pt idx="153">
                  <c:v>3.812377415311391E-4</c:v>
                </c:pt>
                <c:pt idx="154">
                  <c:v>3.812377415311391E-4</c:v>
                </c:pt>
                <c:pt idx="155">
                  <c:v>3.812377415311391E-4</c:v>
                </c:pt>
                <c:pt idx="156">
                  <c:v>3.812377415311391E-4</c:v>
                </c:pt>
                <c:pt idx="157">
                  <c:v>3.812377415311391E-4</c:v>
                </c:pt>
                <c:pt idx="158">
                  <c:v>3.812377415311391E-4</c:v>
                </c:pt>
                <c:pt idx="159">
                  <c:v>3.812377415311391E-4</c:v>
                </c:pt>
                <c:pt idx="160">
                  <c:v>3.812377415311391E-4</c:v>
                </c:pt>
                <c:pt idx="161">
                  <c:v>3.812377415311391E-4</c:v>
                </c:pt>
                <c:pt idx="162">
                  <c:v>3.812377415311391E-4</c:v>
                </c:pt>
                <c:pt idx="163">
                  <c:v>3.812377415311391E-4</c:v>
                </c:pt>
                <c:pt idx="164">
                  <c:v>3.812377415311391E-4</c:v>
                </c:pt>
                <c:pt idx="165">
                  <c:v>3.812377415311391E-4</c:v>
                </c:pt>
                <c:pt idx="166">
                  <c:v>3.812377415311391E-4</c:v>
                </c:pt>
                <c:pt idx="167">
                  <c:v>3.812377415311391E-4</c:v>
                </c:pt>
                <c:pt idx="168">
                  <c:v>3.812377415311391E-4</c:v>
                </c:pt>
                <c:pt idx="169">
                  <c:v>3.812377415311391E-4</c:v>
                </c:pt>
                <c:pt idx="170">
                  <c:v>3.812377415311391E-4</c:v>
                </c:pt>
                <c:pt idx="171">
                  <c:v>3.812377415311391E-4</c:v>
                </c:pt>
                <c:pt idx="172">
                  <c:v>3.812377415311391E-4</c:v>
                </c:pt>
                <c:pt idx="173">
                  <c:v>3.812377415311391E-4</c:v>
                </c:pt>
                <c:pt idx="174">
                  <c:v>3.812377415311391E-4</c:v>
                </c:pt>
                <c:pt idx="175">
                  <c:v>3.812377415311391E-4</c:v>
                </c:pt>
                <c:pt idx="176">
                  <c:v>3.812377415311391E-4</c:v>
                </c:pt>
                <c:pt idx="177">
                  <c:v>3.812377415311391E-4</c:v>
                </c:pt>
                <c:pt idx="178">
                  <c:v>3.812377415311391E-4</c:v>
                </c:pt>
                <c:pt idx="179">
                  <c:v>3.812377415311391E-4</c:v>
                </c:pt>
                <c:pt idx="180">
                  <c:v>3.812377415311391E-4</c:v>
                </c:pt>
                <c:pt idx="181">
                  <c:v>3.812377415311391E-4</c:v>
                </c:pt>
                <c:pt idx="182">
                  <c:v>3.812377415311391E-4</c:v>
                </c:pt>
                <c:pt idx="183">
                  <c:v>3.812377415311391E-4</c:v>
                </c:pt>
                <c:pt idx="184">
                  <c:v>3.812377415311391E-4</c:v>
                </c:pt>
                <c:pt idx="185">
                  <c:v>3.812377415311391E-4</c:v>
                </c:pt>
                <c:pt idx="186">
                  <c:v>3.812377415311391E-4</c:v>
                </c:pt>
                <c:pt idx="187">
                  <c:v>3.812377415311391E-4</c:v>
                </c:pt>
                <c:pt idx="188">
                  <c:v>3.812377415311391E-4</c:v>
                </c:pt>
                <c:pt idx="189">
                  <c:v>3.812377415311391E-4</c:v>
                </c:pt>
                <c:pt idx="190">
                  <c:v>3.812377415311391E-4</c:v>
                </c:pt>
                <c:pt idx="191">
                  <c:v>3.812377415311391E-4</c:v>
                </c:pt>
                <c:pt idx="192">
                  <c:v>3.812377415311391E-4</c:v>
                </c:pt>
                <c:pt idx="193">
                  <c:v>3.812377415311391E-4</c:v>
                </c:pt>
                <c:pt idx="194">
                  <c:v>3.812377415311391E-4</c:v>
                </c:pt>
                <c:pt idx="195">
                  <c:v>3.812377415311391E-4</c:v>
                </c:pt>
                <c:pt idx="196">
                  <c:v>3.812377415311391E-4</c:v>
                </c:pt>
                <c:pt idx="197">
                  <c:v>3.812377415311391E-4</c:v>
                </c:pt>
                <c:pt idx="198">
                  <c:v>3.812377415311391E-4</c:v>
                </c:pt>
                <c:pt idx="199">
                  <c:v>3.812377415311391E-4</c:v>
                </c:pt>
                <c:pt idx="200">
                  <c:v>3.812377415311391E-4</c:v>
                </c:pt>
                <c:pt idx="201">
                  <c:v>3.812377415311391E-4</c:v>
                </c:pt>
                <c:pt idx="202">
                  <c:v>3.812377415311391E-4</c:v>
                </c:pt>
                <c:pt idx="203">
                  <c:v>3.812377415311391E-4</c:v>
                </c:pt>
                <c:pt idx="204">
                  <c:v>3.812377415311391E-4</c:v>
                </c:pt>
                <c:pt idx="205">
                  <c:v>3.812377415311391E-4</c:v>
                </c:pt>
                <c:pt idx="206">
                  <c:v>3.812377415311391E-4</c:v>
                </c:pt>
                <c:pt idx="207">
                  <c:v>3.812377415311391E-4</c:v>
                </c:pt>
                <c:pt idx="208">
                  <c:v>3.812377415311391E-4</c:v>
                </c:pt>
                <c:pt idx="209">
                  <c:v>3.812377415311391E-4</c:v>
                </c:pt>
                <c:pt idx="210">
                  <c:v>3.812377415311391E-4</c:v>
                </c:pt>
                <c:pt idx="211">
                  <c:v>3.812377415311391E-4</c:v>
                </c:pt>
                <c:pt idx="212">
                  <c:v>3.812377415311391E-4</c:v>
                </c:pt>
                <c:pt idx="213">
                  <c:v>3.812377415311391E-4</c:v>
                </c:pt>
                <c:pt idx="214">
                  <c:v>3.812377415311391E-4</c:v>
                </c:pt>
                <c:pt idx="215">
                  <c:v>3.812377415311391E-4</c:v>
                </c:pt>
                <c:pt idx="216">
                  <c:v>3.812377415311391E-4</c:v>
                </c:pt>
                <c:pt idx="217">
                  <c:v>3.812377415311391E-4</c:v>
                </c:pt>
                <c:pt idx="218">
                  <c:v>3.812377415311391E-4</c:v>
                </c:pt>
                <c:pt idx="219">
                  <c:v>3.812377415311391E-4</c:v>
                </c:pt>
                <c:pt idx="220">
                  <c:v>3.812377415311391E-4</c:v>
                </c:pt>
                <c:pt idx="221">
                  <c:v>3.812377415311391E-4</c:v>
                </c:pt>
                <c:pt idx="222">
                  <c:v>3.812377415311391E-4</c:v>
                </c:pt>
                <c:pt idx="223">
                  <c:v>3.812377415311391E-4</c:v>
                </c:pt>
                <c:pt idx="224">
                  <c:v>3.812377415311391E-4</c:v>
                </c:pt>
                <c:pt idx="225">
                  <c:v>3.812377415311391E-4</c:v>
                </c:pt>
                <c:pt idx="226">
                  <c:v>3.812377415311391E-4</c:v>
                </c:pt>
                <c:pt idx="227">
                  <c:v>3.812377415311391E-4</c:v>
                </c:pt>
                <c:pt idx="228">
                  <c:v>3.812377415311391E-4</c:v>
                </c:pt>
                <c:pt idx="229">
                  <c:v>3.812377415311391E-4</c:v>
                </c:pt>
                <c:pt idx="230">
                  <c:v>3.812377415311391E-4</c:v>
                </c:pt>
                <c:pt idx="231">
                  <c:v>3.812377415311391E-4</c:v>
                </c:pt>
                <c:pt idx="232">
                  <c:v>3.812377415311391E-4</c:v>
                </c:pt>
                <c:pt idx="233">
                  <c:v>3.812377415311391E-4</c:v>
                </c:pt>
                <c:pt idx="234">
                  <c:v>3.812377415311391E-4</c:v>
                </c:pt>
                <c:pt idx="235">
                  <c:v>3.812377415311391E-4</c:v>
                </c:pt>
                <c:pt idx="236">
                  <c:v>3.812377415311391E-4</c:v>
                </c:pt>
                <c:pt idx="237">
                  <c:v>3.812377415311391E-4</c:v>
                </c:pt>
                <c:pt idx="238">
                  <c:v>3.812377415311391E-4</c:v>
                </c:pt>
                <c:pt idx="239">
                  <c:v>3.812377415311391E-4</c:v>
                </c:pt>
                <c:pt idx="240">
                  <c:v>3.812377415311391E-4</c:v>
                </c:pt>
                <c:pt idx="241">
                  <c:v>3.812377415311391E-4</c:v>
                </c:pt>
                <c:pt idx="242">
                  <c:v>3.812377415311391E-4</c:v>
                </c:pt>
                <c:pt idx="243">
                  <c:v>3.812377415311391E-4</c:v>
                </c:pt>
                <c:pt idx="244">
                  <c:v>3.812377415311391E-4</c:v>
                </c:pt>
                <c:pt idx="245">
                  <c:v>3.812377415311391E-4</c:v>
                </c:pt>
                <c:pt idx="246">
                  <c:v>3.812377415311391E-4</c:v>
                </c:pt>
                <c:pt idx="247">
                  <c:v>3.812377415311391E-4</c:v>
                </c:pt>
                <c:pt idx="248">
                  <c:v>3.812377415311391E-4</c:v>
                </c:pt>
                <c:pt idx="249">
                  <c:v>3.812377415311391E-4</c:v>
                </c:pt>
                <c:pt idx="250">
                  <c:v>3.812377415311391E-4</c:v>
                </c:pt>
                <c:pt idx="251">
                  <c:v>3.812377415311391E-4</c:v>
                </c:pt>
                <c:pt idx="252">
                  <c:v>3.812377415311391E-4</c:v>
                </c:pt>
                <c:pt idx="253">
                  <c:v>3.812377415311391E-4</c:v>
                </c:pt>
                <c:pt idx="254">
                  <c:v>3.812377415311391E-4</c:v>
                </c:pt>
                <c:pt idx="255">
                  <c:v>3.812377415311391E-4</c:v>
                </c:pt>
                <c:pt idx="256">
                  <c:v>3.812377415311391E-4</c:v>
                </c:pt>
                <c:pt idx="257">
                  <c:v>3.812377415311391E-4</c:v>
                </c:pt>
                <c:pt idx="258">
                  <c:v>3.812377415311391E-4</c:v>
                </c:pt>
                <c:pt idx="259">
                  <c:v>3.812377415311391E-4</c:v>
                </c:pt>
                <c:pt idx="260">
                  <c:v>3.812377415311391E-4</c:v>
                </c:pt>
                <c:pt idx="261">
                  <c:v>3.812377415311391E-4</c:v>
                </c:pt>
                <c:pt idx="262">
                  <c:v>3.812377415311391E-4</c:v>
                </c:pt>
                <c:pt idx="263">
                  <c:v>3.812377415311391E-4</c:v>
                </c:pt>
                <c:pt idx="264">
                  <c:v>3.812377415311391E-4</c:v>
                </c:pt>
                <c:pt idx="265">
                  <c:v>3.812377415311391E-4</c:v>
                </c:pt>
                <c:pt idx="266">
                  <c:v>3.812377415311391E-4</c:v>
                </c:pt>
                <c:pt idx="267">
                  <c:v>3.812377415311391E-4</c:v>
                </c:pt>
                <c:pt idx="268">
                  <c:v>3.812377415311391E-4</c:v>
                </c:pt>
                <c:pt idx="269">
                  <c:v>3.812377415311391E-4</c:v>
                </c:pt>
                <c:pt idx="270">
                  <c:v>3.812377415311391E-4</c:v>
                </c:pt>
                <c:pt idx="271">
                  <c:v>3.812377415311391E-4</c:v>
                </c:pt>
                <c:pt idx="272">
                  <c:v>3.812377415311391E-4</c:v>
                </c:pt>
                <c:pt idx="273">
                  <c:v>3.812377415311391E-4</c:v>
                </c:pt>
                <c:pt idx="274">
                  <c:v>3.812377415311391E-4</c:v>
                </c:pt>
                <c:pt idx="275">
                  <c:v>3.812377415311391E-4</c:v>
                </c:pt>
                <c:pt idx="276">
                  <c:v>3.812377415311391E-4</c:v>
                </c:pt>
                <c:pt idx="277">
                  <c:v>3.812377415311391E-4</c:v>
                </c:pt>
                <c:pt idx="278">
                  <c:v>3.812377415311391E-4</c:v>
                </c:pt>
                <c:pt idx="279">
                  <c:v>3.812377415311391E-4</c:v>
                </c:pt>
                <c:pt idx="280">
                  <c:v>3.812377415311391E-4</c:v>
                </c:pt>
                <c:pt idx="281">
                  <c:v>3.812377415311391E-4</c:v>
                </c:pt>
                <c:pt idx="282">
                  <c:v>3.812377415311391E-4</c:v>
                </c:pt>
                <c:pt idx="283">
                  <c:v>3.812377415311391E-4</c:v>
                </c:pt>
                <c:pt idx="284">
                  <c:v>3.812377415311391E-4</c:v>
                </c:pt>
                <c:pt idx="285">
                  <c:v>3.812377415311391E-4</c:v>
                </c:pt>
                <c:pt idx="286">
                  <c:v>3.812377415311391E-4</c:v>
                </c:pt>
                <c:pt idx="287">
                  <c:v>3.812377415311391E-4</c:v>
                </c:pt>
                <c:pt idx="288">
                  <c:v>3.812377415311391E-4</c:v>
                </c:pt>
                <c:pt idx="289">
                  <c:v>3.812377415311391E-4</c:v>
                </c:pt>
                <c:pt idx="290">
                  <c:v>3.812377415311391E-4</c:v>
                </c:pt>
                <c:pt idx="291">
                  <c:v>3.812377415311391E-4</c:v>
                </c:pt>
                <c:pt idx="292">
                  <c:v>3.812377415311391E-4</c:v>
                </c:pt>
                <c:pt idx="293">
                  <c:v>3.812377415311391E-4</c:v>
                </c:pt>
                <c:pt idx="294">
                  <c:v>3.812377415311391E-4</c:v>
                </c:pt>
                <c:pt idx="295">
                  <c:v>3.812377415311391E-4</c:v>
                </c:pt>
                <c:pt idx="296">
                  <c:v>3.812377415311391E-4</c:v>
                </c:pt>
                <c:pt idx="297">
                  <c:v>3.812377415311391E-4</c:v>
                </c:pt>
                <c:pt idx="298">
                  <c:v>3.812377415311391E-4</c:v>
                </c:pt>
                <c:pt idx="299">
                  <c:v>3.812377415311391E-4</c:v>
                </c:pt>
                <c:pt idx="300">
                  <c:v>3.812377415311391E-4</c:v>
                </c:pt>
                <c:pt idx="301">
                  <c:v>3.812377415311391E-4</c:v>
                </c:pt>
                <c:pt idx="302">
                  <c:v>3.812377415311391E-4</c:v>
                </c:pt>
                <c:pt idx="303">
                  <c:v>3.812377415311391E-4</c:v>
                </c:pt>
                <c:pt idx="304">
                  <c:v>3.812377415311391E-4</c:v>
                </c:pt>
                <c:pt idx="305">
                  <c:v>3.812377415311391E-4</c:v>
                </c:pt>
                <c:pt idx="306">
                  <c:v>3.812377415311391E-4</c:v>
                </c:pt>
                <c:pt idx="307">
                  <c:v>3.812377415311391E-4</c:v>
                </c:pt>
                <c:pt idx="308">
                  <c:v>3.812377415311391E-4</c:v>
                </c:pt>
                <c:pt idx="309">
                  <c:v>3.812377415311391E-4</c:v>
                </c:pt>
                <c:pt idx="310">
                  <c:v>3.812377415311391E-4</c:v>
                </c:pt>
                <c:pt idx="311">
                  <c:v>3.812377415311391E-4</c:v>
                </c:pt>
                <c:pt idx="312">
                  <c:v>3.812377415311391E-4</c:v>
                </c:pt>
                <c:pt idx="313">
                  <c:v>3.812377415311391E-4</c:v>
                </c:pt>
                <c:pt idx="314">
                  <c:v>3.812377415311391E-4</c:v>
                </c:pt>
                <c:pt idx="315">
                  <c:v>3.812377415311391E-4</c:v>
                </c:pt>
                <c:pt idx="316">
                  <c:v>3.812377415311391E-4</c:v>
                </c:pt>
                <c:pt idx="317">
                  <c:v>3.812377415311391E-4</c:v>
                </c:pt>
                <c:pt idx="318">
                  <c:v>3.812377415311391E-4</c:v>
                </c:pt>
                <c:pt idx="319">
                  <c:v>3.812377415311391E-4</c:v>
                </c:pt>
                <c:pt idx="320">
                  <c:v>3.812377415311391E-4</c:v>
                </c:pt>
                <c:pt idx="321">
                  <c:v>3.812377415311391E-4</c:v>
                </c:pt>
                <c:pt idx="322">
                  <c:v>3.812377415311391E-4</c:v>
                </c:pt>
                <c:pt idx="323">
                  <c:v>3.812377415311391E-4</c:v>
                </c:pt>
                <c:pt idx="324">
                  <c:v>3.812377415311391E-4</c:v>
                </c:pt>
                <c:pt idx="325">
                  <c:v>3.812377415311391E-4</c:v>
                </c:pt>
                <c:pt idx="326">
                  <c:v>3.812377415311391E-4</c:v>
                </c:pt>
                <c:pt idx="327">
                  <c:v>3.812377415311391E-4</c:v>
                </c:pt>
                <c:pt idx="328">
                  <c:v>3.812377415311391E-4</c:v>
                </c:pt>
                <c:pt idx="329">
                  <c:v>3.812377415311391E-4</c:v>
                </c:pt>
                <c:pt idx="330">
                  <c:v>3.812377415311391E-4</c:v>
                </c:pt>
                <c:pt idx="331">
                  <c:v>3.812377415311391E-4</c:v>
                </c:pt>
                <c:pt idx="332">
                  <c:v>3.812377415311391E-4</c:v>
                </c:pt>
                <c:pt idx="333">
                  <c:v>3.812377415311391E-4</c:v>
                </c:pt>
                <c:pt idx="334">
                  <c:v>3.812377415311391E-4</c:v>
                </c:pt>
                <c:pt idx="335">
                  <c:v>3.812377415311391E-4</c:v>
                </c:pt>
                <c:pt idx="336">
                  <c:v>3.812377415311391E-4</c:v>
                </c:pt>
                <c:pt idx="337">
                  <c:v>3.812377415311391E-4</c:v>
                </c:pt>
                <c:pt idx="338">
                  <c:v>3.812377415311391E-4</c:v>
                </c:pt>
                <c:pt idx="339">
                  <c:v>3.812377415311391E-4</c:v>
                </c:pt>
                <c:pt idx="340">
                  <c:v>3.812377415311391E-4</c:v>
                </c:pt>
                <c:pt idx="341">
                  <c:v>3.812377415311391E-4</c:v>
                </c:pt>
                <c:pt idx="342">
                  <c:v>3.812377415311391E-4</c:v>
                </c:pt>
                <c:pt idx="343">
                  <c:v>3.812377415311391E-4</c:v>
                </c:pt>
                <c:pt idx="344">
                  <c:v>3.812377415311391E-4</c:v>
                </c:pt>
                <c:pt idx="345">
                  <c:v>3.812377415311391E-4</c:v>
                </c:pt>
                <c:pt idx="346">
                  <c:v>3.812377415311391E-4</c:v>
                </c:pt>
                <c:pt idx="347">
                  <c:v>3.812377415311391E-4</c:v>
                </c:pt>
                <c:pt idx="348">
                  <c:v>3.812377415311391E-4</c:v>
                </c:pt>
                <c:pt idx="349">
                  <c:v>3.812377415311391E-4</c:v>
                </c:pt>
                <c:pt idx="350">
                  <c:v>3.812377415311391E-4</c:v>
                </c:pt>
                <c:pt idx="351">
                  <c:v>3.812377415311391E-4</c:v>
                </c:pt>
                <c:pt idx="352">
                  <c:v>3.812377415311391E-4</c:v>
                </c:pt>
                <c:pt idx="353">
                  <c:v>3.812377415311391E-4</c:v>
                </c:pt>
                <c:pt idx="354">
                  <c:v>3.812377415311391E-4</c:v>
                </c:pt>
                <c:pt idx="355">
                  <c:v>3.812377415311391E-4</c:v>
                </c:pt>
                <c:pt idx="356">
                  <c:v>3.812377415311391E-4</c:v>
                </c:pt>
                <c:pt idx="357">
                  <c:v>3.812377415311391E-4</c:v>
                </c:pt>
                <c:pt idx="358">
                  <c:v>3.812377415311391E-4</c:v>
                </c:pt>
                <c:pt idx="359">
                  <c:v>3.812377415311391E-4</c:v>
                </c:pt>
                <c:pt idx="360">
                  <c:v>3.812377415311391E-4</c:v>
                </c:pt>
                <c:pt idx="361">
                  <c:v>3.812377415311391E-4</c:v>
                </c:pt>
                <c:pt idx="362">
                  <c:v>3.812377415311391E-4</c:v>
                </c:pt>
                <c:pt idx="363">
                  <c:v>3.812377415311391E-4</c:v>
                </c:pt>
                <c:pt idx="364">
                  <c:v>3.812377415311391E-4</c:v>
                </c:pt>
                <c:pt idx="365">
                  <c:v>3.812377415311391E-4</c:v>
                </c:pt>
                <c:pt idx="366">
                  <c:v>3.812377415311391E-4</c:v>
                </c:pt>
                <c:pt idx="367">
                  <c:v>3.812377415311391E-4</c:v>
                </c:pt>
                <c:pt idx="368">
                  <c:v>3.812377415311391E-4</c:v>
                </c:pt>
                <c:pt idx="369">
                  <c:v>3.812377415311391E-4</c:v>
                </c:pt>
                <c:pt idx="370">
                  <c:v>3.812377415311391E-4</c:v>
                </c:pt>
                <c:pt idx="371">
                  <c:v>3.812377415311391E-4</c:v>
                </c:pt>
                <c:pt idx="372">
                  <c:v>3.812377415311391E-4</c:v>
                </c:pt>
                <c:pt idx="373">
                  <c:v>3.812377415311391E-4</c:v>
                </c:pt>
                <c:pt idx="374">
                  <c:v>3.812377415311391E-4</c:v>
                </c:pt>
                <c:pt idx="375">
                  <c:v>3.812377415311391E-4</c:v>
                </c:pt>
                <c:pt idx="376">
                  <c:v>3.812377415311391E-4</c:v>
                </c:pt>
                <c:pt idx="377">
                  <c:v>3.812377415311391E-4</c:v>
                </c:pt>
                <c:pt idx="378">
                  <c:v>3.812377415311391E-4</c:v>
                </c:pt>
                <c:pt idx="379">
                  <c:v>3.812377415311391E-4</c:v>
                </c:pt>
                <c:pt idx="380">
                  <c:v>3.812377415311391E-4</c:v>
                </c:pt>
                <c:pt idx="381">
                  <c:v>3.812377415311391E-4</c:v>
                </c:pt>
                <c:pt idx="382">
                  <c:v>3.812377415311391E-4</c:v>
                </c:pt>
                <c:pt idx="383">
                  <c:v>3.812377415311391E-4</c:v>
                </c:pt>
                <c:pt idx="384">
                  <c:v>3.812377415311391E-4</c:v>
                </c:pt>
                <c:pt idx="385">
                  <c:v>3.812377415311391E-4</c:v>
                </c:pt>
                <c:pt idx="386">
                  <c:v>3.812377415311391E-4</c:v>
                </c:pt>
                <c:pt idx="387">
                  <c:v>3.812377415311391E-4</c:v>
                </c:pt>
                <c:pt idx="388">
                  <c:v>3.812377415311391E-4</c:v>
                </c:pt>
                <c:pt idx="389">
                  <c:v>3.812377415311391E-4</c:v>
                </c:pt>
                <c:pt idx="390">
                  <c:v>3.812377415311391E-4</c:v>
                </c:pt>
                <c:pt idx="391">
                  <c:v>3.812377415311391E-4</c:v>
                </c:pt>
                <c:pt idx="392">
                  <c:v>3.812377415311391E-4</c:v>
                </c:pt>
                <c:pt idx="393">
                  <c:v>3.812377415311391E-4</c:v>
                </c:pt>
                <c:pt idx="394">
                  <c:v>3.812377415311391E-4</c:v>
                </c:pt>
                <c:pt idx="395">
                  <c:v>3.812377415311391E-4</c:v>
                </c:pt>
                <c:pt idx="396">
                  <c:v>3.812377415311391E-4</c:v>
                </c:pt>
                <c:pt idx="397">
                  <c:v>3.812377415311391E-4</c:v>
                </c:pt>
                <c:pt idx="398">
                  <c:v>3.812377415311391E-4</c:v>
                </c:pt>
                <c:pt idx="399">
                  <c:v>3.812377415311391E-4</c:v>
                </c:pt>
                <c:pt idx="400">
                  <c:v>3.812377415311391E-4</c:v>
                </c:pt>
                <c:pt idx="401">
                  <c:v>3.812377415311391E-4</c:v>
                </c:pt>
                <c:pt idx="402">
                  <c:v>3.812377415311391E-4</c:v>
                </c:pt>
                <c:pt idx="403">
                  <c:v>3.812377415311391E-4</c:v>
                </c:pt>
                <c:pt idx="404">
                  <c:v>3.812377415311391E-4</c:v>
                </c:pt>
                <c:pt idx="405">
                  <c:v>3.812377415311391E-4</c:v>
                </c:pt>
                <c:pt idx="406">
                  <c:v>3.812377415311391E-4</c:v>
                </c:pt>
                <c:pt idx="407">
                  <c:v>3.812377415311391E-4</c:v>
                </c:pt>
                <c:pt idx="408">
                  <c:v>3.812377415311391E-4</c:v>
                </c:pt>
                <c:pt idx="409">
                  <c:v>3.812377415311391E-4</c:v>
                </c:pt>
                <c:pt idx="410">
                  <c:v>3.812377415311391E-4</c:v>
                </c:pt>
                <c:pt idx="411">
                  <c:v>3.812377415311391E-4</c:v>
                </c:pt>
                <c:pt idx="412">
                  <c:v>3.812377415311391E-4</c:v>
                </c:pt>
                <c:pt idx="413">
                  <c:v>3.812377415311391E-4</c:v>
                </c:pt>
                <c:pt idx="414">
                  <c:v>3.812377415311391E-4</c:v>
                </c:pt>
                <c:pt idx="415">
                  <c:v>3.812377415311391E-4</c:v>
                </c:pt>
                <c:pt idx="416">
                  <c:v>3.812377415311391E-4</c:v>
                </c:pt>
                <c:pt idx="417">
                  <c:v>3.812377415311391E-4</c:v>
                </c:pt>
                <c:pt idx="418">
                  <c:v>3.812377415311391E-4</c:v>
                </c:pt>
                <c:pt idx="419">
                  <c:v>3.812377415311391E-4</c:v>
                </c:pt>
                <c:pt idx="420">
                  <c:v>3.812377415311391E-4</c:v>
                </c:pt>
                <c:pt idx="421">
                  <c:v>3.812377415311391E-4</c:v>
                </c:pt>
                <c:pt idx="422">
                  <c:v>3.812377415311391E-4</c:v>
                </c:pt>
                <c:pt idx="423">
                  <c:v>3.812377415311391E-4</c:v>
                </c:pt>
                <c:pt idx="424">
                  <c:v>3.812377415311391E-4</c:v>
                </c:pt>
                <c:pt idx="425">
                  <c:v>3.812377415311391E-4</c:v>
                </c:pt>
                <c:pt idx="426">
                  <c:v>3.812377415311391E-4</c:v>
                </c:pt>
                <c:pt idx="427">
                  <c:v>3.812377415311391E-4</c:v>
                </c:pt>
                <c:pt idx="428">
                  <c:v>3.812377415311391E-4</c:v>
                </c:pt>
                <c:pt idx="429">
                  <c:v>3.812377415311391E-4</c:v>
                </c:pt>
                <c:pt idx="430">
                  <c:v>3.812377415311391E-4</c:v>
                </c:pt>
                <c:pt idx="431">
                  <c:v>3.812377415311391E-4</c:v>
                </c:pt>
                <c:pt idx="432">
                  <c:v>3.812377415311391E-4</c:v>
                </c:pt>
                <c:pt idx="433">
                  <c:v>3.812377415311391E-4</c:v>
                </c:pt>
                <c:pt idx="434">
                  <c:v>3.812377415311391E-4</c:v>
                </c:pt>
                <c:pt idx="435">
                  <c:v>3.812377415311391E-4</c:v>
                </c:pt>
                <c:pt idx="436">
                  <c:v>3.812377415311391E-4</c:v>
                </c:pt>
                <c:pt idx="437">
                  <c:v>3.812377415311391E-4</c:v>
                </c:pt>
                <c:pt idx="438">
                  <c:v>3.812377415311391E-4</c:v>
                </c:pt>
                <c:pt idx="439">
                  <c:v>3.812377415311391E-4</c:v>
                </c:pt>
                <c:pt idx="440">
                  <c:v>3.812377415311391E-4</c:v>
                </c:pt>
                <c:pt idx="441">
                  <c:v>3.812377415311391E-4</c:v>
                </c:pt>
                <c:pt idx="442">
                  <c:v>3.812377415311391E-4</c:v>
                </c:pt>
                <c:pt idx="443">
                  <c:v>3.812377415311391E-4</c:v>
                </c:pt>
                <c:pt idx="444">
                  <c:v>3.812377415311391E-4</c:v>
                </c:pt>
                <c:pt idx="445">
                  <c:v>3.812377415311391E-4</c:v>
                </c:pt>
                <c:pt idx="446">
                  <c:v>3.812377415311391E-4</c:v>
                </c:pt>
                <c:pt idx="447">
                  <c:v>3.812377415311391E-4</c:v>
                </c:pt>
                <c:pt idx="448">
                  <c:v>3.812377415311391E-4</c:v>
                </c:pt>
                <c:pt idx="449">
                  <c:v>3.812377415311391E-4</c:v>
                </c:pt>
                <c:pt idx="450">
                  <c:v>3.812377415311391E-4</c:v>
                </c:pt>
                <c:pt idx="451">
                  <c:v>3.812377415311391E-4</c:v>
                </c:pt>
                <c:pt idx="452">
                  <c:v>3.812377415311391E-4</c:v>
                </c:pt>
                <c:pt idx="453">
                  <c:v>3.812377415311391E-4</c:v>
                </c:pt>
                <c:pt idx="454">
                  <c:v>3.812377415311391E-4</c:v>
                </c:pt>
                <c:pt idx="455">
                  <c:v>3.812377415311391E-4</c:v>
                </c:pt>
                <c:pt idx="456">
                  <c:v>3.812377415311391E-4</c:v>
                </c:pt>
                <c:pt idx="457">
                  <c:v>3.812377415311391E-4</c:v>
                </c:pt>
                <c:pt idx="458">
                  <c:v>3.812377415311391E-4</c:v>
                </c:pt>
                <c:pt idx="459">
                  <c:v>0.47503526323513973</c:v>
                </c:pt>
              </c:numCache>
            </c:numRef>
          </c:xVal>
          <c:yVal>
            <c:numRef>
              <c:f>Messdaten!$O$15:$O$656</c:f>
              <c:numCache>
                <c:formatCode>0.000</c:formatCode>
                <c:ptCount val="642"/>
                <c:pt idx="0">
                  <c:v>97.679298245614021</c:v>
                </c:pt>
                <c:pt idx="1">
                  <c:v>97.679298245614021</c:v>
                </c:pt>
                <c:pt idx="2">
                  <c:v>97.679298245614021</c:v>
                </c:pt>
                <c:pt idx="3">
                  <c:v>97.679298245614021</c:v>
                </c:pt>
                <c:pt idx="4">
                  <c:v>97.679298245614021</c:v>
                </c:pt>
                <c:pt idx="5">
                  <c:v>97.679298245614021</c:v>
                </c:pt>
                <c:pt idx="6">
                  <c:v>97.679298245614021</c:v>
                </c:pt>
                <c:pt idx="7">
                  <c:v>97.679298245614021</c:v>
                </c:pt>
                <c:pt idx="8">
                  <c:v>97.679298245614021</c:v>
                </c:pt>
                <c:pt idx="9">
                  <c:v>97.679298245614021</c:v>
                </c:pt>
                <c:pt idx="10">
                  <c:v>97.679298245614021</c:v>
                </c:pt>
                <c:pt idx="11">
                  <c:v>97.679298245614021</c:v>
                </c:pt>
                <c:pt idx="12">
                  <c:v>97.679298245614021</c:v>
                </c:pt>
                <c:pt idx="13">
                  <c:v>97.679298245614021</c:v>
                </c:pt>
                <c:pt idx="14">
                  <c:v>97.679298245614021</c:v>
                </c:pt>
                <c:pt idx="15">
                  <c:v>97.679298245614021</c:v>
                </c:pt>
                <c:pt idx="16">
                  <c:v>97.679298245614021</c:v>
                </c:pt>
                <c:pt idx="17">
                  <c:v>97.679298245614021</c:v>
                </c:pt>
                <c:pt idx="18">
                  <c:v>97.679298245614021</c:v>
                </c:pt>
                <c:pt idx="19">
                  <c:v>97.679298245614021</c:v>
                </c:pt>
                <c:pt idx="20">
                  <c:v>97.679298245614021</c:v>
                </c:pt>
                <c:pt idx="21">
                  <c:v>97.679298245614021</c:v>
                </c:pt>
                <c:pt idx="22">
                  <c:v>97.679298245614021</c:v>
                </c:pt>
                <c:pt idx="23">
                  <c:v>97.679298245614021</c:v>
                </c:pt>
                <c:pt idx="24">
                  <c:v>97.679298245614021</c:v>
                </c:pt>
                <c:pt idx="25">
                  <c:v>97.679298245614021</c:v>
                </c:pt>
                <c:pt idx="26">
                  <c:v>97.679298245614021</c:v>
                </c:pt>
                <c:pt idx="27">
                  <c:v>97.679298245614021</c:v>
                </c:pt>
                <c:pt idx="28">
                  <c:v>97.679298245614021</c:v>
                </c:pt>
                <c:pt idx="29">
                  <c:v>97.679298245614021</c:v>
                </c:pt>
                <c:pt idx="30">
                  <c:v>97.679298245614021</c:v>
                </c:pt>
                <c:pt idx="31">
                  <c:v>97.679298245614021</c:v>
                </c:pt>
                <c:pt idx="32">
                  <c:v>97.679298245614021</c:v>
                </c:pt>
                <c:pt idx="33">
                  <c:v>97.679298245614021</c:v>
                </c:pt>
                <c:pt idx="34">
                  <c:v>97.679298245614021</c:v>
                </c:pt>
                <c:pt idx="35">
                  <c:v>97.679298245614021</c:v>
                </c:pt>
                <c:pt idx="36">
                  <c:v>97.679298245614021</c:v>
                </c:pt>
                <c:pt idx="37">
                  <c:v>97.679298245614021</c:v>
                </c:pt>
                <c:pt idx="38">
                  <c:v>97.679298245614021</c:v>
                </c:pt>
                <c:pt idx="39">
                  <c:v>97.679298245614021</c:v>
                </c:pt>
                <c:pt idx="40">
                  <c:v>97.679298245614021</c:v>
                </c:pt>
                <c:pt idx="41">
                  <c:v>97.679298245614021</c:v>
                </c:pt>
                <c:pt idx="42">
                  <c:v>97.679298245614021</c:v>
                </c:pt>
                <c:pt idx="43">
                  <c:v>97.679298245614021</c:v>
                </c:pt>
                <c:pt idx="44">
                  <c:v>97.679298245614021</c:v>
                </c:pt>
                <c:pt idx="45">
                  <c:v>97.679298245614021</c:v>
                </c:pt>
                <c:pt idx="46">
                  <c:v>97.679298245614021</c:v>
                </c:pt>
                <c:pt idx="47">
                  <c:v>97.679298245614021</c:v>
                </c:pt>
                <c:pt idx="48">
                  <c:v>97.679298245614021</c:v>
                </c:pt>
                <c:pt idx="49">
                  <c:v>97.679298245614021</c:v>
                </c:pt>
                <c:pt idx="50">
                  <c:v>97.679298245614021</c:v>
                </c:pt>
                <c:pt idx="51">
                  <c:v>97.679298245614021</c:v>
                </c:pt>
                <c:pt idx="52">
                  <c:v>97.679298245614021</c:v>
                </c:pt>
                <c:pt idx="53">
                  <c:v>97.679298245614021</c:v>
                </c:pt>
                <c:pt idx="54">
                  <c:v>97.679298245614021</c:v>
                </c:pt>
                <c:pt idx="55">
                  <c:v>97.679298245614021</c:v>
                </c:pt>
                <c:pt idx="56">
                  <c:v>97.679298245614021</c:v>
                </c:pt>
                <c:pt idx="57">
                  <c:v>97.679298245614021</c:v>
                </c:pt>
                <c:pt idx="58">
                  <c:v>97.679298245614021</c:v>
                </c:pt>
                <c:pt idx="59">
                  <c:v>97.679298245614021</c:v>
                </c:pt>
                <c:pt idx="60">
                  <c:v>97.679298245614021</c:v>
                </c:pt>
                <c:pt idx="61">
                  <c:v>97.679298245614021</c:v>
                </c:pt>
                <c:pt idx="62">
                  <c:v>97.679298245614021</c:v>
                </c:pt>
                <c:pt idx="63">
                  <c:v>97.679298245614021</c:v>
                </c:pt>
                <c:pt idx="64">
                  <c:v>97.679298245614021</c:v>
                </c:pt>
                <c:pt idx="65">
                  <c:v>97.679298245614021</c:v>
                </c:pt>
                <c:pt idx="66">
                  <c:v>97.679298245614021</c:v>
                </c:pt>
                <c:pt idx="67">
                  <c:v>97.679298245614021</c:v>
                </c:pt>
                <c:pt idx="68">
                  <c:v>97.679298245614021</c:v>
                </c:pt>
                <c:pt idx="69">
                  <c:v>97.679298245614021</c:v>
                </c:pt>
                <c:pt idx="70">
                  <c:v>97.679298245614021</c:v>
                </c:pt>
                <c:pt idx="71">
                  <c:v>97.679298245614021</c:v>
                </c:pt>
                <c:pt idx="72">
                  <c:v>97.679298245614021</c:v>
                </c:pt>
                <c:pt idx="73">
                  <c:v>97.679298245614021</c:v>
                </c:pt>
                <c:pt idx="74">
                  <c:v>97.679298245614021</c:v>
                </c:pt>
                <c:pt idx="75">
                  <c:v>97.679298245614021</c:v>
                </c:pt>
                <c:pt idx="76">
                  <c:v>97.679298245614021</c:v>
                </c:pt>
                <c:pt idx="77">
                  <c:v>97.679298245614021</c:v>
                </c:pt>
                <c:pt idx="78">
                  <c:v>97.679298245614021</c:v>
                </c:pt>
                <c:pt idx="79">
                  <c:v>97.679298245614021</c:v>
                </c:pt>
                <c:pt idx="80">
                  <c:v>97.679298245614021</c:v>
                </c:pt>
                <c:pt idx="81">
                  <c:v>97.679298245614021</c:v>
                </c:pt>
                <c:pt idx="82">
                  <c:v>97.679298245614021</c:v>
                </c:pt>
                <c:pt idx="83">
                  <c:v>97.679298245614021</c:v>
                </c:pt>
                <c:pt idx="84">
                  <c:v>97.679298245614021</c:v>
                </c:pt>
                <c:pt idx="85">
                  <c:v>97.679298245614021</c:v>
                </c:pt>
                <c:pt idx="86">
                  <c:v>97.679298245614021</c:v>
                </c:pt>
                <c:pt idx="87">
                  <c:v>97.679298245614021</c:v>
                </c:pt>
                <c:pt idx="88">
                  <c:v>97.679298245614021</c:v>
                </c:pt>
                <c:pt idx="89">
                  <c:v>97.679298245614021</c:v>
                </c:pt>
                <c:pt idx="90">
                  <c:v>97.679298245614021</c:v>
                </c:pt>
                <c:pt idx="91">
                  <c:v>97.679298245614021</c:v>
                </c:pt>
                <c:pt idx="92">
                  <c:v>97.679298245614021</c:v>
                </c:pt>
                <c:pt idx="93">
                  <c:v>97.679298245614021</c:v>
                </c:pt>
                <c:pt idx="94">
                  <c:v>97.679298245614021</c:v>
                </c:pt>
                <c:pt idx="95">
                  <c:v>97.679298245614021</c:v>
                </c:pt>
                <c:pt idx="96">
                  <c:v>97.679298245614021</c:v>
                </c:pt>
                <c:pt idx="97">
                  <c:v>97.679298245614021</c:v>
                </c:pt>
                <c:pt idx="98">
                  <c:v>97.679298245614021</c:v>
                </c:pt>
                <c:pt idx="99">
                  <c:v>97.679298245614021</c:v>
                </c:pt>
                <c:pt idx="100">
                  <c:v>97.679298245614021</c:v>
                </c:pt>
                <c:pt idx="101">
                  <c:v>97.679298245614021</c:v>
                </c:pt>
                <c:pt idx="102">
                  <c:v>97.679298245614021</c:v>
                </c:pt>
                <c:pt idx="103">
                  <c:v>97.679298245614021</c:v>
                </c:pt>
                <c:pt idx="104">
                  <c:v>97.679298245614021</c:v>
                </c:pt>
                <c:pt idx="105">
                  <c:v>97.679298245614021</c:v>
                </c:pt>
                <c:pt idx="106">
                  <c:v>97.679298245614021</c:v>
                </c:pt>
                <c:pt idx="107">
                  <c:v>97.679298245614021</c:v>
                </c:pt>
                <c:pt idx="108">
                  <c:v>97.679298245614021</c:v>
                </c:pt>
                <c:pt idx="109">
                  <c:v>97.679298245614021</c:v>
                </c:pt>
                <c:pt idx="110">
                  <c:v>97.679298245614021</c:v>
                </c:pt>
                <c:pt idx="111">
                  <c:v>97.679298245614021</c:v>
                </c:pt>
                <c:pt idx="112">
                  <c:v>97.679298245614021</c:v>
                </c:pt>
                <c:pt idx="113">
                  <c:v>97.679298245614021</c:v>
                </c:pt>
                <c:pt idx="114">
                  <c:v>97.679298245614021</c:v>
                </c:pt>
                <c:pt idx="115">
                  <c:v>97.679298245614021</c:v>
                </c:pt>
                <c:pt idx="116">
                  <c:v>97.679298245614021</c:v>
                </c:pt>
                <c:pt idx="117">
                  <c:v>97.679298245614021</c:v>
                </c:pt>
                <c:pt idx="118">
                  <c:v>97.679298245614021</c:v>
                </c:pt>
                <c:pt idx="119">
                  <c:v>97.679298245614021</c:v>
                </c:pt>
                <c:pt idx="120">
                  <c:v>97.679298245614021</c:v>
                </c:pt>
                <c:pt idx="121">
                  <c:v>97.679298245614021</c:v>
                </c:pt>
                <c:pt idx="122">
                  <c:v>97.679298245614021</c:v>
                </c:pt>
                <c:pt idx="123">
                  <c:v>97.679298245614021</c:v>
                </c:pt>
                <c:pt idx="124">
                  <c:v>97.679298245614021</c:v>
                </c:pt>
                <c:pt idx="125">
                  <c:v>97.679298245614021</c:v>
                </c:pt>
                <c:pt idx="126">
                  <c:v>97.679298245614021</c:v>
                </c:pt>
                <c:pt idx="127">
                  <c:v>97.679298245614021</c:v>
                </c:pt>
                <c:pt idx="128">
                  <c:v>97.679298245614021</c:v>
                </c:pt>
                <c:pt idx="129">
                  <c:v>97.679298245614021</c:v>
                </c:pt>
                <c:pt idx="130">
                  <c:v>97.679298245614021</c:v>
                </c:pt>
                <c:pt idx="131">
                  <c:v>97.679298245614021</c:v>
                </c:pt>
                <c:pt idx="132">
                  <c:v>97.679298245614021</c:v>
                </c:pt>
                <c:pt idx="133">
                  <c:v>97.679298245614021</c:v>
                </c:pt>
                <c:pt idx="134">
                  <c:v>97.679298245614021</c:v>
                </c:pt>
                <c:pt idx="135">
                  <c:v>97.679298245614021</c:v>
                </c:pt>
                <c:pt idx="136">
                  <c:v>97.679298245614021</c:v>
                </c:pt>
                <c:pt idx="137">
                  <c:v>97.679298245614021</c:v>
                </c:pt>
                <c:pt idx="138">
                  <c:v>97.679298245614021</c:v>
                </c:pt>
                <c:pt idx="139">
                  <c:v>97.679298245614021</c:v>
                </c:pt>
                <c:pt idx="140">
                  <c:v>97.679298245614021</c:v>
                </c:pt>
                <c:pt idx="141">
                  <c:v>97.679298245614021</c:v>
                </c:pt>
                <c:pt idx="142">
                  <c:v>97.679298245614021</c:v>
                </c:pt>
                <c:pt idx="143">
                  <c:v>97.679298245614021</c:v>
                </c:pt>
                <c:pt idx="144">
                  <c:v>97.679298245614021</c:v>
                </c:pt>
                <c:pt idx="145">
                  <c:v>97.679298245614021</c:v>
                </c:pt>
                <c:pt idx="146">
                  <c:v>97.679298245614021</c:v>
                </c:pt>
                <c:pt idx="147">
                  <c:v>97.679298245614021</c:v>
                </c:pt>
                <c:pt idx="148">
                  <c:v>97.679298245614021</c:v>
                </c:pt>
                <c:pt idx="149">
                  <c:v>97.679298245614021</c:v>
                </c:pt>
                <c:pt idx="150">
                  <c:v>97.679298245614021</c:v>
                </c:pt>
                <c:pt idx="151">
                  <c:v>97.679298245614021</c:v>
                </c:pt>
                <c:pt idx="152">
                  <c:v>97.679298245614021</c:v>
                </c:pt>
                <c:pt idx="153">
                  <c:v>97.679298245614021</c:v>
                </c:pt>
                <c:pt idx="154">
                  <c:v>97.679298245614021</c:v>
                </c:pt>
                <c:pt idx="155">
                  <c:v>97.679298245614021</c:v>
                </c:pt>
                <c:pt idx="156">
                  <c:v>97.679298245614021</c:v>
                </c:pt>
                <c:pt idx="157">
                  <c:v>97.679298245614021</c:v>
                </c:pt>
                <c:pt idx="158">
                  <c:v>97.679298245614021</c:v>
                </c:pt>
                <c:pt idx="159">
                  <c:v>97.679298245614021</c:v>
                </c:pt>
                <c:pt idx="160">
                  <c:v>97.679298245614021</c:v>
                </c:pt>
                <c:pt idx="161">
                  <c:v>97.679298245614021</c:v>
                </c:pt>
                <c:pt idx="162">
                  <c:v>97.679298245614021</c:v>
                </c:pt>
                <c:pt idx="163">
                  <c:v>97.679298245614021</c:v>
                </c:pt>
                <c:pt idx="164">
                  <c:v>97.679298245614021</c:v>
                </c:pt>
                <c:pt idx="165">
                  <c:v>97.679298245614021</c:v>
                </c:pt>
                <c:pt idx="166">
                  <c:v>97.679298245614021</c:v>
                </c:pt>
                <c:pt idx="167">
                  <c:v>97.679298245614021</c:v>
                </c:pt>
                <c:pt idx="168">
                  <c:v>97.679298245614021</c:v>
                </c:pt>
                <c:pt idx="169">
                  <c:v>97.679298245614021</c:v>
                </c:pt>
                <c:pt idx="170">
                  <c:v>97.679298245614021</c:v>
                </c:pt>
                <c:pt idx="171">
                  <c:v>97.679298245614021</c:v>
                </c:pt>
                <c:pt idx="172">
                  <c:v>97.679298245614021</c:v>
                </c:pt>
                <c:pt idx="173">
                  <c:v>97.679298245614021</c:v>
                </c:pt>
                <c:pt idx="174">
                  <c:v>97.679298245614021</c:v>
                </c:pt>
                <c:pt idx="175">
                  <c:v>97.679298245614021</c:v>
                </c:pt>
                <c:pt idx="176">
                  <c:v>97.679298245614021</c:v>
                </c:pt>
                <c:pt idx="177">
                  <c:v>97.679298245614021</c:v>
                </c:pt>
                <c:pt idx="178">
                  <c:v>97.679298245614021</c:v>
                </c:pt>
                <c:pt idx="179">
                  <c:v>97.679298245614021</c:v>
                </c:pt>
                <c:pt idx="180">
                  <c:v>97.679298245614021</c:v>
                </c:pt>
                <c:pt idx="181">
                  <c:v>97.679298245614021</c:v>
                </c:pt>
                <c:pt idx="182">
                  <c:v>97.679298245614021</c:v>
                </c:pt>
                <c:pt idx="183">
                  <c:v>97.679298245614021</c:v>
                </c:pt>
                <c:pt idx="184">
                  <c:v>97.679298245614021</c:v>
                </c:pt>
                <c:pt idx="185">
                  <c:v>97.679298245614021</c:v>
                </c:pt>
                <c:pt idx="186">
                  <c:v>97.679298245614021</c:v>
                </c:pt>
                <c:pt idx="187">
                  <c:v>97.679298245614021</c:v>
                </c:pt>
                <c:pt idx="188">
                  <c:v>97.679298245614021</c:v>
                </c:pt>
                <c:pt idx="189">
                  <c:v>97.679298245614021</c:v>
                </c:pt>
                <c:pt idx="190">
                  <c:v>97.679298245614021</c:v>
                </c:pt>
                <c:pt idx="191">
                  <c:v>97.679298245614021</c:v>
                </c:pt>
                <c:pt idx="192">
                  <c:v>97.679298245614021</c:v>
                </c:pt>
                <c:pt idx="193">
                  <c:v>97.679298245614021</c:v>
                </c:pt>
                <c:pt idx="194">
                  <c:v>97.679298245614021</c:v>
                </c:pt>
                <c:pt idx="195">
                  <c:v>97.679298245614021</c:v>
                </c:pt>
                <c:pt idx="196">
                  <c:v>97.679298245614021</c:v>
                </c:pt>
                <c:pt idx="197">
                  <c:v>97.679298245614021</c:v>
                </c:pt>
                <c:pt idx="198">
                  <c:v>97.679298245614021</c:v>
                </c:pt>
                <c:pt idx="199">
                  <c:v>97.679298245614021</c:v>
                </c:pt>
                <c:pt idx="200">
                  <c:v>97.679298245614021</c:v>
                </c:pt>
                <c:pt idx="201">
                  <c:v>97.679298245614021</c:v>
                </c:pt>
                <c:pt idx="202">
                  <c:v>97.679298245614021</c:v>
                </c:pt>
                <c:pt idx="203">
                  <c:v>97.679298245614021</c:v>
                </c:pt>
                <c:pt idx="204">
                  <c:v>97.679298245614021</c:v>
                </c:pt>
                <c:pt idx="205">
                  <c:v>97.679298245614021</c:v>
                </c:pt>
                <c:pt idx="206">
                  <c:v>97.679298245614021</c:v>
                </c:pt>
                <c:pt idx="207">
                  <c:v>97.679298245614021</c:v>
                </c:pt>
                <c:pt idx="208">
                  <c:v>97.679298245614021</c:v>
                </c:pt>
                <c:pt idx="209">
                  <c:v>97.679298245614021</c:v>
                </c:pt>
                <c:pt idx="210">
                  <c:v>97.679298245614021</c:v>
                </c:pt>
                <c:pt idx="211">
                  <c:v>97.679298245614021</c:v>
                </c:pt>
                <c:pt idx="212">
                  <c:v>97.679298245614021</c:v>
                </c:pt>
                <c:pt idx="213">
                  <c:v>97.679298245614021</c:v>
                </c:pt>
                <c:pt idx="214">
                  <c:v>97.679298245614021</c:v>
                </c:pt>
                <c:pt idx="215">
                  <c:v>97.679298245614021</c:v>
                </c:pt>
                <c:pt idx="216">
                  <c:v>97.679298245614021</c:v>
                </c:pt>
                <c:pt idx="217">
                  <c:v>97.679298245614021</c:v>
                </c:pt>
                <c:pt idx="218">
                  <c:v>97.679298245614021</c:v>
                </c:pt>
                <c:pt idx="219">
                  <c:v>97.679298245614021</c:v>
                </c:pt>
                <c:pt idx="220">
                  <c:v>97.679298245614021</c:v>
                </c:pt>
                <c:pt idx="221">
                  <c:v>97.679298245614021</c:v>
                </c:pt>
                <c:pt idx="222">
                  <c:v>97.679298245614021</c:v>
                </c:pt>
                <c:pt idx="223">
                  <c:v>97.679298245614021</c:v>
                </c:pt>
                <c:pt idx="224">
                  <c:v>97.679298245614021</c:v>
                </c:pt>
                <c:pt idx="225">
                  <c:v>97.679298245614021</c:v>
                </c:pt>
                <c:pt idx="226">
                  <c:v>97.679298245614021</c:v>
                </c:pt>
                <c:pt idx="227">
                  <c:v>97.679298245614021</c:v>
                </c:pt>
                <c:pt idx="228">
                  <c:v>97.679298245614021</c:v>
                </c:pt>
                <c:pt idx="229">
                  <c:v>97.679298245614021</c:v>
                </c:pt>
                <c:pt idx="230">
                  <c:v>97.679298245614021</c:v>
                </c:pt>
                <c:pt idx="231">
                  <c:v>97.679298245614021</c:v>
                </c:pt>
                <c:pt idx="232">
                  <c:v>97.679298245614021</c:v>
                </c:pt>
                <c:pt idx="233">
                  <c:v>97.679298245614021</c:v>
                </c:pt>
                <c:pt idx="234">
                  <c:v>97.679298245614021</c:v>
                </c:pt>
                <c:pt idx="235">
                  <c:v>97.679298245614021</c:v>
                </c:pt>
                <c:pt idx="236">
                  <c:v>97.679298245614021</c:v>
                </c:pt>
                <c:pt idx="237">
                  <c:v>97.679298245614021</c:v>
                </c:pt>
                <c:pt idx="238">
                  <c:v>97.679298245614021</c:v>
                </c:pt>
                <c:pt idx="239">
                  <c:v>97.679298245614021</c:v>
                </c:pt>
                <c:pt idx="240">
                  <c:v>97.679298245614021</c:v>
                </c:pt>
                <c:pt idx="241">
                  <c:v>97.679298245614021</c:v>
                </c:pt>
                <c:pt idx="242">
                  <c:v>97.679298245614021</c:v>
                </c:pt>
                <c:pt idx="243">
                  <c:v>97.679298245614021</c:v>
                </c:pt>
                <c:pt idx="244">
                  <c:v>97.679298245614021</c:v>
                </c:pt>
                <c:pt idx="245">
                  <c:v>97.679298245614021</c:v>
                </c:pt>
                <c:pt idx="246">
                  <c:v>97.679298245614021</c:v>
                </c:pt>
                <c:pt idx="247">
                  <c:v>97.679298245614021</c:v>
                </c:pt>
                <c:pt idx="248">
                  <c:v>97.679298245614021</c:v>
                </c:pt>
                <c:pt idx="249">
                  <c:v>97.679298245614021</c:v>
                </c:pt>
                <c:pt idx="250">
                  <c:v>97.679298245614021</c:v>
                </c:pt>
                <c:pt idx="251">
                  <c:v>97.679298245614021</c:v>
                </c:pt>
                <c:pt idx="252">
                  <c:v>97.679298245614021</c:v>
                </c:pt>
                <c:pt idx="253">
                  <c:v>97.679298245614021</c:v>
                </c:pt>
                <c:pt idx="254">
                  <c:v>97.679298245614021</c:v>
                </c:pt>
                <c:pt idx="255">
                  <c:v>97.679298245614021</c:v>
                </c:pt>
                <c:pt idx="256">
                  <c:v>97.679298245614021</c:v>
                </c:pt>
                <c:pt idx="257">
                  <c:v>97.679298245614021</c:v>
                </c:pt>
                <c:pt idx="258">
                  <c:v>97.679298245614021</c:v>
                </c:pt>
                <c:pt idx="259">
                  <c:v>97.679298245614021</c:v>
                </c:pt>
                <c:pt idx="260">
                  <c:v>97.679298245614021</c:v>
                </c:pt>
                <c:pt idx="261">
                  <c:v>97.679298245614021</c:v>
                </c:pt>
                <c:pt idx="262">
                  <c:v>97.679298245614021</c:v>
                </c:pt>
                <c:pt idx="263">
                  <c:v>97.679298245614021</c:v>
                </c:pt>
                <c:pt idx="264">
                  <c:v>97.679298245614021</c:v>
                </c:pt>
                <c:pt idx="265">
                  <c:v>97.679298245614021</c:v>
                </c:pt>
                <c:pt idx="266">
                  <c:v>97.679298245614021</c:v>
                </c:pt>
                <c:pt idx="267">
                  <c:v>97.679298245614021</c:v>
                </c:pt>
                <c:pt idx="268">
                  <c:v>97.679298245614021</c:v>
                </c:pt>
                <c:pt idx="269">
                  <c:v>97.679298245614021</c:v>
                </c:pt>
                <c:pt idx="270">
                  <c:v>97.679298245614021</c:v>
                </c:pt>
                <c:pt idx="271">
                  <c:v>97.679298245614021</c:v>
                </c:pt>
                <c:pt idx="272">
                  <c:v>97.679298245614021</c:v>
                </c:pt>
                <c:pt idx="273">
                  <c:v>97.679298245614021</c:v>
                </c:pt>
                <c:pt idx="274">
                  <c:v>97.679298245614021</c:v>
                </c:pt>
                <c:pt idx="275">
                  <c:v>97.679298245614021</c:v>
                </c:pt>
                <c:pt idx="276">
                  <c:v>97.679298245614021</c:v>
                </c:pt>
                <c:pt idx="277">
                  <c:v>97.679298245614021</c:v>
                </c:pt>
                <c:pt idx="278">
                  <c:v>97.679298245614021</c:v>
                </c:pt>
                <c:pt idx="279">
                  <c:v>97.679298245614021</c:v>
                </c:pt>
                <c:pt idx="280">
                  <c:v>97.679298245614021</c:v>
                </c:pt>
                <c:pt idx="281">
                  <c:v>97.679298245614021</c:v>
                </c:pt>
                <c:pt idx="282">
                  <c:v>97.679298245614021</c:v>
                </c:pt>
                <c:pt idx="283">
                  <c:v>97.679298245614021</c:v>
                </c:pt>
                <c:pt idx="284">
                  <c:v>97.679298245614021</c:v>
                </c:pt>
                <c:pt idx="285">
                  <c:v>97.679298245614021</c:v>
                </c:pt>
                <c:pt idx="286">
                  <c:v>97.679298245614021</c:v>
                </c:pt>
                <c:pt idx="287">
                  <c:v>97.679298245614021</c:v>
                </c:pt>
                <c:pt idx="288">
                  <c:v>97.679298245614021</c:v>
                </c:pt>
                <c:pt idx="289">
                  <c:v>97.679298245614021</c:v>
                </c:pt>
                <c:pt idx="290">
                  <c:v>97.679298245614021</c:v>
                </c:pt>
                <c:pt idx="291">
                  <c:v>97.679298245614021</c:v>
                </c:pt>
                <c:pt idx="292">
                  <c:v>97.679298245614021</c:v>
                </c:pt>
                <c:pt idx="293">
                  <c:v>97.679298245614021</c:v>
                </c:pt>
                <c:pt idx="294">
                  <c:v>97.679298245614021</c:v>
                </c:pt>
                <c:pt idx="295">
                  <c:v>97.679298245614021</c:v>
                </c:pt>
                <c:pt idx="296">
                  <c:v>97.679298245614021</c:v>
                </c:pt>
                <c:pt idx="297">
                  <c:v>97.679298245614021</c:v>
                </c:pt>
                <c:pt idx="298">
                  <c:v>97.679298245614021</c:v>
                </c:pt>
                <c:pt idx="299">
                  <c:v>97.679298245614021</c:v>
                </c:pt>
                <c:pt idx="300">
                  <c:v>97.679298245614021</c:v>
                </c:pt>
                <c:pt idx="301">
                  <c:v>97.679298245614021</c:v>
                </c:pt>
                <c:pt idx="302">
                  <c:v>97.679298245614021</c:v>
                </c:pt>
                <c:pt idx="303">
                  <c:v>97.679298245614021</c:v>
                </c:pt>
                <c:pt idx="304">
                  <c:v>97.679298245614021</c:v>
                </c:pt>
                <c:pt idx="305">
                  <c:v>97.679298245614021</c:v>
                </c:pt>
                <c:pt idx="306">
                  <c:v>97.679298245614021</c:v>
                </c:pt>
                <c:pt idx="307">
                  <c:v>97.679298245614021</c:v>
                </c:pt>
                <c:pt idx="308">
                  <c:v>97.679298245614021</c:v>
                </c:pt>
                <c:pt idx="309">
                  <c:v>97.679298245614021</c:v>
                </c:pt>
                <c:pt idx="310">
                  <c:v>97.679298245614021</c:v>
                </c:pt>
                <c:pt idx="311">
                  <c:v>97.679298245614021</c:v>
                </c:pt>
                <c:pt idx="312">
                  <c:v>97.679298245614021</c:v>
                </c:pt>
                <c:pt idx="313">
                  <c:v>97.679298245614021</c:v>
                </c:pt>
                <c:pt idx="314">
                  <c:v>97.679298245614021</c:v>
                </c:pt>
                <c:pt idx="315">
                  <c:v>97.679298245614021</c:v>
                </c:pt>
                <c:pt idx="316">
                  <c:v>97.679298245614021</c:v>
                </c:pt>
                <c:pt idx="317">
                  <c:v>97.679298245614021</c:v>
                </c:pt>
                <c:pt idx="318">
                  <c:v>97.679298245614021</c:v>
                </c:pt>
                <c:pt idx="319">
                  <c:v>97.679298245614021</c:v>
                </c:pt>
                <c:pt idx="320">
                  <c:v>97.679298245614021</c:v>
                </c:pt>
                <c:pt idx="321">
                  <c:v>97.679298245614021</c:v>
                </c:pt>
                <c:pt idx="322">
                  <c:v>97.679298245614021</c:v>
                </c:pt>
                <c:pt idx="323">
                  <c:v>97.679298245614021</c:v>
                </c:pt>
                <c:pt idx="324">
                  <c:v>97.679298245614021</c:v>
                </c:pt>
                <c:pt idx="325">
                  <c:v>97.679298245614021</c:v>
                </c:pt>
                <c:pt idx="326">
                  <c:v>97.679298245614021</c:v>
                </c:pt>
                <c:pt idx="327">
                  <c:v>97.679298245614021</c:v>
                </c:pt>
                <c:pt idx="328">
                  <c:v>97.679298245614021</c:v>
                </c:pt>
                <c:pt idx="329">
                  <c:v>97.679298245614021</c:v>
                </c:pt>
                <c:pt idx="330">
                  <c:v>97.679298245614021</c:v>
                </c:pt>
                <c:pt idx="331">
                  <c:v>97.679298245614021</c:v>
                </c:pt>
                <c:pt idx="332">
                  <c:v>97.679298245614021</c:v>
                </c:pt>
                <c:pt idx="333">
                  <c:v>97.679298245614021</c:v>
                </c:pt>
                <c:pt idx="334">
                  <c:v>97.679298245614021</c:v>
                </c:pt>
                <c:pt idx="335">
                  <c:v>97.679298245614021</c:v>
                </c:pt>
                <c:pt idx="336">
                  <c:v>97.679298245614021</c:v>
                </c:pt>
                <c:pt idx="337">
                  <c:v>97.679298245614021</c:v>
                </c:pt>
                <c:pt idx="338">
                  <c:v>97.679298245614021</c:v>
                </c:pt>
                <c:pt idx="339">
                  <c:v>97.679298245614021</c:v>
                </c:pt>
                <c:pt idx="340">
                  <c:v>97.679298245614021</c:v>
                </c:pt>
                <c:pt idx="341">
                  <c:v>97.679298245614021</c:v>
                </c:pt>
                <c:pt idx="342">
                  <c:v>97.679298245614021</c:v>
                </c:pt>
                <c:pt idx="343">
                  <c:v>97.679298245614021</c:v>
                </c:pt>
                <c:pt idx="344">
                  <c:v>97.679298245614021</c:v>
                </c:pt>
                <c:pt idx="345">
                  <c:v>97.679298245614021</c:v>
                </c:pt>
                <c:pt idx="346">
                  <c:v>97.679298245614021</c:v>
                </c:pt>
                <c:pt idx="347">
                  <c:v>97.679298245614021</c:v>
                </c:pt>
                <c:pt idx="348">
                  <c:v>97.679298245614021</c:v>
                </c:pt>
                <c:pt idx="349">
                  <c:v>97.679298245614021</c:v>
                </c:pt>
                <c:pt idx="350">
                  <c:v>97.679298245614021</c:v>
                </c:pt>
                <c:pt idx="351">
                  <c:v>97.679298245614021</c:v>
                </c:pt>
                <c:pt idx="352">
                  <c:v>97.679298245614021</c:v>
                </c:pt>
                <c:pt idx="353">
                  <c:v>97.679298245614021</c:v>
                </c:pt>
                <c:pt idx="354">
                  <c:v>97.679298245614021</c:v>
                </c:pt>
                <c:pt idx="355">
                  <c:v>97.679298245614021</c:v>
                </c:pt>
                <c:pt idx="356">
                  <c:v>97.679298245614021</c:v>
                </c:pt>
                <c:pt idx="357">
                  <c:v>97.679298245614021</c:v>
                </c:pt>
                <c:pt idx="358">
                  <c:v>97.679298245614021</c:v>
                </c:pt>
                <c:pt idx="359">
                  <c:v>97.679298245614021</c:v>
                </c:pt>
                <c:pt idx="360">
                  <c:v>97.679298245614021</c:v>
                </c:pt>
                <c:pt idx="361">
                  <c:v>97.679298245614021</c:v>
                </c:pt>
                <c:pt idx="362">
                  <c:v>97.679298245614021</c:v>
                </c:pt>
                <c:pt idx="363">
                  <c:v>97.679298245614021</c:v>
                </c:pt>
                <c:pt idx="364">
                  <c:v>97.679298245614021</c:v>
                </c:pt>
                <c:pt idx="365">
                  <c:v>97.679298245614021</c:v>
                </c:pt>
                <c:pt idx="366">
                  <c:v>97.679298245614021</c:v>
                </c:pt>
                <c:pt idx="367">
                  <c:v>97.679298245614021</c:v>
                </c:pt>
                <c:pt idx="368">
                  <c:v>97.679298245614021</c:v>
                </c:pt>
                <c:pt idx="369">
                  <c:v>97.679298245614021</c:v>
                </c:pt>
                <c:pt idx="370">
                  <c:v>97.679298245614021</c:v>
                </c:pt>
                <c:pt idx="371">
                  <c:v>97.679298245614021</c:v>
                </c:pt>
                <c:pt idx="372">
                  <c:v>97.679298245614021</c:v>
                </c:pt>
                <c:pt idx="373">
                  <c:v>97.679298245614021</c:v>
                </c:pt>
                <c:pt idx="374">
                  <c:v>97.679298245614021</c:v>
                </c:pt>
                <c:pt idx="375">
                  <c:v>97.679298245614021</c:v>
                </c:pt>
                <c:pt idx="376">
                  <c:v>97.679298245614021</c:v>
                </c:pt>
                <c:pt idx="377">
                  <c:v>97.679298245614021</c:v>
                </c:pt>
                <c:pt idx="378">
                  <c:v>97.679298245614021</c:v>
                </c:pt>
                <c:pt idx="379">
                  <c:v>97.679298245614021</c:v>
                </c:pt>
                <c:pt idx="380">
                  <c:v>97.679298245614021</c:v>
                </c:pt>
                <c:pt idx="381">
                  <c:v>97.679298245614021</c:v>
                </c:pt>
                <c:pt idx="382">
                  <c:v>97.679298245614021</c:v>
                </c:pt>
                <c:pt idx="383">
                  <c:v>97.679298245614021</c:v>
                </c:pt>
                <c:pt idx="384">
                  <c:v>97.679298245614021</c:v>
                </c:pt>
                <c:pt idx="385">
                  <c:v>97.679298245614021</c:v>
                </c:pt>
                <c:pt idx="386">
                  <c:v>97.679298245614021</c:v>
                </c:pt>
                <c:pt idx="387">
                  <c:v>97.679298245614021</c:v>
                </c:pt>
                <c:pt idx="388">
                  <c:v>97.679298245614021</c:v>
                </c:pt>
                <c:pt idx="389">
                  <c:v>97.679298245614021</c:v>
                </c:pt>
                <c:pt idx="390">
                  <c:v>97.679298245614021</c:v>
                </c:pt>
                <c:pt idx="391">
                  <c:v>97.679298245614021</c:v>
                </c:pt>
                <c:pt idx="392">
                  <c:v>97.679298245614021</c:v>
                </c:pt>
                <c:pt idx="393">
                  <c:v>97.679298245614021</c:v>
                </c:pt>
                <c:pt idx="394">
                  <c:v>97.679298245614021</c:v>
                </c:pt>
                <c:pt idx="395">
                  <c:v>97.679298245614021</c:v>
                </c:pt>
                <c:pt idx="396">
                  <c:v>97.679298245614021</c:v>
                </c:pt>
                <c:pt idx="397">
                  <c:v>97.679298245614021</c:v>
                </c:pt>
                <c:pt idx="398">
                  <c:v>97.679298245614021</c:v>
                </c:pt>
                <c:pt idx="399">
                  <c:v>97.679298245614021</c:v>
                </c:pt>
                <c:pt idx="400">
                  <c:v>97.679298245614021</c:v>
                </c:pt>
                <c:pt idx="401">
                  <c:v>97.679298245614021</c:v>
                </c:pt>
                <c:pt idx="402">
                  <c:v>97.679298245614021</c:v>
                </c:pt>
                <c:pt idx="403">
                  <c:v>97.679298245614021</c:v>
                </c:pt>
                <c:pt idx="404">
                  <c:v>97.679298245614021</c:v>
                </c:pt>
                <c:pt idx="405">
                  <c:v>97.679298245614021</c:v>
                </c:pt>
                <c:pt idx="406">
                  <c:v>97.679298245614021</c:v>
                </c:pt>
                <c:pt idx="407">
                  <c:v>97.679298245614021</c:v>
                </c:pt>
                <c:pt idx="408">
                  <c:v>97.679298245614021</c:v>
                </c:pt>
                <c:pt idx="409">
                  <c:v>97.679298245614021</c:v>
                </c:pt>
                <c:pt idx="410">
                  <c:v>97.679298245614021</c:v>
                </c:pt>
                <c:pt idx="411">
                  <c:v>97.679298245614021</c:v>
                </c:pt>
                <c:pt idx="412">
                  <c:v>97.679298245614021</c:v>
                </c:pt>
                <c:pt idx="413">
                  <c:v>97.679298245614021</c:v>
                </c:pt>
                <c:pt idx="414">
                  <c:v>97.679298245614021</c:v>
                </c:pt>
                <c:pt idx="415">
                  <c:v>97.679298245614021</c:v>
                </c:pt>
                <c:pt idx="416">
                  <c:v>97.679298245614021</c:v>
                </c:pt>
                <c:pt idx="417">
                  <c:v>97.679298245614021</c:v>
                </c:pt>
                <c:pt idx="418">
                  <c:v>97.679298245614021</c:v>
                </c:pt>
                <c:pt idx="419">
                  <c:v>97.679298245614021</c:v>
                </c:pt>
                <c:pt idx="420">
                  <c:v>97.679298245614021</c:v>
                </c:pt>
                <c:pt idx="421">
                  <c:v>97.679298245614021</c:v>
                </c:pt>
                <c:pt idx="422">
                  <c:v>97.679298245614021</c:v>
                </c:pt>
                <c:pt idx="423">
                  <c:v>97.679298245614021</c:v>
                </c:pt>
                <c:pt idx="424">
                  <c:v>97.679298245614021</c:v>
                </c:pt>
                <c:pt idx="425">
                  <c:v>97.679298245614021</c:v>
                </c:pt>
                <c:pt idx="426">
                  <c:v>97.679298245614021</c:v>
                </c:pt>
                <c:pt idx="427">
                  <c:v>97.679298245614021</c:v>
                </c:pt>
                <c:pt idx="428">
                  <c:v>97.679298245614021</c:v>
                </c:pt>
                <c:pt idx="429">
                  <c:v>97.679298245614021</c:v>
                </c:pt>
                <c:pt idx="430">
                  <c:v>97.679298245614021</c:v>
                </c:pt>
                <c:pt idx="431">
                  <c:v>97.679298245614021</c:v>
                </c:pt>
                <c:pt idx="432">
                  <c:v>97.679298245614021</c:v>
                </c:pt>
                <c:pt idx="433">
                  <c:v>97.679298245614021</c:v>
                </c:pt>
                <c:pt idx="434">
                  <c:v>97.679298245614021</c:v>
                </c:pt>
                <c:pt idx="435">
                  <c:v>97.679298245614021</c:v>
                </c:pt>
                <c:pt idx="436">
                  <c:v>97.679298245614021</c:v>
                </c:pt>
                <c:pt idx="437">
                  <c:v>97.679298245614021</c:v>
                </c:pt>
                <c:pt idx="438">
                  <c:v>97.679298245614021</c:v>
                </c:pt>
                <c:pt idx="439">
                  <c:v>97.679298245614021</c:v>
                </c:pt>
                <c:pt idx="440">
                  <c:v>97.679298245614021</c:v>
                </c:pt>
                <c:pt idx="441">
                  <c:v>97.679298245614021</c:v>
                </c:pt>
                <c:pt idx="442">
                  <c:v>97.679298245614021</c:v>
                </c:pt>
                <c:pt idx="443">
                  <c:v>97.679298245614021</c:v>
                </c:pt>
                <c:pt idx="444">
                  <c:v>97.679298245614021</c:v>
                </c:pt>
                <c:pt idx="445">
                  <c:v>97.679298245614021</c:v>
                </c:pt>
                <c:pt idx="446">
                  <c:v>97.679298245614021</c:v>
                </c:pt>
                <c:pt idx="447">
                  <c:v>97.679298245614021</c:v>
                </c:pt>
                <c:pt idx="448">
                  <c:v>97.679298245614021</c:v>
                </c:pt>
                <c:pt idx="449">
                  <c:v>97.679298245614021</c:v>
                </c:pt>
                <c:pt idx="450">
                  <c:v>97.679298245614021</c:v>
                </c:pt>
                <c:pt idx="451">
                  <c:v>97.679298245614021</c:v>
                </c:pt>
                <c:pt idx="452">
                  <c:v>97.679298245614021</c:v>
                </c:pt>
                <c:pt idx="453">
                  <c:v>97.679298245614021</c:v>
                </c:pt>
                <c:pt idx="454">
                  <c:v>97.679298245614021</c:v>
                </c:pt>
                <c:pt idx="455">
                  <c:v>97.679298245614021</c:v>
                </c:pt>
                <c:pt idx="456">
                  <c:v>97.679298245614021</c:v>
                </c:pt>
                <c:pt idx="457">
                  <c:v>97.679298245614021</c:v>
                </c:pt>
                <c:pt idx="458">
                  <c:v>97.679298245614021</c:v>
                </c:pt>
                <c:pt idx="459">
                  <c:v>369.1894736842105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5-49EE-ACB6-763E05736AC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Messdaten!#REF!</c:f>
            </c:numRef>
          </c:xVal>
          <c:yVal>
            <c:numRef>
              <c:f>Messdaten!#REF!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A5-49EE-ACB6-763E05736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38272"/>
        <c:axId val="97640448"/>
      </c:scatterChart>
      <c:scatterChart>
        <c:scatterStyle val="lineMarker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Messdaten!$K$15:$K$656</c:f>
              <c:numCache>
                <c:formatCode>0.000</c:formatCode>
                <c:ptCount val="642"/>
                <c:pt idx="0">
                  <c:v>3.812377415311391E-4</c:v>
                </c:pt>
                <c:pt idx="1">
                  <c:v>3.812377415311391E-4</c:v>
                </c:pt>
                <c:pt idx="2">
                  <c:v>3.812377415311391E-4</c:v>
                </c:pt>
                <c:pt idx="3">
                  <c:v>3.812377415311391E-4</c:v>
                </c:pt>
                <c:pt idx="4">
                  <c:v>3.812377415311391E-4</c:v>
                </c:pt>
                <c:pt idx="5">
                  <c:v>3.812377415311391E-4</c:v>
                </c:pt>
                <c:pt idx="6">
                  <c:v>3.812377415311391E-4</c:v>
                </c:pt>
                <c:pt idx="7">
                  <c:v>3.812377415311391E-4</c:v>
                </c:pt>
                <c:pt idx="8">
                  <c:v>3.812377415311391E-4</c:v>
                </c:pt>
                <c:pt idx="9">
                  <c:v>3.812377415311391E-4</c:v>
                </c:pt>
                <c:pt idx="10">
                  <c:v>3.812377415311391E-4</c:v>
                </c:pt>
                <c:pt idx="11">
                  <c:v>3.812377415311391E-4</c:v>
                </c:pt>
                <c:pt idx="12">
                  <c:v>3.812377415311391E-4</c:v>
                </c:pt>
                <c:pt idx="13">
                  <c:v>3.812377415311391E-4</c:v>
                </c:pt>
                <c:pt idx="14">
                  <c:v>3.812377415311391E-4</c:v>
                </c:pt>
                <c:pt idx="15">
                  <c:v>3.812377415311391E-4</c:v>
                </c:pt>
                <c:pt idx="16">
                  <c:v>3.812377415311391E-4</c:v>
                </c:pt>
                <c:pt idx="17">
                  <c:v>3.812377415311391E-4</c:v>
                </c:pt>
                <c:pt idx="18">
                  <c:v>3.812377415311391E-4</c:v>
                </c:pt>
                <c:pt idx="19">
                  <c:v>3.812377415311391E-4</c:v>
                </c:pt>
                <c:pt idx="20">
                  <c:v>3.812377415311391E-4</c:v>
                </c:pt>
                <c:pt idx="21">
                  <c:v>3.812377415311391E-4</c:v>
                </c:pt>
                <c:pt idx="22">
                  <c:v>3.812377415311391E-4</c:v>
                </c:pt>
                <c:pt idx="23">
                  <c:v>3.812377415311391E-4</c:v>
                </c:pt>
                <c:pt idx="24">
                  <c:v>3.812377415311391E-4</c:v>
                </c:pt>
                <c:pt idx="25">
                  <c:v>3.812377415311391E-4</c:v>
                </c:pt>
                <c:pt idx="26">
                  <c:v>3.812377415311391E-4</c:v>
                </c:pt>
                <c:pt idx="27">
                  <c:v>3.812377415311391E-4</c:v>
                </c:pt>
                <c:pt idx="28">
                  <c:v>3.812377415311391E-4</c:v>
                </c:pt>
                <c:pt idx="29">
                  <c:v>3.812377415311391E-4</c:v>
                </c:pt>
                <c:pt idx="30">
                  <c:v>3.812377415311391E-4</c:v>
                </c:pt>
                <c:pt idx="31">
                  <c:v>3.812377415311391E-4</c:v>
                </c:pt>
                <c:pt idx="32">
                  <c:v>3.812377415311391E-4</c:v>
                </c:pt>
                <c:pt idx="33">
                  <c:v>3.812377415311391E-4</c:v>
                </c:pt>
                <c:pt idx="34">
                  <c:v>3.812377415311391E-4</c:v>
                </c:pt>
                <c:pt idx="35">
                  <c:v>3.812377415311391E-4</c:v>
                </c:pt>
                <c:pt idx="36">
                  <c:v>3.812377415311391E-4</c:v>
                </c:pt>
                <c:pt idx="37">
                  <c:v>3.812377415311391E-4</c:v>
                </c:pt>
                <c:pt idx="38">
                  <c:v>3.812377415311391E-4</c:v>
                </c:pt>
                <c:pt idx="39">
                  <c:v>3.812377415311391E-4</c:v>
                </c:pt>
                <c:pt idx="40">
                  <c:v>3.812377415311391E-4</c:v>
                </c:pt>
                <c:pt idx="41">
                  <c:v>3.812377415311391E-4</c:v>
                </c:pt>
                <c:pt idx="42">
                  <c:v>3.812377415311391E-4</c:v>
                </c:pt>
                <c:pt idx="43">
                  <c:v>3.812377415311391E-4</c:v>
                </c:pt>
                <c:pt idx="44">
                  <c:v>3.812377415311391E-4</c:v>
                </c:pt>
                <c:pt idx="45">
                  <c:v>3.812377415311391E-4</c:v>
                </c:pt>
                <c:pt idx="46">
                  <c:v>3.812377415311391E-4</c:v>
                </c:pt>
                <c:pt idx="47">
                  <c:v>3.812377415311391E-4</c:v>
                </c:pt>
                <c:pt idx="48">
                  <c:v>3.812377415311391E-4</c:v>
                </c:pt>
                <c:pt idx="49">
                  <c:v>3.812377415311391E-4</c:v>
                </c:pt>
                <c:pt idx="50">
                  <c:v>3.812377415311391E-4</c:v>
                </c:pt>
                <c:pt idx="51">
                  <c:v>3.812377415311391E-4</c:v>
                </c:pt>
                <c:pt idx="52">
                  <c:v>3.812377415311391E-4</c:v>
                </c:pt>
                <c:pt idx="53">
                  <c:v>3.812377415311391E-4</c:v>
                </c:pt>
                <c:pt idx="54">
                  <c:v>3.812377415311391E-4</c:v>
                </c:pt>
                <c:pt idx="55">
                  <c:v>3.812377415311391E-4</c:v>
                </c:pt>
                <c:pt idx="56">
                  <c:v>3.812377415311391E-4</c:v>
                </c:pt>
                <c:pt idx="57">
                  <c:v>3.812377415311391E-4</c:v>
                </c:pt>
                <c:pt idx="58">
                  <c:v>3.812377415311391E-4</c:v>
                </c:pt>
                <c:pt idx="59">
                  <c:v>3.812377415311391E-4</c:v>
                </c:pt>
                <c:pt idx="60">
                  <c:v>3.812377415311391E-4</c:v>
                </c:pt>
                <c:pt idx="61">
                  <c:v>3.812377415311391E-4</c:v>
                </c:pt>
                <c:pt idx="62">
                  <c:v>3.812377415311391E-4</c:v>
                </c:pt>
                <c:pt idx="63">
                  <c:v>3.812377415311391E-4</c:v>
                </c:pt>
                <c:pt idx="64">
                  <c:v>3.812377415311391E-4</c:v>
                </c:pt>
                <c:pt idx="65">
                  <c:v>3.812377415311391E-4</c:v>
                </c:pt>
                <c:pt idx="66">
                  <c:v>3.812377415311391E-4</c:v>
                </c:pt>
                <c:pt idx="67">
                  <c:v>3.812377415311391E-4</c:v>
                </c:pt>
                <c:pt idx="68">
                  <c:v>3.812377415311391E-4</c:v>
                </c:pt>
                <c:pt idx="69">
                  <c:v>3.812377415311391E-4</c:v>
                </c:pt>
                <c:pt idx="70">
                  <c:v>3.812377415311391E-4</c:v>
                </c:pt>
                <c:pt idx="71">
                  <c:v>3.812377415311391E-4</c:v>
                </c:pt>
                <c:pt idx="72">
                  <c:v>3.812377415311391E-4</c:v>
                </c:pt>
                <c:pt idx="73">
                  <c:v>3.812377415311391E-4</c:v>
                </c:pt>
                <c:pt idx="74">
                  <c:v>3.812377415311391E-4</c:v>
                </c:pt>
                <c:pt idx="75">
                  <c:v>3.812377415311391E-4</c:v>
                </c:pt>
                <c:pt idx="76">
                  <c:v>3.812377415311391E-4</c:v>
                </c:pt>
                <c:pt idx="77">
                  <c:v>3.812377415311391E-4</c:v>
                </c:pt>
                <c:pt idx="78">
                  <c:v>3.812377415311391E-4</c:v>
                </c:pt>
                <c:pt idx="79">
                  <c:v>3.812377415311391E-4</c:v>
                </c:pt>
                <c:pt idx="80">
                  <c:v>3.812377415311391E-4</c:v>
                </c:pt>
                <c:pt idx="81">
                  <c:v>3.812377415311391E-4</c:v>
                </c:pt>
                <c:pt idx="82">
                  <c:v>3.812377415311391E-4</c:v>
                </c:pt>
                <c:pt idx="83">
                  <c:v>3.812377415311391E-4</c:v>
                </c:pt>
                <c:pt idx="84">
                  <c:v>3.812377415311391E-4</c:v>
                </c:pt>
                <c:pt idx="85">
                  <c:v>3.812377415311391E-4</c:v>
                </c:pt>
                <c:pt idx="86">
                  <c:v>3.812377415311391E-4</c:v>
                </c:pt>
                <c:pt idx="87">
                  <c:v>3.812377415311391E-4</c:v>
                </c:pt>
                <c:pt idx="88">
                  <c:v>3.812377415311391E-4</c:v>
                </c:pt>
                <c:pt idx="89">
                  <c:v>3.812377415311391E-4</c:v>
                </c:pt>
                <c:pt idx="90">
                  <c:v>3.812377415311391E-4</c:v>
                </c:pt>
                <c:pt idx="91">
                  <c:v>3.812377415311391E-4</c:v>
                </c:pt>
                <c:pt idx="92">
                  <c:v>3.812377415311391E-4</c:v>
                </c:pt>
                <c:pt idx="93">
                  <c:v>3.812377415311391E-4</c:v>
                </c:pt>
                <c:pt idx="94">
                  <c:v>3.812377415311391E-4</c:v>
                </c:pt>
                <c:pt idx="95">
                  <c:v>3.812377415311391E-4</c:v>
                </c:pt>
                <c:pt idx="96">
                  <c:v>3.812377415311391E-4</c:v>
                </c:pt>
                <c:pt idx="97">
                  <c:v>3.812377415311391E-4</c:v>
                </c:pt>
                <c:pt idx="98">
                  <c:v>3.812377415311391E-4</c:v>
                </c:pt>
                <c:pt idx="99">
                  <c:v>3.812377415311391E-4</c:v>
                </c:pt>
                <c:pt idx="100">
                  <c:v>3.812377415311391E-4</c:v>
                </c:pt>
                <c:pt idx="101">
                  <c:v>3.812377415311391E-4</c:v>
                </c:pt>
                <c:pt idx="102">
                  <c:v>3.812377415311391E-4</c:v>
                </c:pt>
                <c:pt idx="103">
                  <c:v>3.812377415311391E-4</c:v>
                </c:pt>
                <c:pt idx="104">
                  <c:v>3.812377415311391E-4</c:v>
                </c:pt>
                <c:pt idx="105">
                  <c:v>3.812377415311391E-4</c:v>
                </c:pt>
                <c:pt idx="106">
                  <c:v>3.812377415311391E-4</c:v>
                </c:pt>
                <c:pt idx="107">
                  <c:v>3.812377415311391E-4</c:v>
                </c:pt>
                <c:pt idx="108">
                  <c:v>3.812377415311391E-4</c:v>
                </c:pt>
                <c:pt idx="109">
                  <c:v>3.812377415311391E-4</c:v>
                </c:pt>
                <c:pt idx="110">
                  <c:v>3.812377415311391E-4</c:v>
                </c:pt>
                <c:pt idx="111">
                  <c:v>3.812377415311391E-4</c:v>
                </c:pt>
                <c:pt idx="112">
                  <c:v>3.812377415311391E-4</c:v>
                </c:pt>
                <c:pt idx="113">
                  <c:v>3.812377415311391E-4</c:v>
                </c:pt>
                <c:pt idx="114">
                  <c:v>3.812377415311391E-4</c:v>
                </c:pt>
                <c:pt idx="115">
                  <c:v>3.812377415311391E-4</c:v>
                </c:pt>
                <c:pt idx="116">
                  <c:v>3.812377415311391E-4</c:v>
                </c:pt>
                <c:pt idx="117">
                  <c:v>3.812377415311391E-4</c:v>
                </c:pt>
                <c:pt idx="118">
                  <c:v>3.812377415311391E-4</c:v>
                </c:pt>
                <c:pt idx="119">
                  <c:v>3.812377415311391E-4</c:v>
                </c:pt>
                <c:pt idx="120">
                  <c:v>3.812377415311391E-4</c:v>
                </c:pt>
                <c:pt idx="121">
                  <c:v>3.812377415311391E-4</c:v>
                </c:pt>
                <c:pt idx="122">
                  <c:v>3.812377415311391E-4</c:v>
                </c:pt>
                <c:pt idx="123">
                  <c:v>3.812377415311391E-4</c:v>
                </c:pt>
                <c:pt idx="124">
                  <c:v>3.812377415311391E-4</c:v>
                </c:pt>
                <c:pt idx="125">
                  <c:v>3.812377415311391E-4</c:v>
                </c:pt>
                <c:pt idx="126">
                  <c:v>3.812377415311391E-4</c:v>
                </c:pt>
                <c:pt idx="127">
                  <c:v>3.812377415311391E-4</c:v>
                </c:pt>
                <c:pt idx="128">
                  <c:v>3.812377415311391E-4</c:v>
                </c:pt>
                <c:pt idx="129">
                  <c:v>3.812377415311391E-4</c:v>
                </c:pt>
                <c:pt idx="130">
                  <c:v>3.812377415311391E-4</c:v>
                </c:pt>
                <c:pt idx="131">
                  <c:v>3.812377415311391E-4</c:v>
                </c:pt>
                <c:pt idx="132">
                  <c:v>3.812377415311391E-4</c:v>
                </c:pt>
                <c:pt idx="133">
                  <c:v>3.812377415311391E-4</c:v>
                </c:pt>
                <c:pt idx="134">
                  <c:v>3.812377415311391E-4</c:v>
                </c:pt>
                <c:pt idx="135">
                  <c:v>3.812377415311391E-4</c:v>
                </c:pt>
                <c:pt idx="136">
                  <c:v>3.812377415311391E-4</c:v>
                </c:pt>
                <c:pt idx="137">
                  <c:v>3.812377415311391E-4</c:v>
                </c:pt>
                <c:pt idx="138">
                  <c:v>3.812377415311391E-4</c:v>
                </c:pt>
                <c:pt idx="139">
                  <c:v>3.812377415311391E-4</c:v>
                </c:pt>
                <c:pt idx="140">
                  <c:v>3.812377415311391E-4</c:v>
                </c:pt>
                <c:pt idx="141">
                  <c:v>3.812377415311391E-4</c:v>
                </c:pt>
                <c:pt idx="142">
                  <c:v>3.812377415311391E-4</c:v>
                </c:pt>
                <c:pt idx="143">
                  <c:v>3.812377415311391E-4</c:v>
                </c:pt>
                <c:pt idx="144">
                  <c:v>3.812377415311391E-4</c:v>
                </c:pt>
                <c:pt idx="145">
                  <c:v>3.812377415311391E-4</c:v>
                </c:pt>
                <c:pt idx="146">
                  <c:v>3.812377415311391E-4</c:v>
                </c:pt>
                <c:pt idx="147">
                  <c:v>3.812377415311391E-4</c:v>
                </c:pt>
                <c:pt idx="148">
                  <c:v>3.812377415311391E-4</c:v>
                </c:pt>
                <c:pt idx="149">
                  <c:v>3.812377415311391E-4</c:v>
                </c:pt>
                <c:pt idx="150">
                  <c:v>3.812377415311391E-4</c:v>
                </c:pt>
                <c:pt idx="151">
                  <c:v>3.812377415311391E-4</c:v>
                </c:pt>
                <c:pt idx="152">
                  <c:v>3.812377415311391E-4</c:v>
                </c:pt>
                <c:pt idx="153">
                  <c:v>3.812377415311391E-4</c:v>
                </c:pt>
                <c:pt idx="154">
                  <c:v>3.812377415311391E-4</c:v>
                </c:pt>
                <c:pt idx="155">
                  <c:v>3.812377415311391E-4</c:v>
                </c:pt>
                <c:pt idx="156">
                  <c:v>3.812377415311391E-4</c:v>
                </c:pt>
                <c:pt idx="157">
                  <c:v>3.812377415311391E-4</c:v>
                </c:pt>
                <c:pt idx="158">
                  <c:v>3.812377415311391E-4</c:v>
                </c:pt>
                <c:pt idx="159">
                  <c:v>3.812377415311391E-4</c:v>
                </c:pt>
                <c:pt idx="160">
                  <c:v>3.812377415311391E-4</c:v>
                </c:pt>
                <c:pt idx="161">
                  <c:v>3.812377415311391E-4</c:v>
                </c:pt>
                <c:pt idx="162">
                  <c:v>3.812377415311391E-4</c:v>
                </c:pt>
                <c:pt idx="163">
                  <c:v>3.812377415311391E-4</c:v>
                </c:pt>
                <c:pt idx="164">
                  <c:v>3.812377415311391E-4</c:v>
                </c:pt>
                <c:pt idx="165">
                  <c:v>3.812377415311391E-4</c:v>
                </c:pt>
                <c:pt idx="166">
                  <c:v>3.812377415311391E-4</c:v>
                </c:pt>
                <c:pt idx="167">
                  <c:v>3.812377415311391E-4</c:v>
                </c:pt>
                <c:pt idx="168">
                  <c:v>3.812377415311391E-4</c:v>
                </c:pt>
                <c:pt idx="169">
                  <c:v>3.812377415311391E-4</c:v>
                </c:pt>
                <c:pt idx="170">
                  <c:v>3.812377415311391E-4</c:v>
                </c:pt>
                <c:pt idx="171">
                  <c:v>3.812377415311391E-4</c:v>
                </c:pt>
                <c:pt idx="172">
                  <c:v>3.812377415311391E-4</c:v>
                </c:pt>
                <c:pt idx="173">
                  <c:v>3.812377415311391E-4</c:v>
                </c:pt>
                <c:pt idx="174">
                  <c:v>3.812377415311391E-4</c:v>
                </c:pt>
                <c:pt idx="175">
                  <c:v>3.812377415311391E-4</c:v>
                </c:pt>
                <c:pt idx="176">
                  <c:v>3.812377415311391E-4</c:v>
                </c:pt>
                <c:pt idx="177">
                  <c:v>3.812377415311391E-4</c:v>
                </c:pt>
                <c:pt idx="178">
                  <c:v>3.812377415311391E-4</c:v>
                </c:pt>
                <c:pt idx="179">
                  <c:v>3.812377415311391E-4</c:v>
                </c:pt>
                <c:pt idx="180">
                  <c:v>3.812377415311391E-4</c:v>
                </c:pt>
                <c:pt idx="181">
                  <c:v>3.812377415311391E-4</c:v>
                </c:pt>
                <c:pt idx="182">
                  <c:v>3.812377415311391E-4</c:v>
                </c:pt>
                <c:pt idx="183">
                  <c:v>3.812377415311391E-4</c:v>
                </c:pt>
                <c:pt idx="184">
                  <c:v>3.812377415311391E-4</c:v>
                </c:pt>
                <c:pt idx="185">
                  <c:v>3.812377415311391E-4</c:v>
                </c:pt>
                <c:pt idx="186">
                  <c:v>3.812377415311391E-4</c:v>
                </c:pt>
                <c:pt idx="187">
                  <c:v>3.812377415311391E-4</c:v>
                </c:pt>
                <c:pt idx="188">
                  <c:v>3.812377415311391E-4</c:v>
                </c:pt>
                <c:pt idx="189">
                  <c:v>3.812377415311391E-4</c:v>
                </c:pt>
                <c:pt idx="190">
                  <c:v>3.812377415311391E-4</c:v>
                </c:pt>
                <c:pt idx="191">
                  <c:v>3.812377415311391E-4</c:v>
                </c:pt>
                <c:pt idx="192">
                  <c:v>3.812377415311391E-4</c:v>
                </c:pt>
                <c:pt idx="193">
                  <c:v>3.812377415311391E-4</c:v>
                </c:pt>
                <c:pt idx="194">
                  <c:v>3.812377415311391E-4</c:v>
                </c:pt>
                <c:pt idx="195">
                  <c:v>3.812377415311391E-4</c:v>
                </c:pt>
                <c:pt idx="196">
                  <c:v>3.812377415311391E-4</c:v>
                </c:pt>
                <c:pt idx="197">
                  <c:v>3.812377415311391E-4</c:v>
                </c:pt>
                <c:pt idx="198">
                  <c:v>3.812377415311391E-4</c:v>
                </c:pt>
                <c:pt idx="199">
                  <c:v>3.812377415311391E-4</c:v>
                </c:pt>
                <c:pt idx="200">
                  <c:v>3.812377415311391E-4</c:v>
                </c:pt>
                <c:pt idx="201">
                  <c:v>3.812377415311391E-4</c:v>
                </c:pt>
                <c:pt idx="202">
                  <c:v>3.812377415311391E-4</c:v>
                </c:pt>
                <c:pt idx="203">
                  <c:v>3.812377415311391E-4</c:v>
                </c:pt>
                <c:pt idx="204">
                  <c:v>3.812377415311391E-4</c:v>
                </c:pt>
                <c:pt idx="205">
                  <c:v>3.812377415311391E-4</c:v>
                </c:pt>
                <c:pt idx="206">
                  <c:v>3.812377415311391E-4</c:v>
                </c:pt>
                <c:pt idx="207">
                  <c:v>3.812377415311391E-4</c:v>
                </c:pt>
                <c:pt idx="208">
                  <c:v>3.812377415311391E-4</c:v>
                </c:pt>
                <c:pt idx="209">
                  <c:v>3.812377415311391E-4</c:v>
                </c:pt>
                <c:pt idx="210">
                  <c:v>3.812377415311391E-4</c:v>
                </c:pt>
                <c:pt idx="211">
                  <c:v>3.812377415311391E-4</c:v>
                </c:pt>
                <c:pt idx="212">
                  <c:v>3.812377415311391E-4</c:v>
                </c:pt>
                <c:pt idx="213">
                  <c:v>3.812377415311391E-4</c:v>
                </c:pt>
                <c:pt idx="214">
                  <c:v>3.812377415311391E-4</c:v>
                </c:pt>
                <c:pt idx="215">
                  <c:v>3.812377415311391E-4</c:v>
                </c:pt>
                <c:pt idx="216">
                  <c:v>3.812377415311391E-4</c:v>
                </c:pt>
                <c:pt idx="217">
                  <c:v>3.812377415311391E-4</c:v>
                </c:pt>
                <c:pt idx="218">
                  <c:v>3.812377415311391E-4</c:v>
                </c:pt>
                <c:pt idx="219">
                  <c:v>3.812377415311391E-4</c:v>
                </c:pt>
                <c:pt idx="220">
                  <c:v>3.812377415311391E-4</c:v>
                </c:pt>
                <c:pt idx="221">
                  <c:v>3.812377415311391E-4</c:v>
                </c:pt>
                <c:pt idx="222">
                  <c:v>3.812377415311391E-4</c:v>
                </c:pt>
                <c:pt idx="223">
                  <c:v>3.812377415311391E-4</c:v>
                </c:pt>
                <c:pt idx="224">
                  <c:v>3.812377415311391E-4</c:v>
                </c:pt>
                <c:pt idx="225">
                  <c:v>3.812377415311391E-4</c:v>
                </c:pt>
                <c:pt idx="226">
                  <c:v>3.812377415311391E-4</c:v>
                </c:pt>
                <c:pt idx="227">
                  <c:v>3.812377415311391E-4</c:v>
                </c:pt>
                <c:pt idx="228">
                  <c:v>3.812377415311391E-4</c:v>
                </c:pt>
                <c:pt idx="229">
                  <c:v>3.812377415311391E-4</c:v>
                </c:pt>
                <c:pt idx="230">
                  <c:v>3.812377415311391E-4</c:v>
                </c:pt>
                <c:pt idx="231">
                  <c:v>3.812377415311391E-4</c:v>
                </c:pt>
                <c:pt idx="232">
                  <c:v>3.812377415311391E-4</c:v>
                </c:pt>
                <c:pt idx="233">
                  <c:v>3.812377415311391E-4</c:v>
                </c:pt>
                <c:pt idx="234">
                  <c:v>3.812377415311391E-4</c:v>
                </c:pt>
                <c:pt idx="235">
                  <c:v>3.812377415311391E-4</c:v>
                </c:pt>
                <c:pt idx="236">
                  <c:v>3.812377415311391E-4</c:v>
                </c:pt>
                <c:pt idx="237">
                  <c:v>3.812377415311391E-4</c:v>
                </c:pt>
                <c:pt idx="238">
                  <c:v>3.812377415311391E-4</c:v>
                </c:pt>
                <c:pt idx="239">
                  <c:v>3.812377415311391E-4</c:v>
                </c:pt>
                <c:pt idx="240">
                  <c:v>3.812377415311391E-4</c:v>
                </c:pt>
                <c:pt idx="241">
                  <c:v>3.812377415311391E-4</c:v>
                </c:pt>
                <c:pt idx="242">
                  <c:v>3.812377415311391E-4</c:v>
                </c:pt>
                <c:pt idx="243">
                  <c:v>3.812377415311391E-4</c:v>
                </c:pt>
                <c:pt idx="244">
                  <c:v>3.812377415311391E-4</c:v>
                </c:pt>
                <c:pt idx="245">
                  <c:v>3.812377415311391E-4</c:v>
                </c:pt>
                <c:pt idx="246">
                  <c:v>3.812377415311391E-4</c:v>
                </c:pt>
                <c:pt idx="247">
                  <c:v>3.812377415311391E-4</c:v>
                </c:pt>
                <c:pt idx="248">
                  <c:v>3.812377415311391E-4</c:v>
                </c:pt>
                <c:pt idx="249">
                  <c:v>3.812377415311391E-4</c:v>
                </c:pt>
                <c:pt idx="250">
                  <c:v>3.812377415311391E-4</c:v>
                </c:pt>
                <c:pt idx="251">
                  <c:v>3.812377415311391E-4</c:v>
                </c:pt>
                <c:pt idx="252">
                  <c:v>3.812377415311391E-4</c:v>
                </c:pt>
                <c:pt idx="253">
                  <c:v>3.812377415311391E-4</c:v>
                </c:pt>
                <c:pt idx="254">
                  <c:v>3.812377415311391E-4</c:v>
                </c:pt>
                <c:pt idx="255">
                  <c:v>3.812377415311391E-4</c:v>
                </c:pt>
                <c:pt idx="256">
                  <c:v>3.812377415311391E-4</c:v>
                </c:pt>
                <c:pt idx="257">
                  <c:v>3.812377415311391E-4</c:v>
                </c:pt>
                <c:pt idx="258">
                  <c:v>3.812377415311391E-4</c:v>
                </c:pt>
                <c:pt idx="259">
                  <c:v>3.812377415311391E-4</c:v>
                </c:pt>
                <c:pt idx="260">
                  <c:v>3.812377415311391E-4</c:v>
                </c:pt>
                <c:pt idx="261">
                  <c:v>3.812377415311391E-4</c:v>
                </c:pt>
                <c:pt idx="262">
                  <c:v>3.812377415311391E-4</c:v>
                </c:pt>
                <c:pt idx="263">
                  <c:v>3.812377415311391E-4</c:v>
                </c:pt>
                <c:pt idx="264">
                  <c:v>3.812377415311391E-4</c:v>
                </c:pt>
                <c:pt idx="265">
                  <c:v>3.812377415311391E-4</c:v>
                </c:pt>
                <c:pt idx="266">
                  <c:v>3.812377415311391E-4</c:v>
                </c:pt>
                <c:pt idx="267">
                  <c:v>3.812377415311391E-4</c:v>
                </c:pt>
                <c:pt idx="268">
                  <c:v>3.812377415311391E-4</c:v>
                </c:pt>
                <c:pt idx="269">
                  <c:v>3.812377415311391E-4</c:v>
                </c:pt>
                <c:pt idx="270">
                  <c:v>3.812377415311391E-4</c:v>
                </c:pt>
                <c:pt idx="271">
                  <c:v>3.812377415311391E-4</c:v>
                </c:pt>
                <c:pt idx="272">
                  <c:v>3.812377415311391E-4</c:v>
                </c:pt>
                <c:pt idx="273">
                  <c:v>3.812377415311391E-4</c:v>
                </c:pt>
                <c:pt idx="274">
                  <c:v>3.812377415311391E-4</c:v>
                </c:pt>
                <c:pt idx="275">
                  <c:v>3.812377415311391E-4</c:v>
                </c:pt>
                <c:pt idx="276">
                  <c:v>3.812377415311391E-4</c:v>
                </c:pt>
                <c:pt idx="277">
                  <c:v>3.812377415311391E-4</c:v>
                </c:pt>
                <c:pt idx="278">
                  <c:v>3.812377415311391E-4</c:v>
                </c:pt>
                <c:pt idx="279">
                  <c:v>3.812377415311391E-4</c:v>
                </c:pt>
                <c:pt idx="280">
                  <c:v>3.812377415311391E-4</c:v>
                </c:pt>
                <c:pt idx="281">
                  <c:v>3.812377415311391E-4</c:v>
                </c:pt>
                <c:pt idx="282">
                  <c:v>3.812377415311391E-4</c:v>
                </c:pt>
                <c:pt idx="283">
                  <c:v>3.812377415311391E-4</c:v>
                </c:pt>
                <c:pt idx="284">
                  <c:v>3.812377415311391E-4</c:v>
                </c:pt>
                <c:pt idx="285">
                  <c:v>3.812377415311391E-4</c:v>
                </c:pt>
                <c:pt idx="286">
                  <c:v>3.812377415311391E-4</c:v>
                </c:pt>
                <c:pt idx="287">
                  <c:v>3.812377415311391E-4</c:v>
                </c:pt>
                <c:pt idx="288">
                  <c:v>3.812377415311391E-4</c:v>
                </c:pt>
                <c:pt idx="289">
                  <c:v>3.812377415311391E-4</c:v>
                </c:pt>
                <c:pt idx="290">
                  <c:v>3.812377415311391E-4</c:v>
                </c:pt>
                <c:pt idx="291">
                  <c:v>3.812377415311391E-4</c:v>
                </c:pt>
                <c:pt idx="292">
                  <c:v>3.812377415311391E-4</c:v>
                </c:pt>
                <c:pt idx="293">
                  <c:v>3.812377415311391E-4</c:v>
                </c:pt>
                <c:pt idx="294">
                  <c:v>3.812377415311391E-4</c:v>
                </c:pt>
                <c:pt idx="295">
                  <c:v>3.812377415311391E-4</c:v>
                </c:pt>
                <c:pt idx="296">
                  <c:v>3.812377415311391E-4</c:v>
                </c:pt>
                <c:pt idx="297">
                  <c:v>3.812377415311391E-4</c:v>
                </c:pt>
                <c:pt idx="298">
                  <c:v>3.812377415311391E-4</c:v>
                </c:pt>
                <c:pt idx="299">
                  <c:v>3.812377415311391E-4</c:v>
                </c:pt>
                <c:pt idx="300">
                  <c:v>3.812377415311391E-4</c:v>
                </c:pt>
                <c:pt idx="301">
                  <c:v>3.812377415311391E-4</c:v>
                </c:pt>
                <c:pt idx="302">
                  <c:v>3.812377415311391E-4</c:v>
                </c:pt>
                <c:pt idx="303">
                  <c:v>3.812377415311391E-4</c:v>
                </c:pt>
                <c:pt idx="304">
                  <c:v>3.812377415311391E-4</c:v>
                </c:pt>
                <c:pt idx="305">
                  <c:v>3.812377415311391E-4</c:v>
                </c:pt>
                <c:pt idx="306">
                  <c:v>3.812377415311391E-4</c:v>
                </c:pt>
                <c:pt idx="307">
                  <c:v>3.812377415311391E-4</c:v>
                </c:pt>
                <c:pt idx="308">
                  <c:v>3.812377415311391E-4</c:v>
                </c:pt>
                <c:pt idx="309">
                  <c:v>3.812377415311391E-4</c:v>
                </c:pt>
                <c:pt idx="310">
                  <c:v>3.812377415311391E-4</c:v>
                </c:pt>
                <c:pt idx="311">
                  <c:v>3.812377415311391E-4</c:v>
                </c:pt>
                <c:pt idx="312">
                  <c:v>3.812377415311391E-4</c:v>
                </c:pt>
                <c:pt idx="313">
                  <c:v>3.812377415311391E-4</c:v>
                </c:pt>
                <c:pt idx="314">
                  <c:v>3.812377415311391E-4</c:v>
                </c:pt>
                <c:pt idx="315">
                  <c:v>3.812377415311391E-4</c:v>
                </c:pt>
                <c:pt idx="316">
                  <c:v>3.812377415311391E-4</c:v>
                </c:pt>
                <c:pt idx="317">
                  <c:v>3.812377415311391E-4</c:v>
                </c:pt>
                <c:pt idx="318">
                  <c:v>3.812377415311391E-4</c:v>
                </c:pt>
                <c:pt idx="319">
                  <c:v>3.812377415311391E-4</c:v>
                </c:pt>
                <c:pt idx="320">
                  <c:v>3.812377415311391E-4</c:v>
                </c:pt>
                <c:pt idx="321">
                  <c:v>3.812377415311391E-4</c:v>
                </c:pt>
                <c:pt idx="322">
                  <c:v>3.812377415311391E-4</c:v>
                </c:pt>
                <c:pt idx="323">
                  <c:v>3.812377415311391E-4</c:v>
                </c:pt>
                <c:pt idx="324">
                  <c:v>3.812377415311391E-4</c:v>
                </c:pt>
                <c:pt idx="325">
                  <c:v>3.812377415311391E-4</c:v>
                </c:pt>
                <c:pt idx="326">
                  <c:v>3.812377415311391E-4</c:v>
                </c:pt>
                <c:pt idx="327">
                  <c:v>3.812377415311391E-4</c:v>
                </c:pt>
                <c:pt idx="328">
                  <c:v>3.812377415311391E-4</c:v>
                </c:pt>
                <c:pt idx="329">
                  <c:v>3.812377415311391E-4</c:v>
                </c:pt>
                <c:pt idx="330">
                  <c:v>3.812377415311391E-4</c:v>
                </c:pt>
                <c:pt idx="331">
                  <c:v>3.812377415311391E-4</c:v>
                </c:pt>
                <c:pt idx="332">
                  <c:v>3.812377415311391E-4</c:v>
                </c:pt>
                <c:pt idx="333">
                  <c:v>3.812377415311391E-4</c:v>
                </c:pt>
                <c:pt idx="334">
                  <c:v>3.812377415311391E-4</c:v>
                </c:pt>
                <c:pt idx="335">
                  <c:v>3.812377415311391E-4</c:v>
                </c:pt>
                <c:pt idx="336">
                  <c:v>3.812377415311391E-4</c:v>
                </c:pt>
                <c:pt idx="337">
                  <c:v>3.812377415311391E-4</c:v>
                </c:pt>
                <c:pt idx="338">
                  <c:v>3.812377415311391E-4</c:v>
                </c:pt>
                <c:pt idx="339">
                  <c:v>3.812377415311391E-4</c:v>
                </c:pt>
                <c:pt idx="340">
                  <c:v>3.812377415311391E-4</c:v>
                </c:pt>
                <c:pt idx="341">
                  <c:v>3.812377415311391E-4</c:v>
                </c:pt>
                <c:pt idx="342">
                  <c:v>3.812377415311391E-4</c:v>
                </c:pt>
                <c:pt idx="343">
                  <c:v>3.812377415311391E-4</c:v>
                </c:pt>
                <c:pt idx="344">
                  <c:v>3.812377415311391E-4</c:v>
                </c:pt>
                <c:pt idx="345">
                  <c:v>3.812377415311391E-4</c:v>
                </c:pt>
                <c:pt idx="346">
                  <c:v>3.812377415311391E-4</c:v>
                </c:pt>
                <c:pt idx="347">
                  <c:v>3.812377415311391E-4</c:v>
                </c:pt>
                <c:pt idx="348">
                  <c:v>3.812377415311391E-4</c:v>
                </c:pt>
                <c:pt idx="349">
                  <c:v>3.812377415311391E-4</c:v>
                </c:pt>
                <c:pt idx="350">
                  <c:v>3.812377415311391E-4</c:v>
                </c:pt>
                <c:pt idx="351">
                  <c:v>3.812377415311391E-4</c:v>
                </c:pt>
                <c:pt idx="352">
                  <c:v>3.812377415311391E-4</c:v>
                </c:pt>
                <c:pt idx="353">
                  <c:v>3.812377415311391E-4</c:v>
                </c:pt>
                <c:pt idx="354">
                  <c:v>3.812377415311391E-4</c:v>
                </c:pt>
                <c:pt idx="355">
                  <c:v>3.812377415311391E-4</c:v>
                </c:pt>
                <c:pt idx="356">
                  <c:v>3.812377415311391E-4</c:v>
                </c:pt>
                <c:pt idx="357">
                  <c:v>3.812377415311391E-4</c:v>
                </c:pt>
                <c:pt idx="358">
                  <c:v>3.812377415311391E-4</c:v>
                </c:pt>
                <c:pt idx="359">
                  <c:v>3.812377415311391E-4</c:v>
                </c:pt>
                <c:pt idx="360">
                  <c:v>3.812377415311391E-4</c:v>
                </c:pt>
                <c:pt idx="361">
                  <c:v>3.812377415311391E-4</c:v>
                </c:pt>
                <c:pt idx="362">
                  <c:v>3.812377415311391E-4</c:v>
                </c:pt>
                <c:pt idx="363">
                  <c:v>3.812377415311391E-4</c:v>
                </c:pt>
                <c:pt idx="364">
                  <c:v>3.812377415311391E-4</c:v>
                </c:pt>
                <c:pt idx="365">
                  <c:v>3.812377415311391E-4</c:v>
                </c:pt>
                <c:pt idx="366">
                  <c:v>3.812377415311391E-4</c:v>
                </c:pt>
                <c:pt idx="367">
                  <c:v>3.812377415311391E-4</c:v>
                </c:pt>
                <c:pt idx="368">
                  <c:v>3.812377415311391E-4</c:v>
                </c:pt>
                <c:pt idx="369">
                  <c:v>3.812377415311391E-4</c:v>
                </c:pt>
                <c:pt idx="370">
                  <c:v>3.812377415311391E-4</c:v>
                </c:pt>
                <c:pt idx="371">
                  <c:v>3.812377415311391E-4</c:v>
                </c:pt>
                <c:pt idx="372">
                  <c:v>3.812377415311391E-4</c:v>
                </c:pt>
                <c:pt idx="373">
                  <c:v>3.812377415311391E-4</c:v>
                </c:pt>
                <c:pt idx="374">
                  <c:v>3.812377415311391E-4</c:v>
                </c:pt>
                <c:pt idx="375">
                  <c:v>3.812377415311391E-4</c:v>
                </c:pt>
                <c:pt idx="376">
                  <c:v>3.812377415311391E-4</c:v>
                </c:pt>
                <c:pt idx="377">
                  <c:v>3.812377415311391E-4</c:v>
                </c:pt>
                <c:pt idx="378">
                  <c:v>3.812377415311391E-4</c:v>
                </c:pt>
                <c:pt idx="379">
                  <c:v>3.812377415311391E-4</c:v>
                </c:pt>
                <c:pt idx="380">
                  <c:v>3.812377415311391E-4</c:v>
                </c:pt>
                <c:pt idx="381">
                  <c:v>3.812377415311391E-4</c:v>
                </c:pt>
                <c:pt idx="382">
                  <c:v>3.812377415311391E-4</c:v>
                </c:pt>
                <c:pt idx="383">
                  <c:v>3.812377415311391E-4</c:v>
                </c:pt>
                <c:pt idx="384">
                  <c:v>3.812377415311391E-4</c:v>
                </c:pt>
                <c:pt idx="385">
                  <c:v>3.812377415311391E-4</c:v>
                </c:pt>
                <c:pt idx="386">
                  <c:v>3.812377415311391E-4</c:v>
                </c:pt>
                <c:pt idx="387">
                  <c:v>3.812377415311391E-4</c:v>
                </c:pt>
                <c:pt idx="388">
                  <c:v>3.812377415311391E-4</c:v>
                </c:pt>
                <c:pt idx="389">
                  <c:v>3.812377415311391E-4</c:v>
                </c:pt>
                <c:pt idx="390">
                  <c:v>3.812377415311391E-4</c:v>
                </c:pt>
                <c:pt idx="391">
                  <c:v>3.812377415311391E-4</c:v>
                </c:pt>
                <c:pt idx="392">
                  <c:v>3.812377415311391E-4</c:v>
                </c:pt>
                <c:pt idx="393">
                  <c:v>3.812377415311391E-4</c:v>
                </c:pt>
                <c:pt idx="394">
                  <c:v>3.812377415311391E-4</c:v>
                </c:pt>
                <c:pt idx="395">
                  <c:v>3.812377415311391E-4</c:v>
                </c:pt>
                <c:pt idx="396">
                  <c:v>3.812377415311391E-4</c:v>
                </c:pt>
                <c:pt idx="397">
                  <c:v>3.812377415311391E-4</c:v>
                </c:pt>
                <c:pt idx="398">
                  <c:v>3.812377415311391E-4</c:v>
                </c:pt>
                <c:pt idx="399">
                  <c:v>3.812377415311391E-4</c:v>
                </c:pt>
                <c:pt idx="400">
                  <c:v>3.812377415311391E-4</c:v>
                </c:pt>
                <c:pt idx="401">
                  <c:v>3.812377415311391E-4</c:v>
                </c:pt>
                <c:pt idx="402">
                  <c:v>3.812377415311391E-4</c:v>
                </c:pt>
                <c:pt idx="403">
                  <c:v>3.812377415311391E-4</c:v>
                </c:pt>
                <c:pt idx="404">
                  <c:v>3.812377415311391E-4</c:v>
                </c:pt>
                <c:pt idx="405">
                  <c:v>3.812377415311391E-4</c:v>
                </c:pt>
                <c:pt idx="406">
                  <c:v>3.812377415311391E-4</c:v>
                </c:pt>
                <c:pt idx="407">
                  <c:v>3.812377415311391E-4</c:v>
                </c:pt>
                <c:pt idx="408">
                  <c:v>3.812377415311391E-4</c:v>
                </c:pt>
                <c:pt idx="409">
                  <c:v>3.812377415311391E-4</c:v>
                </c:pt>
                <c:pt idx="410">
                  <c:v>3.812377415311391E-4</c:v>
                </c:pt>
                <c:pt idx="411">
                  <c:v>3.812377415311391E-4</c:v>
                </c:pt>
                <c:pt idx="412">
                  <c:v>3.812377415311391E-4</c:v>
                </c:pt>
                <c:pt idx="413">
                  <c:v>3.812377415311391E-4</c:v>
                </c:pt>
                <c:pt idx="414">
                  <c:v>3.812377415311391E-4</c:v>
                </c:pt>
                <c:pt idx="415">
                  <c:v>3.812377415311391E-4</c:v>
                </c:pt>
                <c:pt idx="416">
                  <c:v>3.812377415311391E-4</c:v>
                </c:pt>
                <c:pt idx="417">
                  <c:v>3.812377415311391E-4</c:v>
                </c:pt>
                <c:pt idx="418">
                  <c:v>3.812377415311391E-4</c:v>
                </c:pt>
                <c:pt idx="419">
                  <c:v>3.812377415311391E-4</c:v>
                </c:pt>
                <c:pt idx="420">
                  <c:v>3.812377415311391E-4</c:v>
                </c:pt>
                <c:pt idx="421">
                  <c:v>3.812377415311391E-4</c:v>
                </c:pt>
                <c:pt idx="422">
                  <c:v>3.812377415311391E-4</c:v>
                </c:pt>
                <c:pt idx="423">
                  <c:v>3.812377415311391E-4</c:v>
                </c:pt>
                <c:pt idx="424">
                  <c:v>3.812377415311391E-4</c:v>
                </c:pt>
                <c:pt idx="425">
                  <c:v>3.812377415311391E-4</c:v>
                </c:pt>
                <c:pt idx="426">
                  <c:v>3.812377415311391E-4</c:v>
                </c:pt>
                <c:pt idx="427">
                  <c:v>3.812377415311391E-4</c:v>
                </c:pt>
                <c:pt idx="428">
                  <c:v>3.812377415311391E-4</c:v>
                </c:pt>
                <c:pt idx="429">
                  <c:v>3.812377415311391E-4</c:v>
                </c:pt>
                <c:pt idx="430">
                  <c:v>3.812377415311391E-4</c:v>
                </c:pt>
                <c:pt idx="431">
                  <c:v>3.812377415311391E-4</c:v>
                </c:pt>
                <c:pt idx="432">
                  <c:v>3.812377415311391E-4</c:v>
                </c:pt>
                <c:pt idx="433">
                  <c:v>3.812377415311391E-4</c:v>
                </c:pt>
                <c:pt idx="434">
                  <c:v>3.812377415311391E-4</c:v>
                </c:pt>
                <c:pt idx="435">
                  <c:v>3.812377415311391E-4</c:v>
                </c:pt>
                <c:pt idx="436">
                  <c:v>3.812377415311391E-4</c:v>
                </c:pt>
                <c:pt idx="437">
                  <c:v>3.812377415311391E-4</c:v>
                </c:pt>
                <c:pt idx="438">
                  <c:v>3.812377415311391E-4</c:v>
                </c:pt>
                <c:pt idx="439">
                  <c:v>3.812377415311391E-4</c:v>
                </c:pt>
                <c:pt idx="440">
                  <c:v>3.812377415311391E-4</c:v>
                </c:pt>
                <c:pt idx="441">
                  <c:v>3.812377415311391E-4</c:v>
                </c:pt>
                <c:pt idx="442">
                  <c:v>3.812377415311391E-4</c:v>
                </c:pt>
                <c:pt idx="443">
                  <c:v>3.812377415311391E-4</c:v>
                </c:pt>
                <c:pt idx="444">
                  <c:v>3.812377415311391E-4</c:v>
                </c:pt>
                <c:pt idx="445">
                  <c:v>3.812377415311391E-4</c:v>
                </c:pt>
                <c:pt idx="446">
                  <c:v>3.812377415311391E-4</c:v>
                </c:pt>
                <c:pt idx="447">
                  <c:v>3.812377415311391E-4</c:v>
                </c:pt>
                <c:pt idx="448">
                  <c:v>3.812377415311391E-4</c:v>
                </c:pt>
                <c:pt idx="449">
                  <c:v>3.812377415311391E-4</c:v>
                </c:pt>
                <c:pt idx="450">
                  <c:v>3.812377415311391E-4</c:v>
                </c:pt>
                <c:pt idx="451">
                  <c:v>3.812377415311391E-4</c:v>
                </c:pt>
                <c:pt idx="452">
                  <c:v>3.812377415311391E-4</c:v>
                </c:pt>
                <c:pt idx="453">
                  <c:v>3.812377415311391E-4</c:v>
                </c:pt>
                <c:pt idx="454">
                  <c:v>3.812377415311391E-4</c:v>
                </c:pt>
                <c:pt idx="455">
                  <c:v>3.812377415311391E-4</c:v>
                </c:pt>
                <c:pt idx="456">
                  <c:v>3.812377415311391E-4</c:v>
                </c:pt>
                <c:pt idx="457">
                  <c:v>3.812377415311391E-4</c:v>
                </c:pt>
                <c:pt idx="458">
                  <c:v>3.812377415311391E-4</c:v>
                </c:pt>
                <c:pt idx="459">
                  <c:v>0.47503526323513973</c:v>
                </c:pt>
              </c:numCache>
            </c:numRef>
          </c:xVal>
          <c:yVal>
            <c:numRef>
              <c:f>Messdaten!$L$15:$L$656</c:f>
              <c:numCache>
                <c:formatCode>0.000</c:formatCode>
                <c:ptCount val="6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A5-49EE-ACB6-763E05736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42368"/>
        <c:axId val="97643904"/>
      </c:scatterChart>
      <c:valAx>
        <c:axId val="97638272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 sz="1075" b="1" i="0" u="none" strike="noStrike" baseline="0">
                    <a:solidFill>
                      <a:srgbClr val="000000"/>
                    </a:solidFill>
                    <a:latin typeface="Symbol"/>
                  </a:rPr>
                  <a:t>e</a:t>
                </a:r>
                <a:r>
                  <a:rPr lang="de-DE" sz="1075" b="1" i="0" u="none" strike="noStrike" baseline="-25000">
                    <a:solidFill>
                      <a:srgbClr val="000000"/>
                    </a:solidFill>
                    <a:latin typeface="Frutiger 45 Light"/>
                  </a:rPr>
                  <a:t>plast</a:t>
                </a:r>
                <a:endParaRPr lang="de-DE"/>
              </a:p>
            </c:rich>
          </c:tx>
          <c:layout>
            <c:manualLayout>
              <c:xMode val="edge"/>
              <c:yMode val="edge"/>
              <c:x val="0.40303541315345698"/>
              <c:y val="0.9124317511158562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7640448"/>
        <c:crosses val="autoZero"/>
        <c:crossBetween val="midCat"/>
      </c:valAx>
      <c:valAx>
        <c:axId val="97640448"/>
        <c:scaling>
          <c:orientation val="minMax"/>
          <c:max val="4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 sz="875" b="1" i="0" u="none" strike="noStrike" baseline="0">
                    <a:solidFill>
                      <a:srgbClr val="000000"/>
                    </a:solidFill>
                    <a:latin typeface="Symbol"/>
                  </a:rPr>
                  <a:t>s </a:t>
                </a:r>
                <a:r>
                  <a:rPr lang="de-DE" sz="875" b="1" i="0" u="none" strike="noStrike" baseline="0">
                    <a:solidFill>
                      <a:srgbClr val="000000"/>
                    </a:solidFill>
                    <a:latin typeface="Frutiger FhG Light"/>
                  </a:rPr>
                  <a:t>[MPa]</a:t>
                </a:r>
                <a:endParaRPr lang="de-DE"/>
              </a:p>
            </c:rich>
          </c:tx>
          <c:layout>
            <c:manualLayout>
              <c:xMode val="edge"/>
              <c:yMode val="edge"/>
              <c:x val="2.3608768971332208E-2"/>
              <c:y val="0.3757071044085590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7638272"/>
        <c:crosses val="autoZero"/>
        <c:crossBetween val="midCat"/>
      </c:valAx>
      <c:valAx>
        <c:axId val="97642368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97643904"/>
        <c:crosses val="autoZero"/>
        <c:crossBetween val="midCat"/>
      </c:valAx>
      <c:valAx>
        <c:axId val="97643904"/>
        <c:scaling>
          <c:orientation val="minMax"/>
          <c:max val="1"/>
          <c:min val="0"/>
        </c:scaling>
        <c:delete val="0"/>
        <c:axPos val="r"/>
        <c:numFmt formatCode="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7642368"/>
        <c:crosses val="max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90196208610517"/>
          <c:y val="0.59039636994528222"/>
          <c:w val="0.14333895446880274"/>
          <c:h val="0.1892661298693595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-3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47557290807379"/>
          <c:y val="4.3792960927308257E-2"/>
          <c:w val="0.76582244725130177"/>
          <c:h val="0.7909626339673651"/>
        </c:manualLayout>
      </c:layout>
      <c:scatterChart>
        <c:scatterStyle val="lineMarker"/>
        <c:varyColors val="0"/>
        <c:ser>
          <c:idx val="0"/>
          <c:order val="0"/>
          <c:tx>
            <c:v>stress strain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Messdaten!$K$15:$K$2656</c:f>
              <c:numCache>
                <c:formatCode>0.000</c:formatCode>
                <c:ptCount val="2642"/>
                <c:pt idx="0">
                  <c:v>3.812377415311391E-4</c:v>
                </c:pt>
                <c:pt idx="1">
                  <c:v>3.812377415311391E-4</c:v>
                </c:pt>
                <c:pt idx="2">
                  <c:v>3.812377415311391E-4</c:v>
                </c:pt>
                <c:pt idx="3">
                  <c:v>3.812377415311391E-4</c:v>
                </c:pt>
                <c:pt idx="4">
                  <c:v>3.812377415311391E-4</c:v>
                </c:pt>
                <c:pt idx="5">
                  <c:v>3.812377415311391E-4</c:v>
                </c:pt>
                <c:pt idx="6">
                  <c:v>3.812377415311391E-4</c:v>
                </c:pt>
                <c:pt idx="7">
                  <c:v>3.812377415311391E-4</c:v>
                </c:pt>
                <c:pt idx="8">
                  <c:v>3.812377415311391E-4</c:v>
                </c:pt>
                <c:pt idx="9">
                  <c:v>3.812377415311391E-4</c:v>
                </c:pt>
                <c:pt idx="10">
                  <c:v>3.812377415311391E-4</c:v>
                </c:pt>
                <c:pt idx="11">
                  <c:v>3.812377415311391E-4</c:v>
                </c:pt>
                <c:pt idx="12">
                  <c:v>3.812377415311391E-4</c:v>
                </c:pt>
                <c:pt idx="13">
                  <c:v>3.812377415311391E-4</c:v>
                </c:pt>
                <c:pt idx="14">
                  <c:v>3.812377415311391E-4</c:v>
                </c:pt>
                <c:pt idx="15">
                  <c:v>3.812377415311391E-4</c:v>
                </c:pt>
                <c:pt idx="16">
                  <c:v>3.812377415311391E-4</c:v>
                </c:pt>
                <c:pt idx="17">
                  <c:v>3.812377415311391E-4</c:v>
                </c:pt>
                <c:pt idx="18">
                  <c:v>3.812377415311391E-4</c:v>
                </c:pt>
                <c:pt idx="19">
                  <c:v>3.812377415311391E-4</c:v>
                </c:pt>
                <c:pt idx="20">
                  <c:v>3.812377415311391E-4</c:v>
                </c:pt>
                <c:pt idx="21">
                  <c:v>3.812377415311391E-4</c:v>
                </c:pt>
                <c:pt idx="22">
                  <c:v>3.812377415311391E-4</c:v>
                </c:pt>
                <c:pt idx="23">
                  <c:v>3.812377415311391E-4</c:v>
                </c:pt>
                <c:pt idx="24">
                  <c:v>3.812377415311391E-4</c:v>
                </c:pt>
                <c:pt idx="25">
                  <c:v>3.812377415311391E-4</c:v>
                </c:pt>
                <c:pt idx="26">
                  <c:v>3.812377415311391E-4</c:v>
                </c:pt>
                <c:pt idx="27">
                  <c:v>3.812377415311391E-4</c:v>
                </c:pt>
                <c:pt idx="28">
                  <c:v>3.812377415311391E-4</c:v>
                </c:pt>
                <c:pt idx="29">
                  <c:v>3.812377415311391E-4</c:v>
                </c:pt>
                <c:pt idx="30">
                  <c:v>3.812377415311391E-4</c:v>
                </c:pt>
                <c:pt idx="31">
                  <c:v>3.812377415311391E-4</c:v>
                </c:pt>
                <c:pt idx="32">
                  <c:v>3.812377415311391E-4</c:v>
                </c:pt>
                <c:pt idx="33">
                  <c:v>3.812377415311391E-4</c:v>
                </c:pt>
                <c:pt idx="34">
                  <c:v>3.812377415311391E-4</c:v>
                </c:pt>
                <c:pt idx="35">
                  <c:v>3.812377415311391E-4</c:v>
                </c:pt>
                <c:pt idx="36">
                  <c:v>3.812377415311391E-4</c:v>
                </c:pt>
                <c:pt idx="37">
                  <c:v>3.812377415311391E-4</c:v>
                </c:pt>
                <c:pt idx="38">
                  <c:v>3.812377415311391E-4</c:v>
                </c:pt>
                <c:pt idx="39">
                  <c:v>3.812377415311391E-4</c:v>
                </c:pt>
                <c:pt idx="40">
                  <c:v>3.812377415311391E-4</c:v>
                </c:pt>
                <c:pt idx="41">
                  <c:v>3.812377415311391E-4</c:v>
                </c:pt>
                <c:pt idx="42">
                  <c:v>3.812377415311391E-4</c:v>
                </c:pt>
                <c:pt idx="43">
                  <c:v>3.812377415311391E-4</c:v>
                </c:pt>
                <c:pt idx="44">
                  <c:v>3.812377415311391E-4</c:v>
                </c:pt>
                <c:pt idx="45">
                  <c:v>3.812377415311391E-4</c:v>
                </c:pt>
                <c:pt idx="46">
                  <c:v>3.812377415311391E-4</c:v>
                </c:pt>
                <c:pt idx="47">
                  <c:v>3.812377415311391E-4</c:v>
                </c:pt>
                <c:pt idx="48">
                  <c:v>3.812377415311391E-4</c:v>
                </c:pt>
                <c:pt idx="49">
                  <c:v>3.812377415311391E-4</c:v>
                </c:pt>
                <c:pt idx="50">
                  <c:v>3.812377415311391E-4</c:v>
                </c:pt>
                <c:pt idx="51">
                  <c:v>3.812377415311391E-4</c:v>
                </c:pt>
                <c:pt idx="52">
                  <c:v>3.812377415311391E-4</c:v>
                </c:pt>
                <c:pt idx="53">
                  <c:v>3.812377415311391E-4</c:v>
                </c:pt>
                <c:pt idx="54">
                  <c:v>3.812377415311391E-4</c:v>
                </c:pt>
                <c:pt idx="55">
                  <c:v>3.812377415311391E-4</c:v>
                </c:pt>
                <c:pt idx="56">
                  <c:v>3.812377415311391E-4</c:v>
                </c:pt>
                <c:pt idx="57">
                  <c:v>3.812377415311391E-4</c:v>
                </c:pt>
                <c:pt idx="58">
                  <c:v>3.812377415311391E-4</c:v>
                </c:pt>
                <c:pt idx="59">
                  <c:v>3.812377415311391E-4</c:v>
                </c:pt>
                <c:pt idx="60">
                  <c:v>3.812377415311391E-4</c:v>
                </c:pt>
                <c:pt idx="61">
                  <c:v>3.812377415311391E-4</c:v>
                </c:pt>
                <c:pt idx="62">
                  <c:v>3.812377415311391E-4</c:v>
                </c:pt>
                <c:pt idx="63">
                  <c:v>3.812377415311391E-4</c:v>
                </c:pt>
                <c:pt idx="64">
                  <c:v>3.812377415311391E-4</c:v>
                </c:pt>
                <c:pt idx="65">
                  <c:v>3.812377415311391E-4</c:v>
                </c:pt>
                <c:pt idx="66">
                  <c:v>3.812377415311391E-4</c:v>
                </c:pt>
                <c:pt idx="67">
                  <c:v>3.812377415311391E-4</c:v>
                </c:pt>
                <c:pt idx="68">
                  <c:v>3.812377415311391E-4</c:v>
                </c:pt>
                <c:pt idx="69">
                  <c:v>3.812377415311391E-4</c:v>
                </c:pt>
                <c:pt idx="70">
                  <c:v>3.812377415311391E-4</c:v>
                </c:pt>
                <c:pt idx="71">
                  <c:v>3.812377415311391E-4</c:v>
                </c:pt>
                <c:pt idx="72">
                  <c:v>3.812377415311391E-4</c:v>
                </c:pt>
                <c:pt idx="73">
                  <c:v>3.812377415311391E-4</c:v>
                </c:pt>
                <c:pt idx="74">
                  <c:v>3.812377415311391E-4</c:v>
                </c:pt>
                <c:pt idx="75">
                  <c:v>3.812377415311391E-4</c:v>
                </c:pt>
                <c:pt idx="76">
                  <c:v>3.812377415311391E-4</c:v>
                </c:pt>
                <c:pt idx="77">
                  <c:v>3.812377415311391E-4</c:v>
                </c:pt>
                <c:pt idx="78">
                  <c:v>3.812377415311391E-4</c:v>
                </c:pt>
                <c:pt idx="79">
                  <c:v>3.812377415311391E-4</c:v>
                </c:pt>
                <c:pt idx="80">
                  <c:v>3.812377415311391E-4</c:v>
                </c:pt>
                <c:pt idx="81">
                  <c:v>3.812377415311391E-4</c:v>
                </c:pt>
                <c:pt idx="82">
                  <c:v>3.812377415311391E-4</c:v>
                </c:pt>
                <c:pt idx="83">
                  <c:v>3.812377415311391E-4</c:v>
                </c:pt>
                <c:pt idx="84">
                  <c:v>3.812377415311391E-4</c:v>
                </c:pt>
                <c:pt idx="85">
                  <c:v>3.812377415311391E-4</c:v>
                </c:pt>
                <c:pt idx="86">
                  <c:v>3.812377415311391E-4</c:v>
                </c:pt>
                <c:pt idx="87">
                  <c:v>3.812377415311391E-4</c:v>
                </c:pt>
                <c:pt idx="88">
                  <c:v>3.812377415311391E-4</c:v>
                </c:pt>
                <c:pt idx="89">
                  <c:v>3.812377415311391E-4</c:v>
                </c:pt>
                <c:pt idx="90">
                  <c:v>3.812377415311391E-4</c:v>
                </c:pt>
                <c:pt idx="91">
                  <c:v>3.812377415311391E-4</c:v>
                </c:pt>
                <c:pt idx="92">
                  <c:v>3.812377415311391E-4</c:v>
                </c:pt>
                <c:pt idx="93">
                  <c:v>3.812377415311391E-4</c:v>
                </c:pt>
                <c:pt idx="94">
                  <c:v>3.812377415311391E-4</c:v>
                </c:pt>
                <c:pt idx="95">
                  <c:v>3.812377415311391E-4</c:v>
                </c:pt>
                <c:pt idx="96">
                  <c:v>3.812377415311391E-4</c:v>
                </c:pt>
                <c:pt idx="97">
                  <c:v>3.812377415311391E-4</c:v>
                </c:pt>
                <c:pt idx="98">
                  <c:v>3.812377415311391E-4</c:v>
                </c:pt>
                <c:pt idx="99">
                  <c:v>3.812377415311391E-4</c:v>
                </c:pt>
                <c:pt idx="100">
                  <c:v>3.812377415311391E-4</c:v>
                </c:pt>
                <c:pt idx="101">
                  <c:v>3.812377415311391E-4</c:v>
                </c:pt>
                <c:pt idx="102">
                  <c:v>3.812377415311391E-4</c:v>
                </c:pt>
                <c:pt idx="103">
                  <c:v>3.812377415311391E-4</c:v>
                </c:pt>
                <c:pt idx="104">
                  <c:v>3.812377415311391E-4</c:v>
                </c:pt>
                <c:pt idx="105">
                  <c:v>3.812377415311391E-4</c:v>
                </c:pt>
                <c:pt idx="106">
                  <c:v>3.812377415311391E-4</c:v>
                </c:pt>
                <c:pt idx="107">
                  <c:v>3.812377415311391E-4</c:v>
                </c:pt>
                <c:pt idx="108">
                  <c:v>3.812377415311391E-4</c:v>
                </c:pt>
                <c:pt idx="109">
                  <c:v>3.812377415311391E-4</c:v>
                </c:pt>
                <c:pt idx="110">
                  <c:v>3.812377415311391E-4</c:v>
                </c:pt>
                <c:pt idx="111">
                  <c:v>3.812377415311391E-4</c:v>
                </c:pt>
                <c:pt idx="112">
                  <c:v>3.812377415311391E-4</c:v>
                </c:pt>
                <c:pt idx="113">
                  <c:v>3.812377415311391E-4</c:v>
                </c:pt>
                <c:pt idx="114">
                  <c:v>3.812377415311391E-4</c:v>
                </c:pt>
                <c:pt idx="115">
                  <c:v>3.812377415311391E-4</c:v>
                </c:pt>
                <c:pt idx="116">
                  <c:v>3.812377415311391E-4</c:v>
                </c:pt>
                <c:pt idx="117">
                  <c:v>3.812377415311391E-4</c:v>
                </c:pt>
                <c:pt idx="118">
                  <c:v>3.812377415311391E-4</c:v>
                </c:pt>
                <c:pt idx="119">
                  <c:v>3.812377415311391E-4</c:v>
                </c:pt>
                <c:pt idx="120">
                  <c:v>3.812377415311391E-4</c:v>
                </c:pt>
                <c:pt idx="121">
                  <c:v>3.812377415311391E-4</c:v>
                </c:pt>
                <c:pt idx="122">
                  <c:v>3.812377415311391E-4</c:v>
                </c:pt>
                <c:pt idx="123">
                  <c:v>3.812377415311391E-4</c:v>
                </c:pt>
                <c:pt idx="124">
                  <c:v>3.812377415311391E-4</c:v>
                </c:pt>
                <c:pt idx="125">
                  <c:v>3.812377415311391E-4</c:v>
                </c:pt>
                <c:pt idx="126">
                  <c:v>3.812377415311391E-4</c:v>
                </c:pt>
                <c:pt idx="127">
                  <c:v>3.812377415311391E-4</c:v>
                </c:pt>
                <c:pt idx="128">
                  <c:v>3.812377415311391E-4</c:v>
                </c:pt>
                <c:pt idx="129">
                  <c:v>3.812377415311391E-4</c:v>
                </c:pt>
                <c:pt idx="130">
                  <c:v>3.812377415311391E-4</c:v>
                </c:pt>
                <c:pt idx="131">
                  <c:v>3.812377415311391E-4</c:v>
                </c:pt>
                <c:pt idx="132">
                  <c:v>3.812377415311391E-4</c:v>
                </c:pt>
                <c:pt idx="133">
                  <c:v>3.812377415311391E-4</c:v>
                </c:pt>
                <c:pt idx="134">
                  <c:v>3.812377415311391E-4</c:v>
                </c:pt>
                <c:pt idx="135">
                  <c:v>3.812377415311391E-4</c:v>
                </c:pt>
                <c:pt idx="136">
                  <c:v>3.812377415311391E-4</c:v>
                </c:pt>
                <c:pt idx="137">
                  <c:v>3.812377415311391E-4</c:v>
                </c:pt>
                <c:pt idx="138">
                  <c:v>3.812377415311391E-4</c:v>
                </c:pt>
                <c:pt idx="139">
                  <c:v>3.812377415311391E-4</c:v>
                </c:pt>
                <c:pt idx="140">
                  <c:v>3.812377415311391E-4</c:v>
                </c:pt>
                <c:pt idx="141">
                  <c:v>3.812377415311391E-4</c:v>
                </c:pt>
                <c:pt idx="142">
                  <c:v>3.812377415311391E-4</c:v>
                </c:pt>
                <c:pt idx="143">
                  <c:v>3.812377415311391E-4</c:v>
                </c:pt>
                <c:pt idx="144">
                  <c:v>3.812377415311391E-4</c:v>
                </c:pt>
                <c:pt idx="145">
                  <c:v>3.812377415311391E-4</c:v>
                </c:pt>
                <c:pt idx="146">
                  <c:v>3.812377415311391E-4</c:v>
                </c:pt>
                <c:pt idx="147">
                  <c:v>3.812377415311391E-4</c:v>
                </c:pt>
                <c:pt idx="148">
                  <c:v>3.812377415311391E-4</c:v>
                </c:pt>
                <c:pt idx="149">
                  <c:v>3.812377415311391E-4</c:v>
                </c:pt>
                <c:pt idx="150">
                  <c:v>3.812377415311391E-4</c:v>
                </c:pt>
                <c:pt idx="151">
                  <c:v>3.812377415311391E-4</c:v>
                </c:pt>
                <c:pt idx="152">
                  <c:v>3.812377415311391E-4</c:v>
                </c:pt>
                <c:pt idx="153">
                  <c:v>3.812377415311391E-4</c:v>
                </c:pt>
                <c:pt idx="154">
                  <c:v>3.812377415311391E-4</c:v>
                </c:pt>
                <c:pt idx="155">
                  <c:v>3.812377415311391E-4</c:v>
                </c:pt>
                <c:pt idx="156">
                  <c:v>3.812377415311391E-4</c:v>
                </c:pt>
                <c:pt idx="157">
                  <c:v>3.812377415311391E-4</c:v>
                </c:pt>
                <c:pt idx="158">
                  <c:v>3.812377415311391E-4</c:v>
                </c:pt>
                <c:pt idx="159">
                  <c:v>3.812377415311391E-4</c:v>
                </c:pt>
                <c:pt idx="160">
                  <c:v>3.812377415311391E-4</c:v>
                </c:pt>
                <c:pt idx="161">
                  <c:v>3.812377415311391E-4</c:v>
                </c:pt>
                <c:pt idx="162">
                  <c:v>3.812377415311391E-4</c:v>
                </c:pt>
                <c:pt idx="163">
                  <c:v>3.812377415311391E-4</c:v>
                </c:pt>
                <c:pt idx="164">
                  <c:v>3.812377415311391E-4</c:v>
                </c:pt>
                <c:pt idx="165">
                  <c:v>3.812377415311391E-4</c:v>
                </c:pt>
                <c:pt idx="166">
                  <c:v>3.812377415311391E-4</c:v>
                </c:pt>
                <c:pt idx="167">
                  <c:v>3.812377415311391E-4</c:v>
                </c:pt>
                <c:pt idx="168">
                  <c:v>3.812377415311391E-4</c:v>
                </c:pt>
                <c:pt idx="169">
                  <c:v>3.812377415311391E-4</c:v>
                </c:pt>
                <c:pt idx="170">
                  <c:v>3.812377415311391E-4</c:v>
                </c:pt>
                <c:pt idx="171">
                  <c:v>3.812377415311391E-4</c:v>
                </c:pt>
                <c:pt idx="172">
                  <c:v>3.812377415311391E-4</c:v>
                </c:pt>
                <c:pt idx="173">
                  <c:v>3.812377415311391E-4</c:v>
                </c:pt>
                <c:pt idx="174">
                  <c:v>3.812377415311391E-4</c:v>
                </c:pt>
                <c:pt idx="175">
                  <c:v>3.812377415311391E-4</c:v>
                </c:pt>
                <c:pt idx="176">
                  <c:v>3.812377415311391E-4</c:v>
                </c:pt>
                <c:pt idx="177">
                  <c:v>3.812377415311391E-4</c:v>
                </c:pt>
                <c:pt idx="178">
                  <c:v>3.812377415311391E-4</c:v>
                </c:pt>
                <c:pt idx="179">
                  <c:v>3.812377415311391E-4</c:v>
                </c:pt>
                <c:pt idx="180">
                  <c:v>3.812377415311391E-4</c:v>
                </c:pt>
                <c:pt idx="181">
                  <c:v>3.812377415311391E-4</c:v>
                </c:pt>
                <c:pt idx="182">
                  <c:v>3.812377415311391E-4</c:v>
                </c:pt>
                <c:pt idx="183">
                  <c:v>3.812377415311391E-4</c:v>
                </c:pt>
                <c:pt idx="184">
                  <c:v>3.812377415311391E-4</c:v>
                </c:pt>
                <c:pt idx="185">
                  <c:v>3.812377415311391E-4</c:v>
                </c:pt>
                <c:pt idx="186">
                  <c:v>3.812377415311391E-4</c:v>
                </c:pt>
                <c:pt idx="187">
                  <c:v>3.812377415311391E-4</c:v>
                </c:pt>
                <c:pt idx="188">
                  <c:v>3.812377415311391E-4</c:v>
                </c:pt>
                <c:pt idx="189">
                  <c:v>3.812377415311391E-4</c:v>
                </c:pt>
                <c:pt idx="190">
                  <c:v>3.812377415311391E-4</c:v>
                </c:pt>
                <c:pt idx="191">
                  <c:v>3.812377415311391E-4</c:v>
                </c:pt>
                <c:pt idx="192">
                  <c:v>3.812377415311391E-4</c:v>
                </c:pt>
                <c:pt idx="193">
                  <c:v>3.812377415311391E-4</c:v>
                </c:pt>
                <c:pt idx="194">
                  <c:v>3.812377415311391E-4</c:v>
                </c:pt>
                <c:pt idx="195">
                  <c:v>3.812377415311391E-4</c:v>
                </c:pt>
                <c:pt idx="196">
                  <c:v>3.812377415311391E-4</c:v>
                </c:pt>
                <c:pt idx="197">
                  <c:v>3.812377415311391E-4</c:v>
                </c:pt>
                <c:pt idx="198">
                  <c:v>3.812377415311391E-4</c:v>
                </c:pt>
                <c:pt idx="199">
                  <c:v>3.812377415311391E-4</c:v>
                </c:pt>
                <c:pt idx="200">
                  <c:v>3.812377415311391E-4</c:v>
                </c:pt>
                <c:pt idx="201">
                  <c:v>3.812377415311391E-4</c:v>
                </c:pt>
                <c:pt idx="202">
                  <c:v>3.812377415311391E-4</c:v>
                </c:pt>
                <c:pt idx="203">
                  <c:v>3.812377415311391E-4</c:v>
                </c:pt>
                <c:pt idx="204">
                  <c:v>3.812377415311391E-4</c:v>
                </c:pt>
                <c:pt idx="205">
                  <c:v>3.812377415311391E-4</c:v>
                </c:pt>
                <c:pt idx="206">
                  <c:v>3.812377415311391E-4</c:v>
                </c:pt>
                <c:pt idx="207">
                  <c:v>3.812377415311391E-4</c:v>
                </c:pt>
                <c:pt idx="208">
                  <c:v>3.812377415311391E-4</c:v>
                </c:pt>
                <c:pt idx="209">
                  <c:v>3.812377415311391E-4</c:v>
                </c:pt>
                <c:pt idx="210">
                  <c:v>3.812377415311391E-4</c:v>
                </c:pt>
                <c:pt idx="211">
                  <c:v>3.812377415311391E-4</c:v>
                </c:pt>
                <c:pt idx="212">
                  <c:v>3.812377415311391E-4</c:v>
                </c:pt>
                <c:pt idx="213">
                  <c:v>3.812377415311391E-4</c:v>
                </c:pt>
                <c:pt idx="214">
                  <c:v>3.812377415311391E-4</c:v>
                </c:pt>
                <c:pt idx="215">
                  <c:v>3.812377415311391E-4</c:v>
                </c:pt>
                <c:pt idx="216">
                  <c:v>3.812377415311391E-4</c:v>
                </c:pt>
                <c:pt idx="217">
                  <c:v>3.812377415311391E-4</c:v>
                </c:pt>
                <c:pt idx="218">
                  <c:v>3.812377415311391E-4</c:v>
                </c:pt>
                <c:pt idx="219">
                  <c:v>3.812377415311391E-4</c:v>
                </c:pt>
                <c:pt idx="220">
                  <c:v>3.812377415311391E-4</c:v>
                </c:pt>
                <c:pt idx="221">
                  <c:v>3.812377415311391E-4</c:v>
                </c:pt>
                <c:pt idx="222">
                  <c:v>3.812377415311391E-4</c:v>
                </c:pt>
                <c:pt idx="223">
                  <c:v>3.812377415311391E-4</c:v>
                </c:pt>
                <c:pt idx="224">
                  <c:v>3.812377415311391E-4</c:v>
                </c:pt>
                <c:pt idx="225">
                  <c:v>3.812377415311391E-4</c:v>
                </c:pt>
                <c:pt idx="226">
                  <c:v>3.812377415311391E-4</c:v>
                </c:pt>
                <c:pt idx="227">
                  <c:v>3.812377415311391E-4</c:v>
                </c:pt>
                <c:pt idx="228">
                  <c:v>3.812377415311391E-4</c:v>
                </c:pt>
                <c:pt idx="229">
                  <c:v>3.812377415311391E-4</c:v>
                </c:pt>
                <c:pt idx="230">
                  <c:v>3.812377415311391E-4</c:v>
                </c:pt>
                <c:pt idx="231">
                  <c:v>3.812377415311391E-4</c:v>
                </c:pt>
                <c:pt idx="232">
                  <c:v>3.812377415311391E-4</c:v>
                </c:pt>
                <c:pt idx="233">
                  <c:v>3.812377415311391E-4</c:v>
                </c:pt>
                <c:pt idx="234">
                  <c:v>3.812377415311391E-4</c:v>
                </c:pt>
                <c:pt idx="235">
                  <c:v>3.812377415311391E-4</c:v>
                </c:pt>
                <c:pt idx="236">
                  <c:v>3.812377415311391E-4</c:v>
                </c:pt>
                <c:pt idx="237">
                  <c:v>3.812377415311391E-4</c:v>
                </c:pt>
                <c:pt idx="238">
                  <c:v>3.812377415311391E-4</c:v>
                </c:pt>
                <c:pt idx="239">
                  <c:v>3.812377415311391E-4</c:v>
                </c:pt>
                <c:pt idx="240">
                  <c:v>3.812377415311391E-4</c:v>
                </c:pt>
                <c:pt idx="241">
                  <c:v>3.812377415311391E-4</c:v>
                </c:pt>
                <c:pt idx="242">
                  <c:v>3.812377415311391E-4</c:v>
                </c:pt>
                <c:pt idx="243">
                  <c:v>3.812377415311391E-4</c:v>
                </c:pt>
                <c:pt idx="244">
                  <c:v>3.812377415311391E-4</c:v>
                </c:pt>
                <c:pt idx="245">
                  <c:v>3.812377415311391E-4</c:v>
                </c:pt>
                <c:pt idx="246">
                  <c:v>3.812377415311391E-4</c:v>
                </c:pt>
                <c:pt idx="247">
                  <c:v>3.812377415311391E-4</c:v>
                </c:pt>
                <c:pt idx="248">
                  <c:v>3.812377415311391E-4</c:v>
                </c:pt>
                <c:pt idx="249">
                  <c:v>3.812377415311391E-4</c:v>
                </c:pt>
                <c:pt idx="250">
                  <c:v>3.812377415311391E-4</c:v>
                </c:pt>
                <c:pt idx="251">
                  <c:v>3.812377415311391E-4</c:v>
                </c:pt>
                <c:pt idx="252">
                  <c:v>3.812377415311391E-4</c:v>
                </c:pt>
                <c:pt idx="253">
                  <c:v>3.812377415311391E-4</c:v>
                </c:pt>
                <c:pt idx="254">
                  <c:v>3.812377415311391E-4</c:v>
                </c:pt>
                <c:pt idx="255">
                  <c:v>3.812377415311391E-4</c:v>
                </c:pt>
                <c:pt idx="256">
                  <c:v>3.812377415311391E-4</c:v>
                </c:pt>
                <c:pt idx="257">
                  <c:v>3.812377415311391E-4</c:v>
                </c:pt>
                <c:pt idx="258">
                  <c:v>3.812377415311391E-4</c:v>
                </c:pt>
                <c:pt idx="259">
                  <c:v>3.812377415311391E-4</c:v>
                </c:pt>
                <c:pt idx="260">
                  <c:v>3.812377415311391E-4</c:v>
                </c:pt>
                <c:pt idx="261">
                  <c:v>3.812377415311391E-4</c:v>
                </c:pt>
                <c:pt idx="262">
                  <c:v>3.812377415311391E-4</c:v>
                </c:pt>
                <c:pt idx="263">
                  <c:v>3.812377415311391E-4</c:v>
                </c:pt>
                <c:pt idx="264">
                  <c:v>3.812377415311391E-4</c:v>
                </c:pt>
                <c:pt idx="265">
                  <c:v>3.812377415311391E-4</c:v>
                </c:pt>
                <c:pt idx="266">
                  <c:v>3.812377415311391E-4</c:v>
                </c:pt>
                <c:pt idx="267">
                  <c:v>3.812377415311391E-4</c:v>
                </c:pt>
                <c:pt idx="268">
                  <c:v>3.812377415311391E-4</c:v>
                </c:pt>
                <c:pt idx="269">
                  <c:v>3.812377415311391E-4</c:v>
                </c:pt>
                <c:pt idx="270">
                  <c:v>3.812377415311391E-4</c:v>
                </c:pt>
                <c:pt idx="271">
                  <c:v>3.812377415311391E-4</c:v>
                </c:pt>
                <c:pt idx="272">
                  <c:v>3.812377415311391E-4</c:v>
                </c:pt>
                <c:pt idx="273">
                  <c:v>3.812377415311391E-4</c:v>
                </c:pt>
                <c:pt idx="274">
                  <c:v>3.812377415311391E-4</c:v>
                </c:pt>
                <c:pt idx="275">
                  <c:v>3.812377415311391E-4</c:v>
                </c:pt>
                <c:pt idx="276">
                  <c:v>3.812377415311391E-4</c:v>
                </c:pt>
                <c:pt idx="277">
                  <c:v>3.812377415311391E-4</c:v>
                </c:pt>
                <c:pt idx="278">
                  <c:v>3.812377415311391E-4</c:v>
                </c:pt>
                <c:pt idx="279">
                  <c:v>3.812377415311391E-4</c:v>
                </c:pt>
                <c:pt idx="280">
                  <c:v>3.812377415311391E-4</c:v>
                </c:pt>
                <c:pt idx="281">
                  <c:v>3.812377415311391E-4</c:v>
                </c:pt>
                <c:pt idx="282">
                  <c:v>3.812377415311391E-4</c:v>
                </c:pt>
                <c:pt idx="283">
                  <c:v>3.812377415311391E-4</c:v>
                </c:pt>
                <c:pt idx="284">
                  <c:v>3.812377415311391E-4</c:v>
                </c:pt>
                <c:pt idx="285">
                  <c:v>3.812377415311391E-4</c:v>
                </c:pt>
                <c:pt idx="286">
                  <c:v>3.812377415311391E-4</c:v>
                </c:pt>
                <c:pt idx="287">
                  <c:v>3.812377415311391E-4</c:v>
                </c:pt>
                <c:pt idx="288">
                  <c:v>3.812377415311391E-4</c:v>
                </c:pt>
                <c:pt idx="289">
                  <c:v>3.812377415311391E-4</c:v>
                </c:pt>
                <c:pt idx="290">
                  <c:v>3.812377415311391E-4</c:v>
                </c:pt>
                <c:pt idx="291">
                  <c:v>3.812377415311391E-4</c:v>
                </c:pt>
                <c:pt idx="292">
                  <c:v>3.812377415311391E-4</c:v>
                </c:pt>
                <c:pt idx="293">
                  <c:v>3.812377415311391E-4</c:v>
                </c:pt>
                <c:pt idx="294">
                  <c:v>3.812377415311391E-4</c:v>
                </c:pt>
                <c:pt idx="295">
                  <c:v>3.812377415311391E-4</c:v>
                </c:pt>
                <c:pt idx="296">
                  <c:v>3.812377415311391E-4</c:v>
                </c:pt>
                <c:pt idx="297">
                  <c:v>3.812377415311391E-4</c:v>
                </c:pt>
                <c:pt idx="298">
                  <c:v>3.812377415311391E-4</c:v>
                </c:pt>
                <c:pt idx="299">
                  <c:v>3.812377415311391E-4</c:v>
                </c:pt>
                <c:pt idx="300">
                  <c:v>3.812377415311391E-4</c:v>
                </c:pt>
                <c:pt idx="301">
                  <c:v>3.812377415311391E-4</c:v>
                </c:pt>
                <c:pt idx="302">
                  <c:v>3.812377415311391E-4</c:v>
                </c:pt>
                <c:pt idx="303">
                  <c:v>3.812377415311391E-4</c:v>
                </c:pt>
                <c:pt idx="304">
                  <c:v>3.812377415311391E-4</c:v>
                </c:pt>
                <c:pt idx="305">
                  <c:v>3.812377415311391E-4</c:v>
                </c:pt>
                <c:pt idx="306">
                  <c:v>3.812377415311391E-4</c:v>
                </c:pt>
                <c:pt idx="307">
                  <c:v>3.812377415311391E-4</c:v>
                </c:pt>
                <c:pt idx="308">
                  <c:v>3.812377415311391E-4</c:v>
                </c:pt>
                <c:pt idx="309">
                  <c:v>3.812377415311391E-4</c:v>
                </c:pt>
                <c:pt idx="310">
                  <c:v>3.812377415311391E-4</c:v>
                </c:pt>
                <c:pt idx="311">
                  <c:v>3.812377415311391E-4</c:v>
                </c:pt>
                <c:pt idx="312">
                  <c:v>3.812377415311391E-4</c:v>
                </c:pt>
                <c:pt idx="313">
                  <c:v>3.812377415311391E-4</c:v>
                </c:pt>
                <c:pt idx="314">
                  <c:v>3.812377415311391E-4</c:v>
                </c:pt>
                <c:pt idx="315">
                  <c:v>3.812377415311391E-4</c:v>
                </c:pt>
                <c:pt idx="316">
                  <c:v>3.812377415311391E-4</c:v>
                </c:pt>
                <c:pt idx="317">
                  <c:v>3.812377415311391E-4</c:v>
                </c:pt>
                <c:pt idx="318">
                  <c:v>3.812377415311391E-4</c:v>
                </c:pt>
                <c:pt idx="319">
                  <c:v>3.812377415311391E-4</c:v>
                </c:pt>
                <c:pt idx="320">
                  <c:v>3.812377415311391E-4</c:v>
                </c:pt>
                <c:pt idx="321">
                  <c:v>3.812377415311391E-4</c:v>
                </c:pt>
                <c:pt idx="322">
                  <c:v>3.812377415311391E-4</c:v>
                </c:pt>
                <c:pt idx="323">
                  <c:v>3.812377415311391E-4</c:v>
                </c:pt>
                <c:pt idx="324">
                  <c:v>3.812377415311391E-4</c:v>
                </c:pt>
                <c:pt idx="325">
                  <c:v>3.812377415311391E-4</c:v>
                </c:pt>
                <c:pt idx="326">
                  <c:v>3.812377415311391E-4</c:v>
                </c:pt>
                <c:pt idx="327">
                  <c:v>3.812377415311391E-4</c:v>
                </c:pt>
                <c:pt idx="328">
                  <c:v>3.812377415311391E-4</c:v>
                </c:pt>
                <c:pt idx="329">
                  <c:v>3.812377415311391E-4</c:v>
                </c:pt>
                <c:pt idx="330">
                  <c:v>3.812377415311391E-4</c:v>
                </c:pt>
                <c:pt idx="331">
                  <c:v>3.812377415311391E-4</c:v>
                </c:pt>
                <c:pt idx="332">
                  <c:v>3.812377415311391E-4</c:v>
                </c:pt>
                <c:pt idx="333">
                  <c:v>3.812377415311391E-4</c:v>
                </c:pt>
                <c:pt idx="334">
                  <c:v>3.812377415311391E-4</c:v>
                </c:pt>
                <c:pt idx="335">
                  <c:v>3.812377415311391E-4</c:v>
                </c:pt>
                <c:pt idx="336">
                  <c:v>3.812377415311391E-4</c:v>
                </c:pt>
                <c:pt idx="337">
                  <c:v>3.812377415311391E-4</c:v>
                </c:pt>
                <c:pt idx="338">
                  <c:v>3.812377415311391E-4</c:v>
                </c:pt>
                <c:pt idx="339">
                  <c:v>3.812377415311391E-4</c:v>
                </c:pt>
                <c:pt idx="340">
                  <c:v>3.812377415311391E-4</c:v>
                </c:pt>
                <c:pt idx="341">
                  <c:v>3.812377415311391E-4</c:v>
                </c:pt>
                <c:pt idx="342">
                  <c:v>3.812377415311391E-4</c:v>
                </c:pt>
                <c:pt idx="343">
                  <c:v>3.812377415311391E-4</c:v>
                </c:pt>
                <c:pt idx="344">
                  <c:v>3.812377415311391E-4</c:v>
                </c:pt>
                <c:pt idx="345">
                  <c:v>3.812377415311391E-4</c:v>
                </c:pt>
                <c:pt idx="346">
                  <c:v>3.812377415311391E-4</c:v>
                </c:pt>
                <c:pt idx="347">
                  <c:v>3.812377415311391E-4</c:v>
                </c:pt>
                <c:pt idx="348">
                  <c:v>3.812377415311391E-4</c:v>
                </c:pt>
                <c:pt idx="349">
                  <c:v>3.812377415311391E-4</c:v>
                </c:pt>
                <c:pt idx="350">
                  <c:v>3.812377415311391E-4</c:v>
                </c:pt>
                <c:pt idx="351">
                  <c:v>3.812377415311391E-4</c:v>
                </c:pt>
                <c:pt idx="352">
                  <c:v>3.812377415311391E-4</c:v>
                </c:pt>
                <c:pt idx="353">
                  <c:v>3.812377415311391E-4</c:v>
                </c:pt>
                <c:pt idx="354">
                  <c:v>3.812377415311391E-4</c:v>
                </c:pt>
                <c:pt idx="355">
                  <c:v>3.812377415311391E-4</c:v>
                </c:pt>
                <c:pt idx="356">
                  <c:v>3.812377415311391E-4</c:v>
                </c:pt>
                <c:pt idx="357">
                  <c:v>3.812377415311391E-4</c:v>
                </c:pt>
                <c:pt idx="358">
                  <c:v>3.812377415311391E-4</c:v>
                </c:pt>
                <c:pt idx="359">
                  <c:v>3.812377415311391E-4</c:v>
                </c:pt>
                <c:pt idx="360">
                  <c:v>3.812377415311391E-4</c:v>
                </c:pt>
                <c:pt idx="361">
                  <c:v>3.812377415311391E-4</c:v>
                </c:pt>
                <c:pt idx="362">
                  <c:v>3.812377415311391E-4</c:v>
                </c:pt>
                <c:pt idx="363">
                  <c:v>3.812377415311391E-4</c:v>
                </c:pt>
                <c:pt idx="364">
                  <c:v>3.812377415311391E-4</c:v>
                </c:pt>
                <c:pt idx="365">
                  <c:v>3.812377415311391E-4</c:v>
                </c:pt>
                <c:pt idx="366">
                  <c:v>3.812377415311391E-4</c:v>
                </c:pt>
                <c:pt idx="367">
                  <c:v>3.812377415311391E-4</c:v>
                </c:pt>
                <c:pt idx="368">
                  <c:v>3.812377415311391E-4</c:v>
                </c:pt>
                <c:pt idx="369">
                  <c:v>3.812377415311391E-4</c:v>
                </c:pt>
                <c:pt idx="370">
                  <c:v>3.812377415311391E-4</c:v>
                </c:pt>
                <c:pt idx="371">
                  <c:v>3.812377415311391E-4</c:v>
                </c:pt>
                <c:pt idx="372">
                  <c:v>3.812377415311391E-4</c:v>
                </c:pt>
                <c:pt idx="373">
                  <c:v>3.812377415311391E-4</c:v>
                </c:pt>
                <c:pt idx="374">
                  <c:v>3.812377415311391E-4</c:v>
                </c:pt>
                <c:pt idx="375">
                  <c:v>3.812377415311391E-4</c:v>
                </c:pt>
                <c:pt idx="376">
                  <c:v>3.812377415311391E-4</c:v>
                </c:pt>
                <c:pt idx="377">
                  <c:v>3.812377415311391E-4</c:v>
                </c:pt>
                <c:pt idx="378">
                  <c:v>3.812377415311391E-4</c:v>
                </c:pt>
                <c:pt idx="379">
                  <c:v>3.812377415311391E-4</c:v>
                </c:pt>
                <c:pt idx="380">
                  <c:v>3.812377415311391E-4</c:v>
                </c:pt>
                <c:pt idx="381">
                  <c:v>3.812377415311391E-4</c:v>
                </c:pt>
                <c:pt idx="382">
                  <c:v>3.812377415311391E-4</c:v>
                </c:pt>
                <c:pt idx="383">
                  <c:v>3.812377415311391E-4</c:v>
                </c:pt>
                <c:pt idx="384">
                  <c:v>3.812377415311391E-4</c:v>
                </c:pt>
                <c:pt idx="385">
                  <c:v>3.812377415311391E-4</c:v>
                </c:pt>
                <c:pt idx="386">
                  <c:v>3.812377415311391E-4</c:v>
                </c:pt>
                <c:pt idx="387">
                  <c:v>3.812377415311391E-4</c:v>
                </c:pt>
                <c:pt idx="388">
                  <c:v>3.812377415311391E-4</c:v>
                </c:pt>
                <c:pt idx="389">
                  <c:v>3.812377415311391E-4</c:v>
                </c:pt>
                <c:pt idx="390">
                  <c:v>3.812377415311391E-4</c:v>
                </c:pt>
                <c:pt idx="391">
                  <c:v>3.812377415311391E-4</c:v>
                </c:pt>
                <c:pt idx="392">
                  <c:v>3.812377415311391E-4</c:v>
                </c:pt>
                <c:pt idx="393">
                  <c:v>3.812377415311391E-4</c:v>
                </c:pt>
                <c:pt idx="394">
                  <c:v>3.812377415311391E-4</c:v>
                </c:pt>
                <c:pt idx="395">
                  <c:v>3.812377415311391E-4</c:v>
                </c:pt>
                <c:pt idx="396">
                  <c:v>3.812377415311391E-4</c:v>
                </c:pt>
                <c:pt idx="397">
                  <c:v>3.812377415311391E-4</c:v>
                </c:pt>
                <c:pt idx="398">
                  <c:v>3.812377415311391E-4</c:v>
                </c:pt>
                <c:pt idx="399">
                  <c:v>3.812377415311391E-4</c:v>
                </c:pt>
                <c:pt idx="400">
                  <c:v>3.812377415311391E-4</c:v>
                </c:pt>
                <c:pt idx="401">
                  <c:v>3.812377415311391E-4</c:v>
                </c:pt>
                <c:pt idx="402">
                  <c:v>3.812377415311391E-4</c:v>
                </c:pt>
                <c:pt idx="403">
                  <c:v>3.812377415311391E-4</c:v>
                </c:pt>
                <c:pt idx="404">
                  <c:v>3.812377415311391E-4</c:v>
                </c:pt>
                <c:pt idx="405">
                  <c:v>3.812377415311391E-4</c:v>
                </c:pt>
                <c:pt idx="406">
                  <c:v>3.812377415311391E-4</c:v>
                </c:pt>
                <c:pt idx="407">
                  <c:v>3.812377415311391E-4</c:v>
                </c:pt>
                <c:pt idx="408">
                  <c:v>3.812377415311391E-4</c:v>
                </c:pt>
                <c:pt idx="409">
                  <c:v>3.812377415311391E-4</c:v>
                </c:pt>
                <c:pt idx="410">
                  <c:v>3.812377415311391E-4</c:v>
                </c:pt>
                <c:pt idx="411">
                  <c:v>3.812377415311391E-4</c:v>
                </c:pt>
                <c:pt idx="412">
                  <c:v>3.812377415311391E-4</c:v>
                </c:pt>
                <c:pt idx="413">
                  <c:v>3.812377415311391E-4</c:v>
                </c:pt>
                <c:pt idx="414">
                  <c:v>3.812377415311391E-4</c:v>
                </c:pt>
                <c:pt idx="415">
                  <c:v>3.812377415311391E-4</c:v>
                </c:pt>
                <c:pt idx="416">
                  <c:v>3.812377415311391E-4</c:v>
                </c:pt>
                <c:pt idx="417">
                  <c:v>3.812377415311391E-4</c:v>
                </c:pt>
                <c:pt idx="418">
                  <c:v>3.812377415311391E-4</c:v>
                </c:pt>
                <c:pt idx="419">
                  <c:v>3.812377415311391E-4</c:v>
                </c:pt>
                <c:pt idx="420">
                  <c:v>3.812377415311391E-4</c:v>
                </c:pt>
                <c:pt idx="421">
                  <c:v>3.812377415311391E-4</c:v>
                </c:pt>
                <c:pt idx="422">
                  <c:v>3.812377415311391E-4</c:v>
                </c:pt>
                <c:pt idx="423">
                  <c:v>3.812377415311391E-4</c:v>
                </c:pt>
                <c:pt idx="424">
                  <c:v>3.812377415311391E-4</c:v>
                </c:pt>
                <c:pt idx="425">
                  <c:v>3.812377415311391E-4</c:v>
                </c:pt>
                <c:pt idx="426">
                  <c:v>3.812377415311391E-4</c:v>
                </c:pt>
                <c:pt idx="427">
                  <c:v>3.812377415311391E-4</c:v>
                </c:pt>
                <c:pt idx="428">
                  <c:v>3.812377415311391E-4</c:v>
                </c:pt>
                <c:pt idx="429">
                  <c:v>3.812377415311391E-4</c:v>
                </c:pt>
                <c:pt idx="430">
                  <c:v>3.812377415311391E-4</c:v>
                </c:pt>
                <c:pt idx="431">
                  <c:v>3.812377415311391E-4</c:v>
                </c:pt>
                <c:pt idx="432">
                  <c:v>3.812377415311391E-4</c:v>
                </c:pt>
                <c:pt idx="433">
                  <c:v>3.812377415311391E-4</c:v>
                </c:pt>
                <c:pt idx="434">
                  <c:v>3.812377415311391E-4</c:v>
                </c:pt>
                <c:pt idx="435">
                  <c:v>3.812377415311391E-4</c:v>
                </c:pt>
                <c:pt idx="436">
                  <c:v>3.812377415311391E-4</c:v>
                </c:pt>
                <c:pt idx="437">
                  <c:v>3.812377415311391E-4</c:v>
                </c:pt>
                <c:pt idx="438">
                  <c:v>3.812377415311391E-4</c:v>
                </c:pt>
                <c:pt idx="439">
                  <c:v>3.812377415311391E-4</c:v>
                </c:pt>
                <c:pt idx="440">
                  <c:v>3.812377415311391E-4</c:v>
                </c:pt>
                <c:pt idx="441">
                  <c:v>3.812377415311391E-4</c:v>
                </c:pt>
                <c:pt idx="442">
                  <c:v>3.812377415311391E-4</c:v>
                </c:pt>
                <c:pt idx="443">
                  <c:v>3.812377415311391E-4</c:v>
                </c:pt>
                <c:pt idx="444">
                  <c:v>3.812377415311391E-4</c:v>
                </c:pt>
                <c:pt idx="445">
                  <c:v>3.812377415311391E-4</c:v>
                </c:pt>
                <c:pt idx="446">
                  <c:v>3.812377415311391E-4</c:v>
                </c:pt>
                <c:pt idx="447">
                  <c:v>3.812377415311391E-4</c:v>
                </c:pt>
                <c:pt idx="448">
                  <c:v>3.812377415311391E-4</c:v>
                </c:pt>
                <c:pt idx="449">
                  <c:v>3.812377415311391E-4</c:v>
                </c:pt>
                <c:pt idx="450">
                  <c:v>3.812377415311391E-4</c:v>
                </c:pt>
                <c:pt idx="451">
                  <c:v>3.812377415311391E-4</c:v>
                </c:pt>
                <c:pt idx="452">
                  <c:v>3.812377415311391E-4</c:v>
                </c:pt>
                <c:pt idx="453">
                  <c:v>3.812377415311391E-4</c:v>
                </c:pt>
                <c:pt idx="454">
                  <c:v>3.812377415311391E-4</c:v>
                </c:pt>
                <c:pt idx="455">
                  <c:v>3.812377415311391E-4</c:v>
                </c:pt>
                <c:pt idx="456">
                  <c:v>3.812377415311391E-4</c:v>
                </c:pt>
                <c:pt idx="457">
                  <c:v>3.812377415311391E-4</c:v>
                </c:pt>
                <c:pt idx="458">
                  <c:v>3.812377415311391E-4</c:v>
                </c:pt>
                <c:pt idx="459">
                  <c:v>0.47503526323513973</c:v>
                </c:pt>
              </c:numCache>
            </c:numRef>
          </c:xVal>
          <c:yVal>
            <c:numRef>
              <c:f>Messdaten!$O$15:$O$2656</c:f>
              <c:numCache>
                <c:formatCode>0.000</c:formatCode>
                <c:ptCount val="2642"/>
                <c:pt idx="0">
                  <c:v>97.679298245614021</c:v>
                </c:pt>
                <c:pt idx="1">
                  <c:v>97.679298245614021</c:v>
                </c:pt>
                <c:pt idx="2">
                  <c:v>97.679298245614021</c:v>
                </c:pt>
                <c:pt idx="3">
                  <c:v>97.679298245614021</c:v>
                </c:pt>
                <c:pt idx="4">
                  <c:v>97.679298245614021</c:v>
                </c:pt>
                <c:pt idx="5">
                  <c:v>97.679298245614021</c:v>
                </c:pt>
                <c:pt idx="6">
                  <c:v>97.679298245614021</c:v>
                </c:pt>
                <c:pt idx="7">
                  <c:v>97.679298245614021</c:v>
                </c:pt>
                <c:pt idx="8">
                  <c:v>97.679298245614021</c:v>
                </c:pt>
                <c:pt idx="9">
                  <c:v>97.679298245614021</c:v>
                </c:pt>
                <c:pt idx="10">
                  <c:v>97.679298245614021</c:v>
                </c:pt>
                <c:pt idx="11">
                  <c:v>97.679298245614021</c:v>
                </c:pt>
                <c:pt idx="12">
                  <c:v>97.679298245614021</c:v>
                </c:pt>
                <c:pt idx="13">
                  <c:v>97.679298245614021</c:v>
                </c:pt>
                <c:pt idx="14">
                  <c:v>97.679298245614021</c:v>
                </c:pt>
                <c:pt idx="15">
                  <c:v>97.679298245614021</c:v>
                </c:pt>
                <c:pt idx="16">
                  <c:v>97.679298245614021</c:v>
                </c:pt>
                <c:pt idx="17">
                  <c:v>97.679298245614021</c:v>
                </c:pt>
                <c:pt idx="18">
                  <c:v>97.679298245614021</c:v>
                </c:pt>
                <c:pt idx="19">
                  <c:v>97.679298245614021</c:v>
                </c:pt>
                <c:pt idx="20">
                  <c:v>97.679298245614021</c:v>
                </c:pt>
                <c:pt idx="21">
                  <c:v>97.679298245614021</c:v>
                </c:pt>
                <c:pt idx="22">
                  <c:v>97.679298245614021</c:v>
                </c:pt>
                <c:pt idx="23">
                  <c:v>97.679298245614021</c:v>
                </c:pt>
                <c:pt idx="24">
                  <c:v>97.679298245614021</c:v>
                </c:pt>
                <c:pt idx="25">
                  <c:v>97.679298245614021</c:v>
                </c:pt>
                <c:pt idx="26">
                  <c:v>97.679298245614021</c:v>
                </c:pt>
                <c:pt idx="27">
                  <c:v>97.679298245614021</c:v>
                </c:pt>
                <c:pt idx="28">
                  <c:v>97.679298245614021</c:v>
                </c:pt>
                <c:pt idx="29">
                  <c:v>97.679298245614021</c:v>
                </c:pt>
                <c:pt idx="30">
                  <c:v>97.679298245614021</c:v>
                </c:pt>
                <c:pt idx="31">
                  <c:v>97.679298245614021</c:v>
                </c:pt>
                <c:pt idx="32">
                  <c:v>97.679298245614021</c:v>
                </c:pt>
                <c:pt idx="33">
                  <c:v>97.679298245614021</c:v>
                </c:pt>
                <c:pt idx="34">
                  <c:v>97.679298245614021</c:v>
                </c:pt>
                <c:pt idx="35">
                  <c:v>97.679298245614021</c:v>
                </c:pt>
                <c:pt idx="36">
                  <c:v>97.679298245614021</c:v>
                </c:pt>
                <c:pt idx="37">
                  <c:v>97.679298245614021</c:v>
                </c:pt>
                <c:pt idx="38">
                  <c:v>97.679298245614021</c:v>
                </c:pt>
                <c:pt idx="39">
                  <c:v>97.679298245614021</c:v>
                </c:pt>
                <c:pt idx="40">
                  <c:v>97.679298245614021</c:v>
                </c:pt>
                <c:pt idx="41">
                  <c:v>97.679298245614021</c:v>
                </c:pt>
                <c:pt idx="42">
                  <c:v>97.679298245614021</c:v>
                </c:pt>
                <c:pt idx="43">
                  <c:v>97.679298245614021</c:v>
                </c:pt>
                <c:pt idx="44">
                  <c:v>97.679298245614021</c:v>
                </c:pt>
                <c:pt idx="45">
                  <c:v>97.679298245614021</c:v>
                </c:pt>
                <c:pt idx="46">
                  <c:v>97.679298245614021</c:v>
                </c:pt>
                <c:pt idx="47">
                  <c:v>97.679298245614021</c:v>
                </c:pt>
                <c:pt idx="48">
                  <c:v>97.679298245614021</c:v>
                </c:pt>
                <c:pt idx="49">
                  <c:v>97.679298245614021</c:v>
                </c:pt>
                <c:pt idx="50">
                  <c:v>97.679298245614021</c:v>
                </c:pt>
                <c:pt idx="51">
                  <c:v>97.679298245614021</c:v>
                </c:pt>
                <c:pt idx="52">
                  <c:v>97.679298245614021</c:v>
                </c:pt>
                <c:pt idx="53">
                  <c:v>97.679298245614021</c:v>
                </c:pt>
                <c:pt idx="54">
                  <c:v>97.679298245614021</c:v>
                </c:pt>
                <c:pt idx="55">
                  <c:v>97.679298245614021</c:v>
                </c:pt>
                <c:pt idx="56">
                  <c:v>97.679298245614021</c:v>
                </c:pt>
                <c:pt idx="57">
                  <c:v>97.679298245614021</c:v>
                </c:pt>
                <c:pt idx="58">
                  <c:v>97.679298245614021</c:v>
                </c:pt>
                <c:pt idx="59">
                  <c:v>97.679298245614021</c:v>
                </c:pt>
                <c:pt idx="60">
                  <c:v>97.679298245614021</c:v>
                </c:pt>
                <c:pt idx="61">
                  <c:v>97.679298245614021</c:v>
                </c:pt>
                <c:pt idx="62">
                  <c:v>97.679298245614021</c:v>
                </c:pt>
                <c:pt idx="63">
                  <c:v>97.679298245614021</c:v>
                </c:pt>
                <c:pt idx="64">
                  <c:v>97.679298245614021</c:v>
                </c:pt>
                <c:pt idx="65">
                  <c:v>97.679298245614021</c:v>
                </c:pt>
                <c:pt idx="66">
                  <c:v>97.679298245614021</c:v>
                </c:pt>
                <c:pt idx="67">
                  <c:v>97.679298245614021</c:v>
                </c:pt>
                <c:pt idx="68">
                  <c:v>97.679298245614021</c:v>
                </c:pt>
                <c:pt idx="69">
                  <c:v>97.679298245614021</c:v>
                </c:pt>
                <c:pt idx="70">
                  <c:v>97.679298245614021</c:v>
                </c:pt>
                <c:pt idx="71">
                  <c:v>97.679298245614021</c:v>
                </c:pt>
                <c:pt idx="72">
                  <c:v>97.679298245614021</c:v>
                </c:pt>
                <c:pt idx="73">
                  <c:v>97.679298245614021</c:v>
                </c:pt>
                <c:pt idx="74">
                  <c:v>97.679298245614021</c:v>
                </c:pt>
                <c:pt idx="75">
                  <c:v>97.679298245614021</c:v>
                </c:pt>
                <c:pt idx="76">
                  <c:v>97.679298245614021</c:v>
                </c:pt>
                <c:pt idx="77">
                  <c:v>97.679298245614021</c:v>
                </c:pt>
                <c:pt idx="78">
                  <c:v>97.679298245614021</c:v>
                </c:pt>
                <c:pt idx="79">
                  <c:v>97.679298245614021</c:v>
                </c:pt>
                <c:pt idx="80">
                  <c:v>97.679298245614021</c:v>
                </c:pt>
                <c:pt idx="81">
                  <c:v>97.679298245614021</c:v>
                </c:pt>
                <c:pt idx="82">
                  <c:v>97.679298245614021</c:v>
                </c:pt>
                <c:pt idx="83">
                  <c:v>97.679298245614021</c:v>
                </c:pt>
                <c:pt idx="84">
                  <c:v>97.679298245614021</c:v>
                </c:pt>
                <c:pt idx="85">
                  <c:v>97.679298245614021</c:v>
                </c:pt>
                <c:pt idx="86">
                  <c:v>97.679298245614021</c:v>
                </c:pt>
                <c:pt idx="87">
                  <c:v>97.679298245614021</c:v>
                </c:pt>
                <c:pt idx="88">
                  <c:v>97.679298245614021</c:v>
                </c:pt>
                <c:pt idx="89">
                  <c:v>97.679298245614021</c:v>
                </c:pt>
                <c:pt idx="90">
                  <c:v>97.679298245614021</c:v>
                </c:pt>
                <c:pt idx="91">
                  <c:v>97.679298245614021</c:v>
                </c:pt>
                <c:pt idx="92">
                  <c:v>97.679298245614021</c:v>
                </c:pt>
                <c:pt idx="93">
                  <c:v>97.679298245614021</c:v>
                </c:pt>
                <c:pt idx="94">
                  <c:v>97.679298245614021</c:v>
                </c:pt>
                <c:pt idx="95">
                  <c:v>97.679298245614021</c:v>
                </c:pt>
                <c:pt idx="96">
                  <c:v>97.679298245614021</c:v>
                </c:pt>
                <c:pt idx="97">
                  <c:v>97.679298245614021</c:v>
                </c:pt>
                <c:pt idx="98">
                  <c:v>97.679298245614021</c:v>
                </c:pt>
                <c:pt idx="99">
                  <c:v>97.679298245614021</c:v>
                </c:pt>
                <c:pt idx="100">
                  <c:v>97.679298245614021</c:v>
                </c:pt>
                <c:pt idx="101">
                  <c:v>97.679298245614021</c:v>
                </c:pt>
                <c:pt idx="102">
                  <c:v>97.679298245614021</c:v>
                </c:pt>
                <c:pt idx="103">
                  <c:v>97.679298245614021</c:v>
                </c:pt>
                <c:pt idx="104">
                  <c:v>97.679298245614021</c:v>
                </c:pt>
                <c:pt idx="105">
                  <c:v>97.679298245614021</c:v>
                </c:pt>
                <c:pt idx="106">
                  <c:v>97.679298245614021</c:v>
                </c:pt>
                <c:pt idx="107">
                  <c:v>97.679298245614021</c:v>
                </c:pt>
                <c:pt idx="108">
                  <c:v>97.679298245614021</c:v>
                </c:pt>
                <c:pt idx="109">
                  <c:v>97.679298245614021</c:v>
                </c:pt>
                <c:pt idx="110">
                  <c:v>97.679298245614021</c:v>
                </c:pt>
                <c:pt idx="111">
                  <c:v>97.679298245614021</c:v>
                </c:pt>
                <c:pt idx="112">
                  <c:v>97.679298245614021</c:v>
                </c:pt>
                <c:pt idx="113">
                  <c:v>97.679298245614021</c:v>
                </c:pt>
                <c:pt idx="114">
                  <c:v>97.679298245614021</c:v>
                </c:pt>
                <c:pt idx="115">
                  <c:v>97.679298245614021</c:v>
                </c:pt>
                <c:pt idx="116">
                  <c:v>97.679298245614021</c:v>
                </c:pt>
                <c:pt idx="117">
                  <c:v>97.679298245614021</c:v>
                </c:pt>
                <c:pt idx="118">
                  <c:v>97.679298245614021</c:v>
                </c:pt>
                <c:pt idx="119">
                  <c:v>97.679298245614021</c:v>
                </c:pt>
                <c:pt idx="120">
                  <c:v>97.679298245614021</c:v>
                </c:pt>
                <c:pt idx="121">
                  <c:v>97.679298245614021</c:v>
                </c:pt>
                <c:pt idx="122">
                  <c:v>97.679298245614021</c:v>
                </c:pt>
                <c:pt idx="123">
                  <c:v>97.679298245614021</c:v>
                </c:pt>
                <c:pt idx="124">
                  <c:v>97.679298245614021</c:v>
                </c:pt>
                <c:pt idx="125">
                  <c:v>97.679298245614021</c:v>
                </c:pt>
                <c:pt idx="126">
                  <c:v>97.679298245614021</c:v>
                </c:pt>
                <c:pt idx="127">
                  <c:v>97.679298245614021</c:v>
                </c:pt>
                <c:pt idx="128">
                  <c:v>97.679298245614021</c:v>
                </c:pt>
                <c:pt idx="129">
                  <c:v>97.679298245614021</c:v>
                </c:pt>
                <c:pt idx="130">
                  <c:v>97.679298245614021</c:v>
                </c:pt>
                <c:pt idx="131">
                  <c:v>97.679298245614021</c:v>
                </c:pt>
                <c:pt idx="132">
                  <c:v>97.679298245614021</c:v>
                </c:pt>
                <c:pt idx="133">
                  <c:v>97.679298245614021</c:v>
                </c:pt>
                <c:pt idx="134">
                  <c:v>97.679298245614021</c:v>
                </c:pt>
                <c:pt idx="135">
                  <c:v>97.679298245614021</c:v>
                </c:pt>
                <c:pt idx="136">
                  <c:v>97.679298245614021</c:v>
                </c:pt>
                <c:pt idx="137">
                  <c:v>97.679298245614021</c:v>
                </c:pt>
                <c:pt idx="138">
                  <c:v>97.679298245614021</c:v>
                </c:pt>
                <c:pt idx="139">
                  <c:v>97.679298245614021</c:v>
                </c:pt>
                <c:pt idx="140">
                  <c:v>97.679298245614021</c:v>
                </c:pt>
                <c:pt idx="141">
                  <c:v>97.679298245614021</c:v>
                </c:pt>
                <c:pt idx="142">
                  <c:v>97.679298245614021</c:v>
                </c:pt>
                <c:pt idx="143">
                  <c:v>97.679298245614021</c:v>
                </c:pt>
                <c:pt idx="144">
                  <c:v>97.679298245614021</c:v>
                </c:pt>
                <c:pt idx="145">
                  <c:v>97.679298245614021</c:v>
                </c:pt>
                <c:pt idx="146">
                  <c:v>97.679298245614021</c:v>
                </c:pt>
                <c:pt idx="147">
                  <c:v>97.679298245614021</c:v>
                </c:pt>
                <c:pt idx="148">
                  <c:v>97.679298245614021</c:v>
                </c:pt>
                <c:pt idx="149">
                  <c:v>97.679298245614021</c:v>
                </c:pt>
                <c:pt idx="150">
                  <c:v>97.679298245614021</c:v>
                </c:pt>
                <c:pt idx="151">
                  <c:v>97.679298245614021</c:v>
                </c:pt>
                <c:pt idx="152">
                  <c:v>97.679298245614021</c:v>
                </c:pt>
                <c:pt idx="153">
                  <c:v>97.679298245614021</c:v>
                </c:pt>
                <c:pt idx="154">
                  <c:v>97.679298245614021</c:v>
                </c:pt>
                <c:pt idx="155">
                  <c:v>97.679298245614021</c:v>
                </c:pt>
                <c:pt idx="156">
                  <c:v>97.679298245614021</c:v>
                </c:pt>
                <c:pt idx="157">
                  <c:v>97.679298245614021</c:v>
                </c:pt>
                <c:pt idx="158">
                  <c:v>97.679298245614021</c:v>
                </c:pt>
                <c:pt idx="159">
                  <c:v>97.679298245614021</c:v>
                </c:pt>
                <c:pt idx="160">
                  <c:v>97.679298245614021</c:v>
                </c:pt>
                <c:pt idx="161">
                  <c:v>97.679298245614021</c:v>
                </c:pt>
                <c:pt idx="162">
                  <c:v>97.679298245614021</c:v>
                </c:pt>
                <c:pt idx="163">
                  <c:v>97.679298245614021</c:v>
                </c:pt>
                <c:pt idx="164">
                  <c:v>97.679298245614021</c:v>
                </c:pt>
                <c:pt idx="165">
                  <c:v>97.679298245614021</c:v>
                </c:pt>
                <c:pt idx="166">
                  <c:v>97.679298245614021</c:v>
                </c:pt>
                <c:pt idx="167">
                  <c:v>97.679298245614021</c:v>
                </c:pt>
                <c:pt idx="168">
                  <c:v>97.679298245614021</c:v>
                </c:pt>
                <c:pt idx="169">
                  <c:v>97.679298245614021</c:v>
                </c:pt>
                <c:pt idx="170">
                  <c:v>97.679298245614021</c:v>
                </c:pt>
                <c:pt idx="171">
                  <c:v>97.679298245614021</c:v>
                </c:pt>
                <c:pt idx="172">
                  <c:v>97.679298245614021</c:v>
                </c:pt>
                <c:pt idx="173">
                  <c:v>97.679298245614021</c:v>
                </c:pt>
                <c:pt idx="174">
                  <c:v>97.679298245614021</c:v>
                </c:pt>
                <c:pt idx="175">
                  <c:v>97.679298245614021</c:v>
                </c:pt>
                <c:pt idx="176">
                  <c:v>97.679298245614021</c:v>
                </c:pt>
                <c:pt idx="177">
                  <c:v>97.679298245614021</c:v>
                </c:pt>
                <c:pt idx="178">
                  <c:v>97.679298245614021</c:v>
                </c:pt>
                <c:pt idx="179">
                  <c:v>97.679298245614021</c:v>
                </c:pt>
                <c:pt idx="180">
                  <c:v>97.679298245614021</c:v>
                </c:pt>
                <c:pt idx="181">
                  <c:v>97.679298245614021</c:v>
                </c:pt>
                <c:pt idx="182">
                  <c:v>97.679298245614021</c:v>
                </c:pt>
                <c:pt idx="183">
                  <c:v>97.679298245614021</c:v>
                </c:pt>
                <c:pt idx="184">
                  <c:v>97.679298245614021</c:v>
                </c:pt>
                <c:pt idx="185">
                  <c:v>97.679298245614021</c:v>
                </c:pt>
                <c:pt idx="186">
                  <c:v>97.679298245614021</c:v>
                </c:pt>
                <c:pt idx="187">
                  <c:v>97.679298245614021</c:v>
                </c:pt>
                <c:pt idx="188">
                  <c:v>97.679298245614021</c:v>
                </c:pt>
                <c:pt idx="189">
                  <c:v>97.679298245614021</c:v>
                </c:pt>
                <c:pt idx="190">
                  <c:v>97.679298245614021</c:v>
                </c:pt>
                <c:pt idx="191">
                  <c:v>97.679298245614021</c:v>
                </c:pt>
                <c:pt idx="192">
                  <c:v>97.679298245614021</c:v>
                </c:pt>
                <c:pt idx="193">
                  <c:v>97.679298245614021</c:v>
                </c:pt>
                <c:pt idx="194">
                  <c:v>97.679298245614021</c:v>
                </c:pt>
                <c:pt idx="195">
                  <c:v>97.679298245614021</c:v>
                </c:pt>
                <c:pt idx="196">
                  <c:v>97.679298245614021</c:v>
                </c:pt>
                <c:pt idx="197">
                  <c:v>97.679298245614021</c:v>
                </c:pt>
                <c:pt idx="198">
                  <c:v>97.679298245614021</c:v>
                </c:pt>
                <c:pt idx="199">
                  <c:v>97.679298245614021</c:v>
                </c:pt>
                <c:pt idx="200">
                  <c:v>97.679298245614021</c:v>
                </c:pt>
                <c:pt idx="201">
                  <c:v>97.679298245614021</c:v>
                </c:pt>
                <c:pt idx="202">
                  <c:v>97.679298245614021</c:v>
                </c:pt>
                <c:pt idx="203">
                  <c:v>97.679298245614021</c:v>
                </c:pt>
                <c:pt idx="204">
                  <c:v>97.679298245614021</c:v>
                </c:pt>
                <c:pt idx="205">
                  <c:v>97.679298245614021</c:v>
                </c:pt>
                <c:pt idx="206">
                  <c:v>97.679298245614021</c:v>
                </c:pt>
                <c:pt idx="207">
                  <c:v>97.679298245614021</c:v>
                </c:pt>
                <c:pt idx="208">
                  <c:v>97.679298245614021</c:v>
                </c:pt>
                <c:pt idx="209">
                  <c:v>97.679298245614021</c:v>
                </c:pt>
                <c:pt idx="210">
                  <c:v>97.679298245614021</c:v>
                </c:pt>
                <c:pt idx="211">
                  <c:v>97.679298245614021</c:v>
                </c:pt>
                <c:pt idx="212">
                  <c:v>97.679298245614021</c:v>
                </c:pt>
                <c:pt idx="213">
                  <c:v>97.679298245614021</c:v>
                </c:pt>
                <c:pt idx="214">
                  <c:v>97.679298245614021</c:v>
                </c:pt>
                <c:pt idx="215">
                  <c:v>97.679298245614021</c:v>
                </c:pt>
                <c:pt idx="216">
                  <c:v>97.679298245614021</c:v>
                </c:pt>
                <c:pt idx="217">
                  <c:v>97.679298245614021</c:v>
                </c:pt>
                <c:pt idx="218">
                  <c:v>97.679298245614021</c:v>
                </c:pt>
                <c:pt idx="219">
                  <c:v>97.679298245614021</c:v>
                </c:pt>
                <c:pt idx="220">
                  <c:v>97.679298245614021</c:v>
                </c:pt>
                <c:pt idx="221">
                  <c:v>97.679298245614021</c:v>
                </c:pt>
                <c:pt idx="222">
                  <c:v>97.679298245614021</c:v>
                </c:pt>
                <c:pt idx="223">
                  <c:v>97.679298245614021</c:v>
                </c:pt>
                <c:pt idx="224">
                  <c:v>97.679298245614021</c:v>
                </c:pt>
                <c:pt idx="225">
                  <c:v>97.679298245614021</c:v>
                </c:pt>
                <c:pt idx="226">
                  <c:v>97.679298245614021</c:v>
                </c:pt>
                <c:pt idx="227">
                  <c:v>97.679298245614021</c:v>
                </c:pt>
                <c:pt idx="228">
                  <c:v>97.679298245614021</c:v>
                </c:pt>
                <c:pt idx="229">
                  <c:v>97.679298245614021</c:v>
                </c:pt>
                <c:pt idx="230">
                  <c:v>97.679298245614021</c:v>
                </c:pt>
                <c:pt idx="231">
                  <c:v>97.679298245614021</c:v>
                </c:pt>
                <c:pt idx="232">
                  <c:v>97.679298245614021</c:v>
                </c:pt>
                <c:pt idx="233">
                  <c:v>97.679298245614021</c:v>
                </c:pt>
                <c:pt idx="234">
                  <c:v>97.679298245614021</c:v>
                </c:pt>
                <c:pt idx="235">
                  <c:v>97.679298245614021</c:v>
                </c:pt>
                <c:pt idx="236">
                  <c:v>97.679298245614021</c:v>
                </c:pt>
                <c:pt idx="237">
                  <c:v>97.679298245614021</c:v>
                </c:pt>
                <c:pt idx="238">
                  <c:v>97.679298245614021</c:v>
                </c:pt>
                <c:pt idx="239">
                  <c:v>97.679298245614021</c:v>
                </c:pt>
                <c:pt idx="240">
                  <c:v>97.679298245614021</c:v>
                </c:pt>
                <c:pt idx="241">
                  <c:v>97.679298245614021</c:v>
                </c:pt>
                <c:pt idx="242">
                  <c:v>97.679298245614021</c:v>
                </c:pt>
                <c:pt idx="243">
                  <c:v>97.679298245614021</c:v>
                </c:pt>
                <c:pt idx="244">
                  <c:v>97.679298245614021</c:v>
                </c:pt>
                <c:pt idx="245">
                  <c:v>97.679298245614021</c:v>
                </c:pt>
                <c:pt idx="246">
                  <c:v>97.679298245614021</c:v>
                </c:pt>
                <c:pt idx="247">
                  <c:v>97.679298245614021</c:v>
                </c:pt>
                <c:pt idx="248">
                  <c:v>97.679298245614021</c:v>
                </c:pt>
                <c:pt idx="249">
                  <c:v>97.679298245614021</c:v>
                </c:pt>
                <c:pt idx="250">
                  <c:v>97.679298245614021</c:v>
                </c:pt>
                <c:pt idx="251">
                  <c:v>97.679298245614021</c:v>
                </c:pt>
                <c:pt idx="252">
                  <c:v>97.679298245614021</c:v>
                </c:pt>
                <c:pt idx="253">
                  <c:v>97.679298245614021</c:v>
                </c:pt>
                <c:pt idx="254">
                  <c:v>97.679298245614021</c:v>
                </c:pt>
                <c:pt idx="255">
                  <c:v>97.679298245614021</c:v>
                </c:pt>
                <c:pt idx="256">
                  <c:v>97.679298245614021</c:v>
                </c:pt>
                <c:pt idx="257">
                  <c:v>97.679298245614021</c:v>
                </c:pt>
                <c:pt idx="258">
                  <c:v>97.679298245614021</c:v>
                </c:pt>
                <c:pt idx="259">
                  <c:v>97.679298245614021</c:v>
                </c:pt>
                <c:pt idx="260">
                  <c:v>97.679298245614021</c:v>
                </c:pt>
                <c:pt idx="261">
                  <c:v>97.679298245614021</c:v>
                </c:pt>
                <c:pt idx="262">
                  <c:v>97.679298245614021</c:v>
                </c:pt>
                <c:pt idx="263">
                  <c:v>97.679298245614021</c:v>
                </c:pt>
                <c:pt idx="264">
                  <c:v>97.679298245614021</c:v>
                </c:pt>
                <c:pt idx="265">
                  <c:v>97.679298245614021</c:v>
                </c:pt>
                <c:pt idx="266">
                  <c:v>97.679298245614021</c:v>
                </c:pt>
                <c:pt idx="267">
                  <c:v>97.679298245614021</c:v>
                </c:pt>
                <c:pt idx="268">
                  <c:v>97.679298245614021</c:v>
                </c:pt>
                <c:pt idx="269">
                  <c:v>97.679298245614021</c:v>
                </c:pt>
                <c:pt idx="270">
                  <c:v>97.679298245614021</c:v>
                </c:pt>
                <c:pt idx="271">
                  <c:v>97.679298245614021</c:v>
                </c:pt>
                <c:pt idx="272">
                  <c:v>97.679298245614021</c:v>
                </c:pt>
                <c:pt idx="273">
                  <c:v>97.679298245614021</c:v>
                </c:pt>
                <c:pt idx="274">
                  <c:v>97.679298245614021</c:v>
                </c:pt>
                <c:pt idx="275">
                  <c:v>97.679298245614021</c:v>
                </c:pt>
                <c:pt idx="276">
                  <c:v>97.679298245614021</c:v>
                </c:pt>
                <c:pt idx="277">
                  <c:v>97.679298245614021</c:v>
                </c:pt>
                <c:pt idx="278">
                  <c:v>97.679298245614021</c:v>
                </c:pt>
                <c:pt idx="279">
                  <c:v>97.679298245614021</c:v>
                </c:pt>
                <c:pt idx="280">
                  <c:v>97.679298245614021</c:v>
                </c:pt>
                <c:pt idx="281">
                  <c:v>97.679298245614021</c:v>
                </c:pt>
                <c:pt idx="282">
                  <c:v>97.679298245614021</c:v>
                </c:pt>
                <c:pt idx="283">
                  <c:v>97.679298245614021</c:v>
                </c:pt>
                <c:pt idx="284">
                  <c:v>97.679298245614021</c:v>
                </c:pt>
                <c:pt idx="285">
                  <c:v>97.679298245614021</c:v>
                </c:pt>
                <c:pt idx="286">
                  <c:v>97.679298245614021</c:v>
                </c:pt>
                <c:pt idx="287">
                  <c:v>97.679298245614021</c:v>
                </c:pt>
                <c:pt idx="288">
                  <c:v>97.679298245614021</c:v>
                </c:pt>
                <c:pt idx="289">
                  <c:v>97.679298245614021</c:v>
                </c:pt>
                <c:pt idx="290">
                  <c:v>97.679298245614021</c:v>
                </c:pt>
                <c:pt idx="291">
                  <c:v>97.679298245614021</c:v>
                </c:pt>
                <c:pt idx="292">
                  <c:v>97.679298245614021</c:v>
                </c:pt>
                <c:pt idx="293">
                  <c:v>97.679298245614021</c:v>
                </c:pt>
                <c:pt idx="294">
                  <c:v>97.679298245614021</c:v>
                </c:pt>
                <c:pt idx="295">
                  <c:v>97.679298245614021</c:v>
                </c:pt>
                <c:pt idx="296">
                  <c:v>97.679298245614021</c:v>
                </c:pt>
                <c:pt idx="297">
                  <c:v>97.679298245614021</c:v>
                </c:pt>
                <c:pt idx="298">
                  <c:v>97.679298245614021</c:v>
                </c:pt>
                <c:pt idx="299">
                  <c:v>97.679298245614021</c:v>
                </c:pt>
                <c:pt idx="300">
                  <c:v>97.679298245614021</c:v>
                </c:pt>
                <c:pt idx="301">
                  <c:v>97.679298245614021</c:v>
                </c:pt>
                <c:pt idx="302">
                  <c:v>97.679298245614021</c:v>
                </c:pt>
                <c:pt idx="303">
                  <c:v>97.679298245614021</c:v>
                </c:pt>
                <c:pt idx="304">
                  <c:v>97.679298245614021</c:v>
                </c:pt>
                <c:pt idx="305">
                  <c:v>97.679298245614021</c:v>
                </c:pt>
                <c:pt idx="306">
                  <c:v>97.679298245614021</c:v>
                </c:pt>
                <c:pt idx="307">
                  <c:v>97.679298245614021</c:v>
                </c:pt>
                <c:pt idx="308">
                  <c:v>97.679298245614021</c:v>
                </c:pt>
                <c:pt idx="309">
                  <c:v>97.679298245614021</c:v>
                </c:pt>
                <c:pt idx="310">
                  <c:v>97.679298245614021</c:v>
                </c:pt>
                <c:pt idx="311">
                  <c:v>97.679298245614021</c:v>
                </c:pt>
                <c:pt idx="312">
                  <c:v>97.679298245614021</c:v>
                </c:pt>
                <c:pt idx="313">
                  <c:v>97.679298245614021</c:v>
                </c:pt>
                <c:pt idx="314">
                  <c:v>97.679298245614021</c:v>
                </c:pt>
                <c:pt idx="315">
                  <c:v>97.679298245614021</c:v>
                </c:pt>
                <c:pt idx="316">
                  <c:v>97.679298245614021</c:v>
                </c:pt>
                <c:pt idx="317">
                  <c:v>97.679298245614021</c:v>
                </c:pt>
                <c:pt idx="318">
                  <c:v>97.679298245614021</c:v>
                </c:pt>
                <c:pt idx="319">
                  <c:v>97.679298245614021</c:v>
                </c:pt>
                <c:pt idx="320">
                  <c:v>97.679298245614021</c:v>
                </c:pt>
                <c:pt idx="321">
                  <c:v>97.679298245614021</c:v>
                </c:pt>
                <c:pt idx="322">
                  <c:v>97.679298245614021</c:v>
                </c:pt>
                <c:pt idx="323">
                  <c:v>97.679298245614021</c:v>
                </c:pt>
                <c:pt idx="324">
                  <c:v>97.679298245614021</c:v>
                </c:pt>
                <c:pt idx="325">
                  <c:v>97.679298245614021</c:v>
                </c:pt>
                <c:pt idx="326">
                  <c:v>97.679298245614021</c:v>
                </c:pt>
                <c:pt idx="327">
                  <c:v>97.679298245614021</c:v>
                </c:pt>
                <c:pt idx="328">
                  <c:v>97.679298245614021</c:v>
                </c:pt>
                <c:pt idx="329">
                  <c:v>97.679298245614021</c:v>
                </c:pt>
                <c:pt idx="330">
                  <c:v>97.679298245614021</c:v>
                </c:pt>
                <c:pt idx="331">
                  <c:v>97.679298245614021</c:v>
                </c:pt>
                <c:pt idx="332">
                  <c:v>97.679298245614021</c:v>
                </c:pt>
                <c:pt idx="333">
                  <c:v>97.679298245614021</c:v>
                </c:pt>
                <c:pt idx="334">
                  <c:v>97.679298245614021</c:v>
                </c:pt>
                <c:pt idx="335">
                  <c:v>97.679298245614021</c:v>
                </c:pt>
                <c:pt idx="336">
                  <c:v>97.679298245614021</c:v>
                </c:pt>
                <c:pt idx="337">
                  <c:v>97.679298245614021</c:v>
                </c:pt>
                <c:pt idx="338">
                  <c:v>97.679298245614021</c:v>
                </c:pt>
                <c:pt idx="339">
                  <c:v>97.679298245614021</c:v>
                </c:pt>
                <c:pt idx="340">
                  <c:v>97.679298245614021</c:v>
                </c:pt>
                <c:pt idx="341">
                  <c:v>97.679298245614021</c:v>
                </c:pt>
                <c:pt idx="342">
                  <c:v>97.679298245614021</c:v>
                </c:pt>
                <c:pt idx="343">
                  <c:v>97.679298245614021</c:v>
                </c:pt>
                <c:pt idx="344">
                  <c:v>97.679298245614021</c:v>
                </c:pt>
                <c:pt idx="345">
                  <c:v>97.679298245614021</c:v>
                </c:pt>
                <c:pt idx="346">
                  <c:v>97.679298245614021</c:v>
                </c:pt>
                <c:pt idx="347">
                  <c:v>97.679298245614021</c:v>
                </c:pt>
                <c:pt idx="348">
                  <c:v>97.679298245614021</c:v>
                </c:pt>
                <c:pt idx="349">
                  <c:v>97.679298245614021</c:v>
                </c:pt>
                <c:pt idx="350">
                  <c:v>97.679298245614021</c:v>
                </c:pt>
                <c:pt idx="351">
                  <c:v>97.679298245614021</c:v>
                </c:pt>
                <c:pt idx="352">
                  <c:v>97.679298245614021</c:v>
                </c:pt>
                <c:pt idx="353">
                  <c:v>97.679298245614021</c:v>
                </c:pt>
                <c:pt idx="354">
                  <c:v>97.679298245614021</c:v>
                </c:pt>
                <c:pt idx="355">
                  <c:v>97.679298245614021</c:v>
                </c:pt>
                <c:pt idx="356">
                  <c:v>97.679298245614021</c:v>
                </c:pt>
                <c:pt idx="357">
                  <c:v>97.679298245614021</c:v>
                </c:pt>
                <c:pt idx="358">
                  <c:v>97.679298245614021</c:v>
                </c:pt>
                <c:pt idx="359">
                  <c:v>97.679298245614021</c:v>
                </c:pt>
                <c:pt idx="360">
                  <c:v>97.679298245614021</c:v>
                </c:pt>
                <c:pt idx="361">
                  <c:v>97.679298245614021</c:v>
                </c:pt>
                <c:pt idx="362">
                  <c:v>97.679298245614021</c:v>
                </c:pt>
                <c:pt idx="363">
                  <c:v>97.679298245614021</c:v>
                </c:pt>
                <c:pt idx="364">
                  <c:v>97.679298245614021</c:v>
                </c:pt>
                <c:pt idx="365">
                  <c:v>97.679298245614021</c:v>
                </c:pt>
                <c:pt idx="366">
                  <c:v>97.679298245614021</c:v>
                </c:pt>
                <c:pt idx="367">
                  <c:v>97.679298245614021</c:v>
                </c:pt>
                <c:pt idx="368">
                  <c:v>97.679298245614021</c:v>
                </c:pt>
                <c:pt idx="369">
                  <c:v>97.679298245614021</c:v>
                </c:pt>
                <c:pt idx="370">
                  <c:v>97.679298245614021</c:v>
                </c:pt>
                <c:pt idx="371">
                  <c:v>97.679298245614021</c:v>
                </c:pt>
                <c:pt idx="372">
                  <c:v>97.679298245614021</c:v>
                </c:pt>
                <c:pt idx="373">
                  <c:v>97.679298245614021</c:v>
                </c:pt>
                <c:pt idx="374">
                  <c:v>97.679298245614021</c:v>
                </c:pt>
                <c:pt idx="375">
                  <c:v>97.679298245614021</c:v>
                </c:pt>
                <c:pt idx="376">
                  <c:v>97.679298245614021</c:v>
                </c:pt>
                <c:pt idx="377">
                  <c:v>97.679298245614021</c:v>
                </c:pt>
                <c:pt idx="378">
                  <c:v>97.679298245614021</c:v>
                </c:pt>
                <c:pt idx="379">
                  <c:v>97.679298245614021</c:v>
                </c:pt>
                <c:pt idx="380">
                  <c:v>97.679298245614021</c:v>
                </c:pt>
                <c:pt idx="381">
                  <c:v>97.679298245614021</c:v>
                </c:pt>
                <c:pt idx="382">
                  <c:v>97.679298245614021</c:v>
                </c:pt>
                <c:pt idx="383">
                  <c:v>97.679298245614021</c:v>
                </c:pt>
                <c:pt idx="384">
                  <c:v>97.679298245614021</c:v>
                </c:pt>
                <c:pt idx="385">
                  <c:v>97.679298245614021</c:v>
                </c:pt>
                <c:pt idx="386">
                  <c:v>97.679298245614021</c:v>
                </c:pt>
                <c:pt idx="387">
                  <c:v>97.679298245614021</c:v>
                </c:pt>
                <c:pt idx="388">
                  <c:v>97.679298245614021</c:v>
                </c:pt>
                <c:pt idx="389">
                  <c:v>97.679298245614021</c:v>
                </c:pt>
                <c:pt idx="390">
                  <c:v>97.679298245614021</c:v>
                </c:pt>
                <c:pt idx="391">
                  <c:v>97.679298245614021</c:v>
                </c:pt>
                <c:pt idx="392">
                  <c:v>97.679298245614021</c:v>
                </c:pt>
                <c:pt idx="393">
                  <c:v>97.679298245614021</c:v>
                </c:pt>
                <c:pt idx="394">
                  <c:v>97.679298245614021</c:v>
                </c:pt>
                <c:pt idx="395">
                  <c:v>97.679298245614021</c:v>
                </c:pt>
                <c:pt idx="396">
                  <c:v>97.679298245614021</c:v>
                </c:pt>
                <c:pt idx="397">
                  <c:v>97.679298245614021</c:v>
                </c:pt>
                <c:pt idx="398">
                  <c:v>97.679298245614021</c:v>
                </c:pt>
                <c:pt idx="399">
                  <c:v>97.679298245614021</c:v>
                </c:pt>
                <c:pt idx="400">
                  <c:v>97.679298245614021</c:v>
                </c:pt>
                <c:pt idx="401">
                  <c:v>97.679298245614021</c:v>
                </c:pt>
                <c:pt idx="402">
                  <c:v>97.679298245614021</c:v>
                </c:pt>
                <c:pt idx="403">
                  <c:v>97.679298245614021</c:v>
                </c:pt>
                <c:pt idx="404">
                  <c:v>97.679298245614021</c:v>
                </c:pt>
                <c:pt idx="405">
                  <c:v>97.679298245614021</c:v>
                </c:pt>
                <c:pt idx="406">
                  <c:v>97.679298245614021</c:v>
                </c:pt>
                <c:pt idx="407">
                  <c:v>97.679298245614021</c:v>
                </c:pt>
                <c:pt idx="408">
                  <c:v>97.679298245614021</c:v>
                </c:pt>
                <c:pt idx="409">
                  <c:v>97.679298245614021</c:v>
                </c:pt>
                <c:pt idx="410">
                  <c:v>97.679298245614021</c:v>
                </c:pt>
                <c:pt idx="411">
                  <c:v>97.679298245614021</c:v>
                </c:pt>
                <c:pt idx="412">
                  <c:v>97.679298245614021</c:v>
                </c:pt>
                <c:pt idx="413">
                  <c:v>97.679298245614021</c:v>
                </c:pt>
                <c:pt idx="414">
                  <c:v>97.679298245614021</c:v>
                </c:pt>
                <c:pt idx="415">
                  <c:v>97.679298245614021</c:v>
                </c:pt>
                <c:pt idx="416">
                  <c:v>97.679298245614021</c:v>
                </c:pt>
                <c:pt idx="417">
                  <c:v>97.679298245614021</c:v>
                </c:pt>
                <c:pt idx="418">
                  <c:v>97.679298245614021</c:v>
                </c:pt>
                <c:pt idx="419">
                  <c:v>97.679298245614021</c:v>
                </c:pt>
                <c:pt idx="420">
                  <c:v>97.679298245614021</c:v>
                </c:pt>
                <c:pt idx="421">
                  <c:v>97.679298245614021</c:v>
                </c:pt>
                <c:pt idx="422">
                  <c:v>97.679298245614021</c:v>
                </c:pt>
                <c:pt idx="423">
                  <c:v>97.679298245614021</c:v>
                </c:pt>
                <c:pt idx="424">
                  <c:v>97.679298245614021</c:v>
                </c:pt>
                <c:pt idx="425">
                  <c:v>97.679298245614021</c:v>
                </c:pt>
                <c:pt idx="426">
                  <c:v>97.679298245614021</c:v>
                </c:pt>
                <c:pt idx="427">
                  <c:v>97.679298245614021</c:v>
                </c:pt>
                <c:pt idx="428">
                  <c:v>97.679298245614021</c:v>
                </c:pt>
                <c:pt idx="429">
                  <c:v>97.679298245614021</c:v>
                </c:pt>
                <c:pt idx="430">
                  <c:v>97.679298245614021</c:v>
                </c:pt>
                <c:pt idx="431">
                  <c:v>97.679298245614021</c:v>
                </c:pt>
                <c:pt idx="432">
                  <c:v>97.679298245614021</c:v>
                </c:pt>
                <c:pt idx="433">
                  <c:v>97.679298245614021</c:v>
                </c:pt>
                <c:pt idx="434">
                  <c:v>97.679298245614021</c:v>
                </c:pt>
                <c:pt idx="435">
                  <c:v>97.679298245614021</c:v>
                </c:pt>
                <c:pt idx="436">
                  <c:v>97.679298245614021</c:v>
                </c:pt>
                <c:pt idx="437">
                  <c:v>97.679298245614021</c:v>
                </c:pt>
                <c:pt idx="438">
                  <c:v>97.679298245614021</c:v>
                </c:pt>
                <c:pt idx="439">
                  <c:v>97.679298245614021</c:v>
                </c:pt>
                <c:pt idx="440">
                  <c:v>97.679298245614021</c:v>
                </c:pt>
                <c:pt idx="441">
                  <c:v>97.679298245614021</c:v>
                </c:pt>
                <c:pt idx="442">
                  <c:v>97.679298245614021</c:v>
                </c:pt>
                <c:pt idx="443">
                  <c:v>97.679298245614021</c:v>
                </c:pt>
                <c:pt idx="444">
                  <c:v>97.679298245614021</c:v>
                </c:pt>
                <c:pt idx="445">
                  <c:v>97.679298245614021</c:v>
                </c:pt>
                <c:pt idx="446">
                  <c:v>97.679298245614021</c:v>
                </c:pt>
                <c:pt idx="447">
                  <c:v>97.679298245614021</c:v>
                </c:pt>
                <c:pt idx="448">
                  <c:v>97.679298245614021</c:v>
                </c:pt>
                <c:pt idx="449">
                  <c:v>97.679298245614021</c:v>
                </c:pt>
                <c:pt idx="450">
                  <c:v>97.679298245614021</c:v>
                </c:pt>
                <c:pt idx="451">
                  <c:v>97.679298245614021</c:v>
                </c:pt>
                <c:pt idx="452">
                  <c:v>97.679298245614021</c:v>
                </c:pt>
                <c:pt idx="453">
                  <c:v>97.679298245614021</c:v>
                </c:pt>
                <c:pt idx="454">
                  <c:v>97.679298245614021</c:v>
                </c:pt>
                <c:pt idx="455">
                  <c:v>97.679298245614021</c:v>
                </c:pt>
                <c:pt idx="456">
                  <c:v>97.679298245614021</c:v>
                </c:pt>
                <c:pt idx="457">
                  <c:v>97.679298245614021</c:v>
                </c:pt>
                <c:pt idx="458">
                  <c:v>97.679298245614021</c:v>
                </c:pt>
                <c:pt idx="459">
                  <c:v>369.1894736842105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D1-4545-A268-AF9D99BD7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13856"/>
        <c:axId val="98845824"/>
      </c:scatterChart>
      <c:scatterChart>
        <c:scatterStyle val="lineMarker"/>
        <c:varyColors val="0"/>
        <c:ser>
          <c:idx val="1"/>
          <c:order val="1"/>
          <c:tx>
            <c:v>r-value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Messdaten!$K$15:$K$2656</c:f>
              <c:numCache>
                <c:formatCode>0.000</c:formatCode>
                <c:ptCount val="2642"/>
                <c:pt idx="0">
                  <c:v>3.812377415311391E-4</c:v>
                </c:pt>
                <c:pt idx="1">
                  <c:v>3.812377415311391E-4</c:v>
                </c:pt>
                <c:pt idx="2">
                  <c:v>3.812377415311391E-4</c:v>
                </c:pt>
                <c:pt idx="3">
                  <c:v>3.812377415311391E-4</c:v>
                </c:pt>
                <c:pt idx="4">
                  <c:v>3.812377415311391E-4</c:v>
                </c:pt>
                <c:pt idx="5">
                  <c:v>3.812377415311391E-4</c:v>
                </c:pt>
                <c:pt idx="6">
                  <c:v>3.812377415311391E-4</c:v>
                </c:pt>
                <c:pt idx="7">
                  <c:v>3.812377415311391E-4</c:v>
                </c:pt>
                <c:pt idx="8">
                  <c:v>3.812377415311391E-4</c:v>
                </c:pt>
                <c:pt idx="9">
                  <c:v>3.812377415311391E-4</c:v>
                </c:pt>
                <c:pt idx="10">
                  <c:v>3.812377415311391E-4</c:v>
                </c:pt>
                <c:pt idx="11">
                  <c:v>3.812377415311391E-4</c:v>
                </c:pt>
                <c:pt idx="12">
                  <c:v>3.812377415311391E-4</c:v>
                </c:pt>
                <c:pt idx="13">
                  <c:v>3.812377415311391E-4</c:v>
                </c:pt>
                <c:pt idx="14">
                  <c:v>3.812377415311391E-4</c:v>
                </c:pt>
                <c:pt idx="15">
                  <c:v>3.812377415311391E-4</c:v>
                </c:pt>
                <c:pt idx="16">
                  <c:v>3.812377415311391E-4</c:v>
                </c:pt>
                <c:pt idx="17">
                  <c:v>3.812377415311391E-4</c:v>
                </c:pt>
                <c:pt idx="18">
                  <c:v>3.812377415311391E-4</c:v>
                </c:pt>
                <c:pt idx="19">
                  <c:v>3.812377415311391E-4</c:v>
                </c:pt>
                <c:pt idx="20">
                  <c:v>3.812377415311391E-4</c:v>
                </c:pt>
                <c:pt idx="21">
                  <c:v>3.812377415311391E-4</c:v>
                </c:pt>
                <c:pt idx="22">
                  <c:v>3.812377415311391E-4</c:v>
                </c:pt>
                <c:pt idx="23">
                  <c:v>3.812377415311391E-4</c:v>
                </c:pt>
                <c:pt idx="24">
                  <c:v>3.812377415311391E-4</c:v>
                </c:pt>
                <c:pt idx="25">
                  <c:v>3.812377415311391E-4</c:v>
                </c:pt>
                <c:pt idx="26">
                  <c:v>3.812377415311391E-4</c:v>
                </c:pt>
                <c:pt idx="27">
                  <c:v>3.812377415311391E-4</c:v>
                </c:pt>
                <c:pt idx="28">
                  <c:v>3.812377415311391E-4</c:v>
                </c:pt>
                <c:pt idx="29">
                  <c:v>3.812377415311391E-4</c:v>
                </c:pt>
                <c:pt idx="30">
                  <c:v>3.812377415311391E-4</c:v>
                </c:pt>
                <c:pt idx="31">
                  <c:v>3.812377415311391E-4</c:v>
                </c:pt>
                <c:pt idx="32">
                  <c:v>3.812377415311391E-4</c:v>
                </c:pt>
                <c:pt idx="33">
                  <c:v>3.812377415311391E-4</c:v>
                </c:pt>
                <c:pt idx="34">
                  <c:v>3.812377415311391E-4</c:v>
                </c:pt>
                <c:pt idx="35">
                  <c:v>3.812377415311391E-4</c:v>
                </c:pt>
                <c:pt idx="36">
                  <c:v>3.812377415311391E-4</c:v>
                </c:pt>
                <c:pt idx="37">
                  <c:v>3.812377415311391E-4</c:v>
                </c:pt>
                <c:pt idx="38">
                  <c:v>3.812377415311391E-4</c:v>
                </c:pt>
                <c:pt idx="39">
                  <c:v>3.812377415311391E-4</c:v>
                </c:pt>
                <c:pt idx="40">
                  <c:v>3.812377415311391E-4</c:v>
                </c:pt>
                <c:pt idx="41">
                  <c:v>3.812377415311391E-4</c:v>
                </c:pt>
                <c:pt idx="42">
                  <c:v>3.812377415311391E-4</c:v>
                </c:pt>
                <c:pt idx="43">
                  <c:v>3.812377415311391E-4</c:v>
                </c:pt>
                <c:pt idx="44">
                  <c:v>3.812377415311391E-4</c:v>
                </c:pt>
                <c:pt idx="45">
                  <c:v>3.812377415311391E-4</c:v>
                </c:pt>
                <c:pt idx="46">
                  <c:v>3.812377415311391E-4</c:v>
                </c:pt>
                <c:pt idx="47">
                  <c:v>3.812377415311391E-4</c:v>
                </c:pt>
                <c:pt idx="48">
                  <c:v>3.812377415311391E-4</c:v>
                </c:pt>
                <c:pt idx="49">
                  <c:v>3.812377415311391E-4</c:v>
                </c:pt>
                <c:pt idx="50">
                  <c:v>3.812377415311391E-4</c:v>
                </c:pt>
                <c:pt idx="51">
                  <c:v>3.812377415311391E-4</c:v>
                </c:pt>
                <c:pt idx="52">
                  <c:v>3.812377415311391E-4</c:v>
                </c:pt>
                <c:pt idx="53">
                  <c:v>3.812377415311391E-4</c:v>
                </c:pt>
                <c:pt idx="54">
                  <c:v>3.812377415311391E-4</c:v>
                </c:pt>
                <c:pt idx="55">
                  <c:v>3.812377415311391E-4</c:v>
                </c:pt>
                <c:pt idx="56">
                  <c:v>3.812377415311391E-4</c:v>
                </c:pt>
                <c:pt idx="57">
                  <c:v>3.812377415311391E-4</c:v>
                </c:pt>
                <c:pt idx="58">
                  <c:v>3.812377415311391E-4</c:v>
                </c:pt>
                <c:pt idx="59">
                  <c:v>3.812377415311391E-4</c:v>
                </c:pt>
                <c:pt idx="60">
                  <c:v>3.812377415311391E-4</c:v>
                </c:pt>
                <c:pt idx="61">
                  <c:v>3.812377415311391E-4</c:v>
                </c:pt>
                <c:pt idx="62">
                  <c:v>3.812377415311391E-4</c:v>
                </c:pt>
                <c:pt idx="63">
                  <c:v>3.812377415311391E-4</c:v>
                </c:pt>
                <c:pt idx="64">
                  <c:v>3.812377415311391E-4</c:v>
                </c:pt>
                <c:pt idx="65">
                  <c:v>3.812377415311391E-4</c:v>
                </c:pt>
                <c:pt idx="66">
                  <c:v>3.812377415311391E-4</c:v>
                </c:pt>
                <c:pt idx="67">
                  <c:v>3.812377415311391E-4</c:v>
                </c:pt>
                <c:pt idx="68">
                  <c:v>3.812377415311391E-4</c:v>
                </c:pt>
                <c:pt idx="69">
                  <c:v>3.812377415311391E-4</c:v>
                </c:pt>
                <c:pt idx="70">
                  <c:v>3.812377415311391E-4</c:v>
                </c:pt>
                <c:pt idx="71">
                  <c:v>3.812377415311391E-4</c:v>
                </c:pt>
                <c:pt idx="72">
                  <c:v>3.812377415311391E-4</c:v>
                </c:pt>
                <c:pt idx="73">
                  <c:v>3.812377415311391E-4</c:v>
                </c:pt>
                <c:pt idx="74">
                  <c:v>3.812377415311391E-4</c:v>
                </c:pt>
                <c:pt idx="75">
                  <c:v>3.812377415311391E-4</c:v>
                </c:pt>
                <c:pt idx="76">
                  <c:v>3.812377415311391E-4</c:v>
                </c:pt>
                <c:pt idx="77">
                  <c:v>3.812377415311391E-4</c:v>
                </c:pt>
                <c:pt idx="78">
                  <c:v>3.812377415311391E-4</c:v>
                </c:pt>
                <c:pt idx="79">
                  <c:v>3.812377415311391E-4</c:v>
                </c:pt>
                <c:pt idx="80">
                  <c:v>3.812377415311391E-4</c:v>
                </c:pt>
                <c:pt idx="81">
                  <c:v>3.812377415311391E-4</c:v>
                </c:pt>
                <c:pt idx="82">
                  <c:v>3.812377415311391E-4</c:v>
                </c:pt>
                <c:pt idx="83">
                  <c:v>3.812377415311391E-4</c:v>
                </c:pt>
                <c:pt idx="84">
                  <c:v>3.812377415311391E-4</c:v>
                </c:pt>
                <c:pt idx="85">
                  <c:v>3.812377415311391E-4</c:v>
                </c:pt>
                <c:pt idx="86">
                  <c:v>3.812377415311391E-4</c:v>
                </c:pt>
                <c:pt idx="87">
                  <c:v>3.812377415311391E-4</c:v>
                </c:pt>
                <c:pt idx="88">
                  <c:v>3.812377415311391E-4</c:v>
                </c:pt>
                <c:pt idx="89">
                  <c:v>3.812377415311391E-4</c:v>
                </c:pt>
                <c:pt idx="90">
                  <c:v>3.812377415311391E-4</c:v>
                </c:pt>
                <c:pt idx="91">
                  <c:v>3.812377415311391E-4</c:v>
                </c:pt>
                <c:pt idx="92">
                  <c:v>3.812377415311391E-4</c:v>
                </c:pt>
                <c:pt idx="93">
                  <c:v>3.812377415311391E-4</c:v>
                </c:pt>
                <c:pt idx="94">
                  <c:v>3.812377415311391E-4</c:v>
                </c:pt>
                <c:pt idx="95">
                  <c:v>3.812377415311391E-4</c:v>
                </c:pt>
                <c:pt idx="96">
                  <c:v>3.812377415311391E-4</c:v>
                </c:pt>
                <c:pt idx="97">
                  <c:v>3.812377415311391E-4</c:v>
                </c:pt>
                <c:pt idx="98">
                  <c:v>3.812377415311391E-4</c:v>
                </c:pt>
                <c:pt idx="99">
                  <c:v>3.812377415311391E-4</c:v>
                </c:pt>
                <c:pt idx="100">
                  <c:v>3.812377415311391E-4</c:v>
                </c:pt>
                <c:pt idx="101">
                  <c:v>3.812377415311391E-4</c:v>
                </c:pt>
                <c:pt idx="102">
                  <c:v>3.812377415311391E-4</c:v>
                </c:pt>
                <c:pt idx="103">
                  <c:v>3.812377415311391E-4</c:v>
                </c:pt>
                <c:pt idx="104">
                  <c:v>3.812377415311391E-4</c:v>
                </c:pt>
                <c:pt idx="105">
                  <c:v>3.812377415311391E-4</c:v>
                </c:pt>
                <c:pt idx="106">
                  <c:v>3.812377415311391E-4</c:v>
                </c:pt>
                <c:pt idx="107">
                  <c:v>3.812377415311391E-4</c:v>
                </c:pt>
                <c:pt idx="108">
                  <c:v>3.812377415311391E-4</c:v>
                </c:pt>
                <c:pt idx="109">
                  <c:v>3.812377415311391E-4</c:v>
                </c:pt>
                <c:pt idx="110">
                  <c:v>3.812377415311391E-4</c:v>
                </c:pt>
                <c:pt idx="111">
                  <c:v>3.812377415311391E-4</c:v>
                </c:pt>
                <c:pt idx="112">
                  <c:v>3.812377415311391E-4</c:v>
                </c:pt>
                <c:pt idx="113">
                  <c:v>3.812377415311391E-4</c:v>
                </c:pt>
                <c:pt idx="114">
                  <c:v>3.812377415311391E-4</c:v>
                </c:pt>
                <c:pt idx="115">
                  <c:v>3.812377415311391E-4</c:v>
                </c:pt>
                <c:pt idx="116">
                  <c:v>3.812377415311391E-4</c:v>
                </c:pt>
                <c:pt idx="117">
                  <c:v>3.812377415311391E-4</c:v>
                </c:pt>
                <c:pt idx="118">
                  <c:v>3.812377415311391E-4</c:v>
                </c:pt>
                <c:pt idx="119">
                  <c:v>3.812377415311391E-4</c:v>
                </c:pt>
                <c:pt idx="120">
                  <c:v>3.812377415311391E-4</c:v>
                </c:pt>
                <c:pt idx="121">
                  <c:v>3.812377415311391E-4</c:v>
                </c:pt>
                <c:pt idx="122">
                  <c:v>3.812377415311391E-4</c:v>
                </c:pt>
                <c:pt idx="123">
                  <c:v>3.812377415311391E-4</c:v>
                </c:pt>
                <c:pt idx="124">
                  <c:v>3.812377415311391E-4</c:v>
                </c:pt>
                <c:pt idx="125">
                  <c:v>3.812377415311391E-4</c:v>
                </c:pt>
                <c:pt idx="126">
                  <c:v>3.812377415311391E-4</c:v>
                </c:pt>
                <c:pt idx="127">
                  <c:v>3.812377415311391E-4</c:v>
                </c:pt>
                <c:pt idx="128">
                  <c:v>3.812377415311391E-4</c:v>
                </c:pt>
                <c:pt idx="129">
                  <c:v>3.812377415311391E-4</c:v>
                </c:pt>
                <c:pt idx="130">
                  <c:v>3.812377415311391E-4</c:v>
                </c:pt>
                <c:pt idx="131">
                  <c:v>3.812377415311391E-4</c:v>
                </c:pt>
                <c:pt idx="132">
                  <c:v>3.812377415311391E-4</c:v>
                </c:pt>
                <c:pt idx="133">
                  <c:v>3.812377415311391E-4</c:v>
                </c:pt>
                <c:pt idx="134">
                  <c:v>3.812377415311391E-4</c:v>
                </c:pt>
                <c:pt idx="135">
                  <c:v>3.812377415311391E-4</c:v>
                </c:pt>
                <c:pt idx="136">
                  <c:v>3.812377415311391E-4</c:v>
                </c:pt>
                <c:pt idx="137">
                  <c:v>3.812377415311391E-4</c:v>
                </c:pt>
                <c:pt idx="138">
                  <c:v>3.812377415311391E-4</c:v>
                </c:pt>
                <c:pt idx="139">
                  <c:v>3.812377415311391E-4</c:v>
                </c:pt>
                <c:pt idx="140">
                  <c:v>3.812377415311391E-4</c:v>
                </c:pt>
                <c:pt idx="141">
                  <c:v>3.812377415311391E-4</c:v>
                </c:pt>
                <c:pt idx="142">
                  <c:v>3.812377415311391E-4</c:v>
                </c:pt>
                <c:pt idx="143">
                  <c:v>3.812377415311391E-4</c:v>
                </c:pt>
                <c:pt idx="144">
                  <c:v>3.812377415311391E-4</c:v>
                </c:pt>
                <c:pt idx="145">
                  <c:v>3.812377415311391E-4</c:v>
                </c:pt>
                <c:pt idx="146">
                  <c:v>3.812377415311391E-4</c:v>
                </c:pt>
                <c:pt idx="147">
                  <c:v>3.812377415311391E-4</c:v>
                </c:pt>
                <c:pt idx="148">
                  <c:v>3.812377415311391E-4</c:v>
                </c:pt>
                <c:pt idx="149">
                  <c:v>3.812377415311391E-4</c:v>
                </c:pt>
                <c:pt idx="150">
                  <c:v>3.812377415311391E-4</c:v>
                </c:pt>
                <c:pt idx="151">
                  <c:v>3.812377415311391E-4</c:v>
                </c:pt>
                <c:pt idx="152">
                  <c:v>3.812377415311391E-4</c:v>
                </c:pt>
                <c:pt idx="153">
                  <c:v>3.812377415311391E-4</c:v>
                </c:pt>
                <c:pt idx="154">
                  <c:v>3.812377415311391E-4</c:v>
                </c:pt>
                <c:pt idx="155">
                  <c:v>3.812377415311391E-4</c:v>
                </c:pt>
                <c:pt idx="156">
                  <c:v>3.812377415311391E-4</c:v>
                </c:pt>
                <c:pt idx="157">
                  <c:v>3.812377415311391E-4</c:v>
                </c:pt>
                <c:pt idx="158">
                  <c:v>3.812377415311391E-4</c:v>
                </c:pt>
                <c:pt idx="159">
                  <c:v>3.812377415311391E-4</c:v>
                </c:pt>
                <c:pt idx="160">
                  <c:v>3.812377415311391E-4</c:v>
                </c:pt>
                <c:pt idx="161">
                  <c:v>3.812377415311391E-4</c:v>
                </c:pt>
                <c:pt idx="162">
                  <c:v>3.812377415311391E-4</c:v>
                </c:pt>
                <c:pt idx="163">
                  <c:v>3.812377415311391E-4</c:v>
                </c:pt>
                <c:pt idx="164">
                  <c:v>3.812377415311391E-4</c:v>
                </c:pt>
                <c:pt idx="165">
                  <c:v>3.812377415311391E-4</c:v>
                </c:pt>
                <c:pt idx="166">
                  <c:v>3.812377415311391E-4</c:v>
                </c:pt>
                <c:pt idx="167">
                  <c:v>3.812377415311391E-4</c:v>
                </c:pt>
                <c:pt idx="168">
                  <c:v>3.812377415311391E-4</c:v>
                </c:pt>
                <c:pt idx="169">
                  <c:v>3.812377415311391E-4</c:v>
                </c:pt>
                <c:pt idx="170">
                  <c:v>3.812377415311391E-4</c:v>
                </c:pt>
                <c:pt idx="171">
                  <c:v>3.812377415311391E-4</c:v>
                </c:pt>
                <c:pt idx="172">
                  <c:v>3.812377415311391E-4</c:v>
                </c:pt>
                <c:pt idx="173">
                  <c:v>3.812377415311391E-4</c:v>
                </c:pt>
                <c:pt idx="174">
                  <c:v>3.812377415311391E-4</c:v>
                </c:pt>
                <c:pt idx="175">
                  <c:v>3.812377415311391E-4</c:v>
                </c:pt>
                <c:pt idx="176">
                  <c:v>3.812377415311391E-4</c:v>
                </c:pt>
                <c:pt idx="177">
                  <c:v>3.812377415311391E-4</c:v>
                </c:pt>
                <c:pt idx="178">
                  <c:v>3.812377415311391E-4</c:v>
                </c:pt>
                <c:pt idx="179">
                  <c:v>3.812377415311391E-4</c:v>
                </c:pt>
                <c:pt idx="180">
                  <c:v>3.812377415311391E-4</c:v>
                </c:pt>
                <c:pt idx="181">
                  <c:v>3.812377415311391E-4</c:v>
                </c:pt>
                <c:pt idx="182">
                  <c:v>3.812377415311391E-4</c:v>
                </c:pt>
                <c:pt idx="183">
                  <c:v>3.812377415311391E-4</c:v>
                </c:pt>
                <c:pt idx="184">
                  <c:v>3.812377415311391E-4</c:v>
                </c:pt>
                <c:pt idx="185">
                  <c:v>3.812377415311391E-4</c:v>
                </c:pt>
                <c:pt idx="186">
                  <c:v>3.812377415311391E-4</c:v>
                </c:pt>
                <c:pt idx="187">
                  <c:v>3.812377415311391E-4</c:v>
                </c:pt>
                <c:pt idx="188">
                  <c:v>3.812377415311391E-4</c:v>
                </c:pt>
                <c:pt idx="189">
                  <c:v>3.812377415311391E-4</c:v>
                </c:pt>
                <c:pt idx="190">
                  <c:v>3.812377415311391E-4</c:v>
                </c:pt>
                <c:pt idx="191">
                  <c:v>3.812377415311391E-4</c:v>
                </c:pt>
                <c:pt idx="192">
                  <c:v>3.812377415311391E-4</c:v>
                </c:pt>
                <c:pt idx="193">
                  <c:v>3.812377415311391E-4</c:v>
                </c:pt>
                <c:pt idx="194">
                  <c:v>3.812377415311391E-4</c:v>
                </c:pt>
                <c:pt idx="195">
                  <c:v>3.812377415311391E-4</c:v>
                </c:pt>
                <c:pt idx="196">
                  <c:v>3.812377415311391E-4</c:v>
                </c:pt>
                <c:pt idx="197">
                  <c:v>3.812377415311391E-4</c:v>
                </c:pt>
                <c:pt idx="198">
                  <c:v>3.812377415311391E-4</c:v>
                </c:pt>
                <c:pt idx="199">
                  <c:v>3.812377415311391E-4</c:v>
                </c:pt>
                <c:pt idx="200">
                  <c:v>3.812377415311391E-4</c:v>
                </c:pt>
                <c:pt idx="201">
                  <c:v>3.812377415311391E-4</c:v>
                </c:pt>
                <c:pt idx="202">
                  <c:v>3.812377415311391E-4</c:v>
                </c:pt>
                <c:pt idx="203">
                  <c:v>3.812377415311391E-4</c:v>
                </c:pt>
                <c:pt idx="204">
                  <c:v>3.812377415311391E-4</c:v>
                </c:pt>
                <c:pt idx="205">
                  <c:v>3.812377415311391E-4</c:v>
                </c:pt>
                <c:pt idx="206">
                  <c:v>3.812377415311391E-4</c:v>
                </c:pt>
                <c:pt idx="207">
                  <c:v>3.812377415311391E-4</c:v>
                </c:pt>
                <c:pt idx="208">
                  <c:v>3.812377415311391E-4</c:v>
                </c:pt>
                <c:pt idx="209">
                  <c:v>3.812377415311391E-4</c:v>
                </c:pt>
                <c:pt idx="210">
                  <c:v>3.812377415311391E-4</c:v>
                </c:pt>
                <c:pt idx="211">
                  <c:v>3.812377415311391E-4</c:v>
                </c:pt>
                <c:pt idx="212">
                  <c:v>3.812377415311391E-4</c:v>
                </c:pt>
                <c:pt idx="213">
                  <c:v>3.812377415311391E-4</c:v>
                </c:pt>
                <c:pt idx="214">
                  <c:v>3.812377415311391E-4</c:v>
                </c:pt>
                <c:pt idx="215">
                  <c:v>3.812377415311391E-4</c:v>
                </c:pt>
                <c:pt idx="216">
                  <c:v>3.812377415311391E-4</c:v>
                </c:pt>
                <c:pt idx="217">
                  <c:v>3.812377415311391E-4</c:v>
                </c:pt>
                <c:pt idx="218">
                  <c:v>3.812377415311391E-4</c:v>
                </c:pt>
                <c:pt idx="219">
                  <c:v>3.812377415311391E-4</c:v>
                </c:pt>
                <c:pt idx="220">
                  <c:v>3.812377415311391E-4</c:v>
                </c:pt>
                <c:pt idx="221">
                  <c:v>3.812377415311391E-4</c:v>
                </c:pt>
                <c:pt idx="222">
                  <c:v>3.812377415311391E-4</c:v>
                </c:pt>
                <c:pt idx="223">
                  <c:v>3.812377415311391E-4</c:v>
                </c:pt>
                <c:pt idx="224">
                  <c:v>3.812377415311391E-4</c:v>
                </c:pt>
                <c:pt idx="225">
                  <c:v>3.812377415311391E-4</c:v>
                </c:pt>
                <c:pt idx="226">
                  <c:v>3.812377415311391E-4</c:v>
                </c:pt>
                <c:pt idx="227">
                  <c:v>3.812377415311391E-4</c:v>
                </c:pt>
                <c:pt idx="228">
                  <c:v>3.812377415311391E-4</c:v>
                </c:pt>
                <c:pt idx="229">
                  <c:v>3.812377415311391E-4</c:v>
                </c:pt>
                <c:pt idx="230">
                  <c:v>3.812377415311391E-4</c:v>
                </c:pt>
                <c:pt idx="231">
                  <c:v>3.812377415311391E-4</c:v>
                </c:pt>
                <c:pt idx="232">
                  <c:v>3.812377415311391E-4</c:v>
                </c:pt>
                <c:pt idx="233">
                  <c:v>3.812377415311391E-4</c:v>
                </c:pt>
                <c:pt idx="234">
                  <c:v>3.812377415311391E-4</c:v>
                </c:pt>
                <c:pt idx="235">
                  <c:v>3.812377415311391E-4</c:v>
                </c:pt>
                <c:pt idx="236">
                  <c:v>3.812377415311391E-4</c:v>
                </c:pt>
                <c:pt idx="237">
                  <c:v>3.812377415311391E-4</c:v>
                </c:pt>
                <c:pt idx="238">
                  <c:v>3.812377415311391E-4</c:v>
                </c:pt>
                <c:pt idx="239">
                  <c:v>3.812377415311391E-4</c:v>
                </c:pt>
                <c:pt idx="240">
                  <c:v>3.812377415311391E-4</c:v>
                </c:pt>
                <c:pt idx="241">
                  <c:v>3.812377415311391E-4</c:v>
                </c:pt>
                <c:pt idx="242">
                  <c:v>3.812377415311391E-4</c:v>
                </c:pt>
                <c:pt idx="243">
                  <c:v>3.812377415311391E-4</c:v>
                </c:pt>
                <c:pt idx="244">
                  <c:v>3.812377415311391E-4</c:v>
                </c:pt>
                <c:pt idx="245">
                  <c:v>3.812377415311391E-4</c:v>
                </c:pt>
                <c:pt idx="246">
                  <c:v>3.812377415311391E-4</c:v>
                </c:pt>
                <c:pt idx="247">
                  <c:v>3.812377415311391E-4</c:v>
                </c:pt>
                <c:pt idx="248">
                  <c:v>3.812377415311391E-4</c:v>
                </c:pt>
                <c:pt idx="249">
                  <c:v>3.812377415311391E-4</c:v>
                </c:pt>
                <c:pt idx="250">
                  <c:v>3.812377415311391E-4</c:v>
                </c:pt>
                <c:pt idx="251">
                  <c:v>3.812377415311391E-4</c:v>
                </c:pt>
                <c:pt idx="252">
                  <c:v>3.812377415311391E-4</c:v>
                </c:pt>
                <c:pt idx="253">
                  <c:v>3.812377415311391E-4</c:v>
                </c:pt>
                <c:pt idx="254">
                  <c:v>3.812377415311391E-4</c:v>
                </c:pt>
                <c:pt idx="255">
                  <c:v>3.812377415311391E-4</c:v>
                </c:pt>
                <c:pt idx="256">
                  <c:v>3.812377415311391E-4</c:v>
                </c:pt>
                <c:pt idx="257">
                  <c:v>3.812377415311391E-4</c:v>
                </c:pt>
                <c:pt idx="258">
                  <c:v>3.812377415311391E-4</c:v>
                </c:pt>
                <c:pt idx="259">
                  <c:v>3.812377415311391E-4</c:v>
                </c:pt>
                <c:pt idx="260">
                  <c:v>3.812377415311391E-4</c:v>
                </c:pt>
                <c:pt idx="261">
                  <c:v>3.812377415311391E-4</c:v>
                </c:pt>
                <c:pt idx="262">
                  <c:v>3.812377415311391E-4</c:v>
                </c:pt>
                <c:pt idx="263">
                  <c:v>3.812377415311391E-4</c:v>
                </c:pt>
                <c:pt idx="264">
                  <c:v>3.812377415311391E-4</c:v>
                </c:pt>
                <c:pt idx="265">
                  <c:v>3.812377415311391E-4</c:v>
                </c:pt>
                <c:pt idx="266">
                  <c:v>3.812377415311391E-4</c:v>
                </c:pt>
                <c:pt idx="267">
                  <c:v>3.812377415311391E-4</c:v>
                </c:pt>
                <c:pt idx="268">
                  <c:v>3.812377415311391E-4</c:v>
                </c:pt>
                <c:pt idx="269">
                  <c:v>3.812377415311391E-4</c:v>
                </c:pt>
                <c:pt idx="270">
                  <c:v>3.812377415311391E-4</c:v>
                </c:pt>
                <c:pt idx="271">
                  <c:v>3.812377415311391E-4</c:v>
                </c:pt>
                <c:pt idx="272">
                  <c:v>3.812377415311391E-4</c:v>
                </c:pt>
                <c:pt idx="273">
                  <c:v>3.812377415311391E-4</c:v>
                </c:pt>
                <c:pt idx="274">
                  <c:v>3.812377415311391E-4</c:v>
                </c:pt>
                <c:pt idx="275">
                  <c:v>3.812377415311391E-4</c:v>
                </c:pt>
                <c:pt idx="276">
                  <c:v>3.812377415311391E-4</c:v>
                </c:pt>
                <c:pt idx="277">
                  <c:v>3.812377415311391E-4</c:v>
                </c:pt>
                <c:pt idx="278">
                  <c:v>3.812377415311391E-4</c:v>
                </c:pt>
                <c:pt idx="279">
                  <c:v>3.812377415311391E-4</c:v>
                </c:pt>
                <c:pt idx="280">
                  <c:v>3.812377415311391E-4</c:v>
                </c:pt>
                <c:pt idx="281">
                  <c:v>3.812377415311391E-4</c:v>
                </c:pt>
                <c:pt idx="282">
                  <c:v>3.812377415311391E-4</c:v>
                </c:pt>
                <c:pt idx="283">
                  <c:v>3.812377415311391E-4</c:v>
                </c:pt>
                <c:pt idx="284">
                  <c:v>3.812377415311391E-4</c:v>
                </c:pt>
                <c:pt idx="285">
                  <c:v>3.812377415311391E-4</c:v>
                </c:pt>
                <c:pt idx="286">
                  <c:v>3.812377415311391E-4</c:v>
                </c:pt>
                <c:pt idx="287">
                  <c:v>3.812377415311391E-4</c:v>
                </c:pt>
                <c:pt idx="288">
                  <c:v>3.812377415311391E-4</c:v>
                </c:pt>
                <c:pt idx="289">
                  <c:v>3.812377415311391E-4</c:v>
                </c:pt>
                <c:pt idx="290">
                  <c:v>3.812377415311391E-4</c:v>
                </c:pt>
                <c:pt idx="291">
                  <c:v>3.812377415311391E-4</c:v>
                </c:pt>
                <c:pt idx="292">
                  <c:v>3.812377415311391E-4</c:v>
                </c:pt>
                <c:pt idx="293">
                  <c:v>3.812377415311391E-4</c:v>
                </c:pt>
                <c:pt idx="294">
                  <c:v>3.812377415311391E-4</c:v>
                </c:pt>
                <c:pt idx="295">
                  <c:v>3.812377415311391E-4</c:v>
                </c:pt>
                <c:pt idx="296">
                  <c:v>3.812377415311391E-4</c:v>
                </c:pt>
                <c:pt idx="297">
                  <c:v>3.812377415311391E-4</c:v>
                </c:pt>
                <c:pt idx="298">
                  <c:v>3.812377415311391E-4</c:v>
                </c:pt>
                <c:pt idx="299">
                  <c:v>3.812377415311391E-4</c:v>
                </c:pt>
                <c:pt idx="300">
                  <c:v>3.812377415311391E-4</c:v>
                </c:pt>
                <c:pt idx="301">
                  <c:v>3.812377415311391E-4</c:v>
                </c:pt>
                <c:pt idx="302">
                  <c:v>3.812377415311391E-4</c:v>
                </c:pt>
                <c:pt idx="303">
                  <c:v>3.812377415311391E-4</c:v>
                </c:pt>
                <c:pt idx="304">
                  <c:v>3.812377415311391E-4</c:v>
                </c:pt>
                <c:pt idx="305">
                  <c:v>3.812377415311391E-4</c:v>
                </c:pt>
                <c:pt idx="306">
                  <c:v>3.812377415311391E-4</c:v>
                </c:pt>
                <c:pt idx="307">
                  <c:v>3.812377415311391E-4</c:v>
                </c:pt>
                <c:pt idx="308">
                  <c:v>3.812377415311391E-4</c:v>
                </c:pt>
                <c:pt idx="309">
                  <c:v>3.812377415311391E-4</c:v>
                </c:pt>
                <c:pt idx="310">
                  <c:v>3.812377415311391E-4</c:v>
                </c:pt>
                <c:pt idx="311">
                  <c:v>3.812377415311391E-4</c:v>
                </c:pt>
                <c:pt idx="312">
                  <c:v>3.812377415311391E-4</c:v>
                </c:pt>
                <c:pt idx="313">
                  <c:v>3.812377415311391E-4</c:v>
                </c:pt>
                <c:pt idx="314">
                  <c:v>3.812377415311391E-4</c:v>
                </c:pt>
                <c:pt idx="315">
                  <c:v>3.812377415311391E-4</c:v>
                </c:pt>
                <c:pt idx="316">
                  <c:v>3.812377415311391E-4</c:v>
                </c:pt>
                <c:pt idx="317">
                  <c:v>3.812377415311391E-4</c:v>
                </c:pt>
                <c:pt idx="318">
                  <c:v>3.812377415311391E-4</c:v>
                </c:pt>
                <c:pt idx="319">
                  <c:v>3.812377415311391E-4</c:v>
                </c:pt>
                <c:pt idx="320">
                  <c:v>3.812377415311391E-4</c:v>
                </c:pt>
                <c:pt idx="321">
                  <c:v>3.812377415311391E-4</c:v>
                </c:pt>
                <c:pt idx="322">
                  <c:v>3.812377415311391E-4</c:v>
                </c:pt>
                <c:pt idx="323">
                  <c:v>3.812377415311391E-4</c:v>
                </c:pt>
                <c:pt idx="324">
                  <c:v>3.812377415311391E-4</c:v>
                </c:pt>
                <c:pt idx="325">
                  <c:v>3.812377415311391E-4</c:v>
                </c:pt>
                <c:pt idx="326">
                  <c:v>3.812377415311391E-4</c:v>
                </c:pt>
                <c:pt idx="327">
                  <c:v>3.812377415311391E-4</c:v>
                </c:pt>
                <c:pt idx="328">
                  <c:v>3.812377415311391E-4</c:v>
                </c:pt>
                <c:pt idx="329">
                  <c:v>3.812377415311391E-4</c:v>
                </c:pt>
                <c:pt idx="330">
                  <c:v>3.812377415311391E-4</c:v>
                </c:pt>
                <c:pt idx="331">
                  <c:v>3.812377415311391E-4</c:v>
                </c:pt>
                <c:pt idx="332">
                  <c:v>3.812377415311391E-4</c:v>
                </c:pt>
                <c:pt idx="333">
                  <c:v>3.812377415311391E-4</c:v>
                </c:pt>
                <c:pt idx="334">
                  <c:v>3.812377415311391E-4</c:v>
                </c:pt>
                <c:pt idx="335">
                  <c:v>3.812377415311391E-4</c:v>
                </c:pt>
                <c:pt idx="336">
                  <c:v>3.812377415311391E-4</c:v>
                </c:pt>
                <c:pt idx="337">
                  <c:v>3.812377415311391E-4</c:v>
                </c:pt>
                <c:pt idx="338">
                  <c:v>3.812377415311391E-4</c:v>
                </c:pt>
                <c:pt idx="339">
                  <c:v>3.812377415311391E-4</c:v>
                </c:pt>
                <c:pt idx="340">
                  <c:v>3.812377415311391E-4</c:v>
                </c:pt>
                <c:pt idx="341">
                  <c:v>3.812377415311391E-4</c:v>
                </c:pt>
                <c:pt idx="342">
                  <c:v>3.812377415311391E-4</c:v>
                </c:pt>
                <c:pt idx="343">
                  <c:v>3.812377415311391E-4</c:v>
                </c:pt>
                <c:pt idx="344">
                  <c:v>3.812377415311391E-4</c:v>
                </c:pt>
                <c:pt idx="345">
                  <c:v>3.812377415311391E-4</c:v>
                </c:pt>
                <c:pt idx="346">
                  <c:v>3.812377415311391E-4</c:v>
                </c:pt>
                <c:pt idx="347">
                  <c:v>3.812377415311391E-4</c:v>
                </c:pt>
                <c:pt idx="348">
                  <c:v>3.812377415311391E-4</c:v>
                </c:pt>
                <c:pt idx="349">
                  <c:v>3.812377415311391E-4</c:v>
                </c:pt>
                <c:pt idx="350">
                  <c:v>3.812377415311391E-4</c:v>
                </c:pt>
                <c:pt idx="351">
                  <c:v>3.812377415311391E-4</c:v>
                </c:pt>
                <c:pt idx="352">
                  <c:v>3.812377415311391E-4</c:v>
                </c:pt>
                <c:pt idx="353">
                  <c:v>3.812377415311391E-4</c:v>
                </c:pt>
                <c:pt idx="354">
                  <c:v>3.812377415311391E-4</c:v>
                </c:pt>
                <c:pt idx="355">
                  <c:v>3.812377415311391E-4</c:v>
                </c:pt>
                <c:pt idx="356">
                  <c:v>3.812377415311391E-4</c:v>
                </c:pt>
                <c:pt idx="357">
                  <c:v>3.812377415311391E-4</c:v>
                </c:pt>
                <c:pt idx="358">
                  <c:v>3.812377415311391E-4</c:v>
                </c:pt>
                <c:pt idx="359">
                  <c:v>3.812377415311391E-4</c:v>
                </c:pt>
                <c:pt idx="360">
                  <c:v>3.812377415311391E-4</c:v>
                </c:pt>
                <c:pt idx="361">
                  <c:v>3.812377415311391E-4</c:v>
                </c:pt>
                <c:pt idx="362">
                  <c:v>3.812377415311391E-4</c:v>
                </c:pt>
                <c:pt idx="363">
                  <c:v>3.812377415311391E-4</c:v>
                </c:pt>
                <c:pt idx="364">
                  <c:v>3.812377415311391E-4</c:v>
                </c:pt>
                <c:pt idx="365">
                  <c:v>3.812377415311391E-4</c:v>
                </c:pt>
                <c:pt idx="366">
                  <c:v>3.812377415311391E-4</c:v>
                </c:pt>
                <c:pt idx="367">
                  <c:v>3.812377415311391E-4</c:v>
                </c:pt>
                <c:pt idx="368">
                  <c:v>3.812377415311391E-4</c:v>
                </c:pt>
                <c:pt idx="369">
                  <c:v>3.812377415311391E-4</c:v>
                </c:pt>
                <c:pt idx="370">
                  <c:v>3.812377415311391E-4</c:v>
                </c:pt>
                <c:pt idx="371">
                  <c:v>3.812377415311391E-4</c:v>
                </c:pt>
                <c:pt idx="372">
                  <c:v>3.812377415311391E-4</c:v>
                </c:pt>
                <c:pt idx="373">
                  <c:v>3.812377415311391E-4</c:v>
                </c:pt>
                <c:pt idx="374">
                  <c:v>3.812377415311391E-4</c:v>
                </c:pt>
                <c:pt idx="375">
                  <c:v>3.812377415311391E-4</c:v>
                </c:pt>
                <c:pt idx="376">
                  <c:v>3.812377415311391E-4</c:v>
                </c:pt>
                <c:pt idx="377">
                  <c:v>3.812377415311391E-4</c:v>
                </c:pt>
                <c:pt idx="378">
                  <c:v>3.812377415311391E-4</c:v>
                </c:pt>
                <c:pt idx="379">
                  <c:v>3.812377415311391E-4</c:v>
                </c:pt>
                <c:pt idx="380">
                  <c:v>3.812377415311391E-4</c:v>
                </c:pt>
                <c:pt idx="381">
                  <c:v>3.812377415311391E-4</c:v>
                </c:pt>
                <c:pt idx="382">
                  <c:v>3.812377415311391E-4</c:v>
                </c:pt>
                <c:pt idx="383">
                  <c:v>3.812377415311391E-4</c:v>
                </c:pt>
                <c:pt idx="384">
                  <c:v>3.812377415311391E-4</c:v>
                </c:pt>
                <c:pt idx="385">
                  <c:v>3.812377415311391E-4</c:v>
                </c:pt>
                <c:pt idx="386">
                  <c:v>3.812377415311391E-4</c:v>
                </c:pt>
                <c:pt idx="387">
                  <c:v>3.812377415311391E-4</c:v>
                </c:pt>
                <c:pt idx="388">
                  <c:v>3.812377415311391E-4</c:v>
                </c:pt>
                <c:pt idx="389">
                  <c:v>3.812377415311391E-4</c:v>
                </c:pt>
                <c:pt idx="390">
                  <c:v>3.812377415311391E-4</c:v>
                </c:pt>
                <c:pt idx="391">
                  <c:v>3.812377415311391E-4</c:v>
                </c:pt>
                <c:pt idx="392">
                  <c:v>3.812377415311391E-4</c:v>
                </c:pt>
                <c:pt idx="393">
                  <c:v>3.812377415311391E-4</c:v>
                </c:pt>
                <c:pt idx="394">
                  <c:v>3.812377415311391E-4</c:v>
                </c:pt>
                <c:pt idx="395">
                  <c:v>3.812377415311391E-4</c:v>
                </c:pt>
                <c:pt idx="396">
                  <c:v>3.812377415311391E-4</c:v>
                </c:pt>
                <c:pt idx="397">
                  <c:v>3.812377415311391E-4</c:v>
                </c:pt>
                <c:pt idx="398">
                  <c:v>3.812377415311391E-4</c:v>
                </c:pt>
                <c:pt idx="399">
                  <c:v>3.812377415311391E-4</c:v>
                </c:pt>
                <c:pt idx="400">
                  <c:v>3.812377415311391E-4</c:v>
                </c:pt>
                <c:pt idx="401">
                  <c:v>3.812377415311391E-4</c:v>
                </c:pt>
                <c:pt idx="402">
                  <c:v>3.812377415311391E-4</c:v>
                </c:pt>
                <c:pt idx="403">
                  <c:v>3.812377415311391E-4</c:v>
                </c:pt>
                <c:pt idx="404">
                  <c:v>3.812377415311391E-4</c:v>
                </c:pt>
                <c:pt idx="405">
                  <c:v>3.812377415311391E-4</c:v>
                </c:pt>
                <c:pt idx="406">
                  <c:v>3.812377415311391E-4</c:v>
                </c:pt>
                <c:pt idx="407">
                  <c:v>3.812377415311391E-4</c:v>
                </c:pt>
                <c:pt idx="408">
                  <c:v>3.812377415311391E-4</c:v>
                </c:pt>
                <c:pt idx="409">
                  <c:v>3.812377415311391E-4</c:v>
                </c:pt>
                <c:pt idx="410">
                  <c:v>3.812377415311391E-4</c:v>
                </c:pt>
                <c:pt idx="411">
                  <c:v>3.812377415311391E-4</c:v>
                </c:pt>
                <c:pt idx="412">
                  <c:v>3.812377415311391E-4</c:v>
                </c:pt>
                <c:pt idx="413">
                  <c:v>3.812377415311391E-4</c:v>
                </c:pt>
                <c:pt idx="414">
                  <c:v>3.812377415311391E-4</c:v>
                </c:pt>
                <c:pt idx="415">
                  <c:v>3.812377415311391E-4</c:v>
                </c:pt>
                <c:pt idx="416">
                  <c:v>3.812377415311391E-4</c:v>
                </c:pt>
                <c:pt idx="417">
                  <c:v>3.812377415311391E-4</c:v>
                </c:pt>
                <c:pt idx="418">
                  <c:v>3.812377415311391E-4</c:v>
                </c:pt>
                <c:pt idx="419">
                  <c:v>3.812377415311391E-4</c:v>
                </c:pt>
                <c:pt idx="420">
                  <c:v>3.812377415311391E-4</c:v>
                </c:pt>
                <c:pt idx="421">
                  <c:v>3.812377415311391E-4</c:v>
                </c:pt>
                <c:pt idx="422">
                  <c:v>3.812377415311391E-4</c:v>
                </c:pt>
                <c:pt idx="423">
                  <c:v>3.812377415311391E-4</c:v>
                </c:pt>
                <c:pt idx="424">
                  <c:v>3.812377415311391E-4</c:v>
                </c:pt>
                <c:pt idx="425">
                  <c:v>3.812377415311391E-4</c:v>
                </c:pt>
                <c:pt idx="426">
                  <c:v>3.812377415311391E-4</c:v>
                </c:pt>
                <c:pt idx="427">
                  <c:v>3.812377415311391E-4</c:v>
                </c:pt>
                <c:pt idx="428">
                  <c:v>3.812377415311391E-4</c:v>
                </c:pt>
                <c:pt idx="429">
                  <c:v>3.812377415311391E-4</c:v>
                </c:pt>
                <c:pt idx="430">
                  <c:v>3.812377415311391E-4</c:v>
                </c:pt>
                <c:pt idx="431">
                  <c:v>3.812377415311391E-4</c:v>
                </c:pt>
                <c:pt idx="432">
                  <c:v>3.812377415311391E-4</c:v>
                </c:pt>
                <c:pt idx="433">
                  <c:v>3.812377415311391E-4</c:v>
                </c:pt>
                <c:pt idx="434">
                  <c:v>3.812377415311391E-4</c:v>
                </c:pt>
                <c:pt idx="435">
                  <c:v>3.812377415311391E-4</c:v>
                </c:pt>
                <c:pt idx="436">
                  <c:v>3.812377415311391E-4</c:v>
                </c:pt>
                <c:pt idx="437">
                  <c:v>3.812377415311391E-4</c:v>
                </c:pt>
                <c:pt idx="438">
                  <c:v>3.812377415311391E-4</c:v>
                </c:pt>
                <c:pt idx="439">
                  <c:v>3.812377415311391E-4</c:v>
                </c:pt>
                <c:pt idx="440">
                  <c:v>3.812377415311391E-4</c:v>
                </c:pt>
                <c:pt idx="441">
                  <c:v>3.812377415311391E-4</c:v>
                </c:pt>
                <c:pt idx="442">
                  <c:v>3.812377415311391E-4</c:v>
                </c:pt>
                <c:pt idx="443">
                  <c:v>3.812377415311391E-4</c:v>
                </c:pt>
                <c:pt idx="444">
                  <c:v>3.812377415311391E-4</c:v>
                </c:pt>
                <c:pt idx="445">
                  <c:v>3.812377415311391E-4</c:v>
                </c:pt>
                <c:pt idx="446">
                  <c:v>3.812377415311391E-4</c:v>
                </c:pt>
                <c:pt idx="447">
                  <c:v>3.812377415311391E-4</c:v>
                </c:pt>
                <c:pt idx="448">
                  <c:v>3.812377415311391E-4</c:v>
                </c:pt>
                <c:pt idx="449">
                  <c:v>3.812377415311391E-4</c:v>
                </c:pt>
                <c:pt idx="450">
                  <c:v>3.812377415311391E-4</c:v>
                </c:pt>
                <c:pt idx="451">
                  <c:v>3.812377415311391E-4</c:v>
                </c:pt>
                <c:pt idx="452">
                  <c:v>3.812377415311391E-4</c:v>
                </c:pt>
                <c:pt idx="453">
                  <c:v>3.812377415311391E-4</c:v>
                </c:pt>
                <c:pt idx="454">
                  <c:v>3.812377415311391E-4</c:v>
                </c:pt>
                <c:pt idx="455">
                  <c:v>3.812377415311391E-4</c:v>
                </c:pt>
                <c:pt idx="456">
                  <c:v>3.812377415311391E-4</c:v>
                </c:pt>
                <c:pt idx="457">
                  <c:v>3.812377415311391E-4</c:v>
                </c:pt>
                <c:pt idx="458">
                  <c:v>3.812377415311391E-4</c:v>
                </c:pt>
                <c:pt idx="459">
                  <c:v>0.47503526323513973</c:v>
                </c:pt>
              </c:numCache>
            </c:numRef>
          </c:xVal>
          <c:yVal>
            <c:numRef>
              <c:f>Messdaten!$L$15:$L$2656</c:f>
              <c:numCache>
                <c:formatCode>0.000</c:formatCode>
                <c:ptCount val="26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D1-4545-A268-AF9D99BD7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847744"/>
        <c:axId val="98849536"/>
      </c:scatterChart>
      <c:valAx>
        <c:axId val="9791385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 sz="1800" b="1" i="0" u="none" strike="noStrike" baseline="0">
                    <a:solidFill>
                      <a:srgbClr val="000000"/>
                    </a:solidFill>
                    <a:latin typeface="Symbol"/>
                  </a:rPr>
                  <a:t>e</a:t>
                </a:r>
                <a:r>
                  <a:rPr lang="de-DE" sz="1800" b="1" i="0" u="none" strike="noStrike" baseline="-25000">
                    <a:solidFill>
                      <a:srgbClr val="000000"/>
                    </a:solidFill>
                    <a:latin typeface="Frutiger 45 Light"/>
                  </a:rPr>
                  <a:t>plast</a:t>
                </a:r>
                <a:r>
                  <a:rPr lang="de-DE" sz="1800" b="1" i="0" u="none" strike="noStrike" baseline="0">
                    <a:solidFill>
                      <a:srgbClr val="000000"/>
                    </a:solidFill>
                    <a:latin typeface="Frutiger 45 Light"/>
                  </a:rPr>
                  <a:t> [-]</a:t>
                </a:r>
                <a:endParaRPr lang="de-DE" baseline="0"/>
              </a:p>
            </c:rich>
          </c:tx>
          <c:layout>
            <c:manualLayout>
              <c:xMode val="edge"/>
              <c:yMode val="edge"/>
              <c:x val="0.48082463591743968"/>
              <c:y val="0.9124317938863030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8845824"/>
        <c:crosses val="autoZero"/>
        <c:crossBetween val="midCat"/>
      </c:valAx>
      <c:valAx>
        <c:axId val="988458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 sz="1800" b="1" i="0" u="none" strike="noStrike" baseline="0">
                    <a:solidFill>
                      <a:srgbClr val="000000"/>
                    </a:solidFill>
                    <a:latin typeface="Symbol"/>
                  </a:rPr>
                  <a:t>s </a:t>
                </a:r>
                <a:r>
                  <a:rPr lang="de-DE" sz="1800" b="1" i="0" u="none" strike="noStrike" baseline="0">
                    <a:solidFill>
                      <a:srgbClr val="000000"/>
                    </a:solidFill>
                    <a:latin typeface="Frutiger FhG Light"/>
                  </a:rPr>
                  <a:t>[MPa]</a:t>
                </a:r>
                <a:endParaRPr lang="de-DE"/>
              </a:p>
            </c:rich>
          </c:tx>
          <c:layout>
            <c:manualLayout>
              <c:xMode val="edge"/>
              <c:yMode val="edge"/>
              <c:x val="2.3608736325158527E-2"/>
              <c:y val="0.3757071827822910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7913856"/>
        <c:crosses val="autoZero"/>
        <c:crossBetween val="midCat"/>
      </c:valAx>
      <c:valAx>
        <c:axId val="9884774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98849536"/>
        <c:crosses val="autoZero"/>
        <c:crossBetween val="midCat"/>
      </c:valAx>
      <c:valAx>
        <c:axId val="98849536"/>
        <c:scaling>
          <c:orientation val="minMax"/>
          <c:max val="1.6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DE" sz="1800" b="1"/>
                  <a:t>r</a:t>
                </a:r>
              </a:p>
            </c:rich>
          </c:tx>
          <c:overlay val="0"/>
        </c:title>
        <c:numFmt formatCode="0.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8847744"/>
        <c:crosses val="max"/>
        <c:crossBetween val="midCat"/>
        <c:minorUnit val="5.000000000000001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586819687457186"/>
          <c:y val="0.72421578047593493"/>
          <c:w val="0.12002084693353965"/>
          <c:h val="7.5604194483613482E-2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47557290807379"/>
          <c:y val="4.3792960927308257E-2"/>
          <c:w val="0.80812879966258044"/>
          <c:h val="0.7909626339673651"/>
        </c:manualLayout>
      </c:layout>
      <c:scatterChart>
        <c:scatterStyle val="lineMarker"/>
        <c:varyColors val="0"/>
        <c:ser>
          <c:idx val="1"/>
          <c:order val="0"/>
          <c:tx>
            <c:v>r-value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Messdaten!$N$15:$N$2656</c:f>
              <c:numCache>
                <c:formatCode>0.000</c:formatCode>
                <c:ptCount val="2642"/>
                <c:pt idx="0">
                  <c:v>1.0419298513089797E-3</c:v>
                </c:pt>
                <c:pt idx="1">
                  <c:v>1.0419298513089797E-3</c:v>
                </c:pt>
                <c:pt idx="2">
                  <c:v>1.0419298513089797E-3</c:v>
                </c:pt>
                <c:pt idx="3">
                  <c:v>1.0419298513089797E-3</c:v>
                </c:pt>
                <c:pt idx="4">
                  <c:v>1.0419298513089797E-3</c:v>
                </c:pt>
                <c:pt idx="5">
                  <c:v>1.0419298513089797E-3</c:v>
                </c:pt>
                <c:pt idx="6">
                  <c:v>1.0419298513089797E-3</c:v>
                </c:pt>
                <c:pt idx="7">
                  <c:v>1.0419298513089797E-3</c:v>
                </c:pt>
                <c:pt idx="8">
                  <c:v>1.0419298513089797E-3</c:v>
                </c:pt>
                <c:pt idx="9">
                  <c:v>1.0419298513089797E-3</c:v>
                </c:pt>
                <c:pt idx="10">
                  <c:v>1.0419298513089797E-3</c:v>
                </c:pt>
                <c:pt idx="11">
                  <c:v>1.0419298513089797E-3</c:v>
                </c:pt>
                <c:pt idx="12">
                  <c:v>1.0419298513089797E-3</c:v>
                </c:pt>
                <c:pt idx="13">
                  <c:v>1.0419298513089797E-3</c:v>
                </c:pt>
                <c:pt idx="14">
                  <c:v>1.0419298513089797E-3</c:v>
                </c:pt>
                <c:pt idx="15">
                  <c:v>1.0419298513089797E-3</c:v>
                </c:pt>
                <c:pt idx="16">
                  <c:v>1.0419298513089797E-3</c:v>
                </c:pt>
                <c:pt idx="17">
                  <c:v>1.0419298513089797E-3</c:v>
                </c:pt>
                <c:pt idx="18">
                  <c:v>1.0419298513089797E-3</c:v>
                </c:pt>
                <c:pt idx="19">
                  <c:v>1.0419298513089797E-3</c:v>
                </c:pt>
                <c:pt idx="20">
                  <c:v>1.0419298513089797E-3</c:v>
                </c:pt>
                <c:pt idx="21">
                  <c:v>1.0419298513089797E-3</c:v>
                </c:pt>
                <c:pt idx="22">
                  <c:v>1.0419298513089797E-3</c:v>
                </c:pt>
                <c:pt idx="23">
                  <c:v>1.0419298513089797E-3</c:v>
                </c:pt>
                <c:pt idx="24">
                  <c:v>1.0419298513089797E-3</c:v>
                </c:pt>
                <c:pt idx="25">
                  <c:v>1.0419298513089797E-3</c:v>
                </c:pt>
                <c:pt idx="26">
                  <c:v>1.0419298513089797E-3</c:v>
                </c:pt>
                <c:pt idx="27">
                  <c:v>1.0419298513089797E-3</c:v>
                </c:pt>
                <c:pt idx="28">
                  <c:v>1.0419298513089797E-3</c:v>
                </c:pt>
                <c:pt idx="29">
                  <c:v>1.0419298513089797E-3</c:v>
                </c:pt>
                <c:pt idx="30">
                  <c:v>1.0419298513089797E-3</c:v>
                </c:pt>
                <c:pt idx="31">
                  <c:v>1.0419298513089797E-3</c:v>
                </c:pt>
                <c:pt idx="32">
                  <c:v>1.0419298513089797E-3</c:v>
                </c:pt>
                <c:pt idx="33">
                  <c:v>1.0419298513089797E-3</c:v>
                </c:pt>
                <c:pt idx="34">
                  <c:v>1.0419298513089797E-3</c:v>
                </c:pt>
                <c:pt idx="35">
                  <c:v>1.0419298513089797E-3</c:v>
                </c:pt>
                <c:pt idx="36">
                  <c:v>1.0419298513089797E-3</c:v>
                </c:pt>
                <c:pt idx="37">
                  <c:v>1.0419298513089797E-3</c:v>
                </c:pt>
                <c:pt idx="38">
                  <c:v>1.0419298513089797E-3</c:v>
                </c:pt>
                <c:pt idx="39">
                  <c:v>1.0419298513089797E-3</c:v>
                </c:pt>
                <c:pt idx="40">
                  <c:v>1.0419298513089797E-3</c:v>
                </c:pt>
                <c:pt idx="41">
                  <c:v>1.0419298513089797E-3</c:v>
                </c:pt>
                <c:pt idx="42">
                  <c:v>1.0419298513089797E-3</c:v>
                </c:pt>
                <c:pt idx="43">
                  <c:v>1.0419298513089797E-3</c:v>
                </c:pt>
                <c:pt idx="44">
                  <c:v>1.0419298513089797E-3</c:v>
                </c:pt>
                <c:pt idx="45">
                  <c:v>1.0419298513089797E-3</c:v>
                </c:pt>
                <c:pt idx="46">
                  <c:v>1.0419298513089797E-3</c:v>
                </c:pt>
                <c:pt idx="47">
                  <c:v>1.0419298513089797E-3</c:v>
                </c:pt>
                <c:pt idx="48">
                  <c:v>1.0419298513089797E-3</c:v>
                </c:pt>
                <c:pt idx="49">
                  <c:v>1.0419298513089797E-3</c:v>
                </c:pt>
                <c:pt idx="50">
                  <c:v>1.0419298513089797E-3</c:v>
                </c:pt>
                <c:pt idx="51">
                  <c:v>1.0419298513089797E-3</c:v>
                </c:pt>
                <c:pt idx="52">
                  <c:v>1.0419298513089797E-3</c:v>
                </c:pt>
                <c:pt idx="53">
                  <c:v>1.0419298513089797E-3</c:v>
                </c:pt>
                <c:pt idx="54">
                  <c:v>1.0419298513089797E-3</c:v>
                </c:pt>
                <c:pt idx="55">
                  <c:v>1.0419298513089797E-3</c:v>
                </c:pt>
                <c:pt idx="56">
                  <c:v>1.0419298513089797E-3</c:v>
                </c:pt>
                <c:pt idx="57">
                  <c:v>1.0419298513089797E-3</c:v>
                </c:pt>
                <c:pt idx="58">
                  <c:v>1.0419298513089797E-3</c:v>
                </c:pt>
                <c:pt idx="59">
                  <c:v>1.0419298513089797E-3</c:v>
                </c:pt>
                <c:pt idx="60">
                  <c:v>1.0419298513089797E-3</c:v>
                </c:pt>
                <c:pt idx="61">
                  <c:v>1.0419298513089797E-3</c:v>
                </c:pt>
                <c:pt idx="62">
                  <c:v>1.0419298513089797E-3</c:v>
                </c:pt>
                <c:pt idx="63">
                  <c:v>1.0419298513089797E-3</c:v>
                </c:pt>
                <c:pt idx="64">
                  <c:v>1.0419298513089797E-3</c:v>
                </c:pt>
                <c:pt idx="65">
                  <c:v>1.0419298513089797E-3</c:v>
                </c:pt>
                <c:pt idx="66">
                  <c:v>1.0419298513089797E-3</c:v>
                </c:pt>
                <c:pt idx="67">
                  <c:v>1.0419298513089797E-3</c:v>
                </c:pt>
                <c:pt idx="68">
                  <c:v>1.0419298513089797E-3</c:v>
                </c:pt>
                <c:pt idx="69">
                  <c:v>1.0419298513089797E-3</c:v>
                </c:pt>
                <c:pt idx="70">
                  <c:v>1.0419298513089797E-3</c:v>
                </c:pt>
                <c:pt idx="71">
                  <c:v>1.0419298513089797E-3</c:v>
                </c:pt>
                <c:pt idx="72">
                  <c:v>1.0419298513089797E-3</c:v>
                </c:pt>
                <c:pt idx="73">
                  <c:v>1.0419298513089797E-3</c:v>
                </c:pt>
                <c:pt idx="74">
                  <c:v>1.0419298513089797E-3</c:v>
                </c:pt>
                <c:pt idx="75">
                  <c:v>1.0419298513089797E-3</c:v>
                </c:pt>
                <c:pt idx="76">
                  <c:v>1.0419298513089797E-3</c:v>
                </c:pt>
                <c:pt idx="77">
                  <c:v>1.0419298513089797E-3</c:v>
                </c:pt>
                <c:pt idx="78">
                  <c:v>1.0419298513089797E-3</c:v>
                </c:pt>
                <c:pt idx="79">
                  <c:v>1.0419298513089797E-3</c:v>
                </c:pt>
                <c:pt idx="80">
                  <c:v>1.0419298513089797E-3</c:v>
                </c:pt>
                <c:pt idx="81">
                  <c:v>1.0419298513089797E-3</c:v>
                </c:pt>
                <c:pt idx="82">
                  <c:v>1.0419298513089797E-3</c:v>
                </c:pt>
                <c:pt idx="83">
                  <c:v>1.0419298513089797E-3</c:v>
                </c:pt>
                <c:pt idx="84">
                  <c:v>1.0419298513089797E-3</c:v>
                </c:pt>
                <c:pt idx="85">
                  <c:v>1.0419298513089797E-3</c:v>
                </c:pt>
                <c:pt idx="86">
                  <c:v>1.0419298513089797E-3</c:v>
                </c:pt>
                <c:pt idx="87">
                  <c:v>1.0419298513089797E-3</c:v>
                </c:pt>
                <c:pt idx="88">
                  <c:v>1.0419298513089797E-3</c:v>
                </c:pt>
                <c:pt idx="89">
                  <c:v>1.0419298513089797E-3</c:v>
                </c:pt>
                <c:pt idx="90">
                  <c:v>1.0419298513089797E-3</c:v>
                </c:pt>
                <c:pt idx="91">
                  <c:v>1.0419298513089797E-3</c:v>
                </c:pt>
                <c:pt idx="92">
                  <c:v>1.0419298513089797E-3</c:v>
                </c:pt>
                <c:pt idx="93">
                  <c:v>1.0419298513089797E-3</c:v>
                </c:pt>
                <c:pt idx="94">
                  <c:v>1.0419298513089797E-3</c:v>
                </c:pt>
                <c:pt idx="95">
                  <c:v>1.0419298513089797E-3</c:v>
                </c:pt>
                <c:pt idx="96">
                  <c:v>1.0419298513089797E-3</c:v>
                </c:pt>
                <c:pt idx="97">
                  <c:v>1.0419298513089797E-3</c:v>
                </c:pt>
                <c:pt idx="98">
                  <c:v>1.0419298513089797E-3</c:v>
                </c:pt>
                <c:pt idx="99">
                  <c:v>1.0419298513089797E-3</c:v>
                </c:pt>
                <c:pt idx="100">
                  <c:v>1.0419298513089797E-3</c:v>
                </c:pt>
                <c:pt idx="101">
                  <c:v>1.0419298513089797E-3</c:v>
                </c:pt>
                <c:pt idx="102">
                  <c:v>1.0419298513089797E-3</c:v>
                </c:pt>
                <c:pt idx="103">
                  <c:v>1.0419298513089797E-3</c:v>
                </c:pt>
                <c:pt idx="104">
                  <c:v>1.0419298513089797E-3</c:v>
                </c:pt>
                <c:pt idx="105">
                  <c:v>1.0419298513089797E-3</c:v>
                </c:pt>
                <c:pt idx="106">
                  <c:v>1.0419298513089797E-3</c:v>
                </c:pt>
                <c:pt idx="107">
                  <c:v>1.0419298513089797E-3</c:v>
                </c:pt>
                <c:pt idx="108">
                  <c:v>1.0419298513089797E-3</c:v>
                </c:pt>
                <c:pt idx="109">
                  <c:v>1.0419298513089797E-3</c:v>
                </c:pt>
                <c:pt idx="110">
                  <c:v>1.0419298513089797E-3</c:v>
                </c:pt>
                <c:pt idx="111">
                  <c:v>1.0419298513089797E-3</c:v>
                </c:pt>
                <c:pt idx="112">
                  <c:v>1.0419298513089797E-3</c:v>
                </c:pt>
                <c:pt idx="113">
                  <c:v>1.0419298513089797E-3</c:v>
                </c:pt>
                <c:pt idx="114">
                  <c:v>1.0419298513089797E-3</c:v>
                </c:pt>
                <c:pt idx="115">
                  <c:v>1.0419298513089797E-3</c:v>
                </c:pt>
                <c:pt idx="116">
                  <c:v>1.0419298513089797E-3</c:v>
                </c:pt>
                <c:pt idx="117">
                  <c:v>1.0419298513089797E-3</c:v>
                </c:pt>
                <c:pt idx="118">
                  <c:v>1.0419298513089797E-3</c:v>
                </c:pt>
                <c:pt idx="119">
                  <c:v>1.0419298513089797E-3</c:v>
                </c:pt>
                <c:pt idx="120">
                  <c:v>1.0419298513089797E-3</c:v>
                </c:pt>
                <c:pt idx="121">
                  <c:v>1.0419298513089797E-3</c:v>
                </c:pt>
                <c:pt idx="122">
                  <c:v>1.0419298513089797E-3</c:v>
                </c:pt>
                <c:pt idx="123">
                  <c:v>1.0419298513089797E-3</c:v>
                </c:pt>
                <c:pt idx="124">
                  <c:v>1.0419298513089797E-3</c:v>
                </c:pt>
                <c:pt idx="125">
                  <c:v>1.0419298513089797E-3</c:v>
                </c:pt>
                <c:pt idx="126">
                  <c:v>1.0419298513089797E-3</c:v>
                </c:pt>
                <c:pt idx="127">
                  <c:v>1.0419298513089797E-3</c:v>
                </c:pt>
                <c:pt idx="128">
                  <c:v>1.0419298513089797E-3</c:v>
                </c:pt>
                <c:pt idx="129">
                  <c:v>1.0419298513089797E-3</c:v>
                </c:pt>
                <c:pt idx="130">
                  <c:v>1.0419298513089797E-3</c:v>
                </c:pt>
                <c:pt idx="131">
                  <c:v>1.0419298513089797E-3</c:v>
                </c:pt>
                <c:pt idx="132">
                  <c:v>1.0419298513089797E-3</c:v>
                </c:pt>
                <c:pt idx="133">
                  <c:v>1.0419298513089797E-3</c:v>
                </c:pt>
                <c:pt idx="134">
                  <c:v>1.0419298513089797E-3</c:v>
                </c:pt>
                <c:pt idx="135">
                  <c:v>1.0419298513089797E-3</c:v>
                </c:pt>
                <c:pt idx="136">
                  <c:v>1.0419298513089797E-3</c:v>
                </c:pt>
                <c:pt idx="137">
                  <c:v>1.0419298513089797E-3</c:v>
                </c:pt>
                <c:pt idx="138">
                  <c:v>1.0419298513089797E-3</c:v>
                </c:pt>
                <c:pt idx="139">
                  <c:v>1.0419298513089797E-3</c:v>
                </c:pt>
                <c:pt idx="140">
                  <c:v>1.0419298513089797E-3</c:v>
                </c:pt>
                <c:pt idx="141">
                  <c:v>1.0419298513089797E-3</c:v>
                </c:pt>
                <c:pt idx="142">
                  <c:v>1.0419298513089797E-3</c:v>
                </c:pt>
                <c:pt idx="143">
                  <c:v>1.0419298513089797E-3</c:v>
                </c:pt>
                <c:pt idx="144">
                  <c:v>1.0419298513089797E-3</c:v>
                </c:pt>
                <c:pt idx="145">
                  <c:v>1.0419298513089797E-3</c:v>
                </c:pt>
                <c:pt idx="146">
                  <c:v>1.0419298513089797E-3</c:v>
                </c:pt>
                <c:pt idx="147">
                  <c:v>1.0419298513089797E-3</c:v>
                </c:pt>
                <c:pt idx="148">
                  <c:v>1.0419298513089797E-3</c:v>
                </c:pt>
                <c:pt idx="149">
                  <c:v>1.0419298513089797E-3</c:v>
                </c:pt>
                <c:pt idx="150">
                  <c:v>1.0419298513089797E-3</c:v>
                </c:pt>
                <c:pt idx="151">
                  <c:v>1.0419298513089797E-3</c:v>
                </c:pt>
                <c:pt idx="152">
                  <c:v>1.0419298513089797E-3</c:v>
                </c:pt>
                <c:pt idx="153">
                  <c:v>1.0419298513089797E-3</c:v>
                </c:pt>
                <c:pt idx="154">
                  <c:v>1.0419298513089797E-3</c:v>
                </c:pt>
                <c:pt idx="155">
                  <c:v>1.0419298513089797E-3</c:v>
                </c:pt>
                <c:pt idx="156">
                  <c:v>1.0419298513089797E-3</c:v>
                </c:pt>
                <c:pt idx="157">
                  <c:v>1.0419298513089797E-3</c:v>
                </c:pt>
                <c:pt idx="158">
                  <c:v>1.0419298513089797E-3</c:v>
                </c:pt>
                <c:pt idx="159">
                  <c:v>1.0419298513089797E-3</c:v>
                </c:pt>
                <c:pt idx="160">
                  <c:v>1.0419298513089797E-3</c:v>
                </c:pt>
                <c:pt idx="161">
                  <c:v>1.0419298513089797E-3</c:v>
                </c:pt>
                <c:pt idx="162">
                  <c:v>1.0419298513089797E-3</c:v>
                </c:pt>
                <c:pt idx="163">
                  <c:v>1.0419298513089797E-3</c:v>
                </c:pt>
                <c:pt idx="164">
                  <c:v>1.0419298513089797E-3</c:v>
                </c:pt>
                <c:pt idx="165">
                  <c:v>1.0419298513089797E-3</c:v>
                </c:pt>
                <c:pt idx="166">
                  <c:v>1.0419298513089797E-3</c:v>
                </c:pt>
                <c:pt idx="167">
                  <c:v>1.0419298513089797E-3</c:v>
                </c:pt>
                <c:pt idx="168">
                  <c:v>1.0419298513089797E-3</c:v>
                </c:pt>
                <c:pt idx="169">
                  <c:v>1.0419298513089797E-3</c:v>
                </c:pt>
                <c:pt idx="170">
                  <c:v>1.0419298513089797E-3</c:v>
                </c:pt>
                <c:pt idx="171">
                  <c:v>1.0419298513089797E-3</c:v>
                </c:pt>
                <c:pt idx="172">
                  <c:v>1.0419298513089797E-3</c:v>
                </c:pt>
                <c:pt idx="173">
                  <c:v>1.0419298513089797E-3</c:v>
                </c:pt>
                <c:pt idx="174">
                  <c:v>1.0419298513089797E-3</c:v>
                </c:pt>
                <c:pt idx="175">
                  <c:v>1.0419298513089797E-3</c:v>
                </c:pt>
                <c:pt idx="176">
                  <c:v>1.0419298513089797E-3</c:v>
                </c:pt>
                <c:pt idx="177">
                  <c:v>1.0419298513089797E-3</c:v>
                </c:pt>
                <c:pt idx="178">
                  <c:v>1.0419298513089797E-3</c:v>
                </c:pt>
                <c:pt idx="179">
                  <c:v>1.0419298513089797E-3</c:v>
                </c:pt>
                <c:pt idx="180">
                  <c:v>1.0419298513089797E-3</c:v>
                </c:pt>
                <c:pt idx="181">
                  <c:v>1.0419298513089797E-3</c:v>
                </c:pt>
                <c:pt idx="182">
                  <c:v>1.0419298513089797E-3</c:v>
                </c:pt>
                <c:pt idx="183">
                  <c:v>1.0419298513089797E-3</c:v>
                </c:pt>
                <c:pt idx="184">
                  <c:v>1.0419298513089797E-3</c:v>
                </c:pt>
                <c:pt idx="185">
                  <c:v>1.0419298513089797E-3</c:v>
                </c:pt>
                <c:pt idx="186">
                  <c:v>1.0419298513089797E-3</c:v>
                </c:pt>
                <c:pt idx="187">
                  <c:v>1.0419298513089797E-3</c:v>
                </c:pt>
                <c:pt idx="188">
                  <c:v>1.0419298513089797E-3</c:v>
                </c:pt>
                <c:pt idx="189">
                  <c:v>1.0419298513089797E-3</c:v>
                </c:pt>
                <c:pt idx="190">
                  <c:v>1.0419298513089797E-3</c:v>
                </c:pt>
                <c:pt idx="191">
                  <c:v>1.0419298513089797E-3</c:v>
                </c:pt>
                <c:pt idx="192">
                  <c:v>1.0419298513089797E-3</c:v>
                </c:pt>
                <c:pt idx="193">
                  <c:v>1.0419298513089797E-3</c:v>
                </c:pt>
                <c:pt idx="194">
                  <c:v>1.0419298513089797E-3</c:v>
                </c:pt>
                <c:pt idx="195">
                  <c:v>1.0419298513089797E-3</c:v>
                </c:pt>
                <c:pt idx="196">
                  <c:v>1.0419298513089797E-3</c:v>
                </c:pt>
                <c:pt idx="197">
                  <c:v>1.0419298513089797E-3</c:v>
                </c:pt>
                <c:pt idx="198">
                  <c:v>1.0419298513089797E-3</c:v>
                </c:pt>
                <c:pt idx="199">
                  <c:v>1.0419298513089797E-3</c:v>
                </c:pt>
                <c:pt idx="200">
                  <c:v>1.0419298513089797E-3</c:v>
                </c:pt>
                <c:pt idx="201">
                  <c:v>1.0419298513089797E-3</c:v>
                </c:pt>
                <c:pt idx="202">
                  <c:v>1.0419298513089797E-3</c:v>
                </c:pt>
                <c:pt idx="203">
                  <c:v>1.0419298513089797E-3</c:v>
                </c:pt>
                <c:pt idx="204">
                  <c:v>1.0419298513089797E-3</c:v>
                </c:pt>
                <c:pt idx="205">
                  <c:v>1.0419298513089797E-3</c:v>
                </c:pt>
                <c:pt idx="206">
                  <c:v>1.0419298513089797E-3</c:v>
                </c:pt>
                <c:pt idx="207">
                  <c:v>1.0419298513089797E-3</c:v>
                </c:pt>
                <c:pt idx="208">
                  <c:v>1.0419298513089797E-3</c:v>
                </c:pt>
                <c:pt idx="209">
                  <c:v>1.0419298513089797E-3</c:v>
                </c:pt>
                <c:pt idx="210">
                  <c:v>1.0419298513089797E-3</c:v>
                </c:pt>
                <c:pt idx="211">
                  <c:v>1.0419298513089797E-3</c:v>
                </c:pt>
                <c:pt idx="212">
                  <c:v>1.0419298513089797E-3</c:v>
                </c:pt>
                <c:pt idx="213">
                  <c:v>1.0419298513089797E-3</c:v>
                </c:pt>
                <c:pt idx="214">
                  <c:v>1.0419298513089797E-3</c:v>
                </c:pt>
                <c:pt idx="215">
                  <c:v>1.0419298513089797E-3</c:v>
                </c:pt>
                <c:pt idx="216">
                  <c:v>1.0419298513089797E-3</c:v>
                </c:pt>
                <c:pt idx="217">
                  <c:v>1.0419298513089797E-3</c:v>
                </c:pt>
                <c:pt idx="218">
                  <c:v>1.0419298513089797E-3</c:v>
                </c:pt>
                <c:pt idx="219">
                  <c:v>1.0419298513089797E-3</c:v>
                </c:pt>
                <c:pt idx="220">
                  <c:v>1.0419298513089797E-3</c:v>
                </c:pt>
                <c:pt idx="221">
                  <c:v>1.0419298513089797E-3</c:v>
                </c:pt>
                <c:pt idx="222">
                  <c:v>1.0419298513089797E-3</c:v>
                </c:pt>
                <c:pt idx="223">
                  <c:v>1.0419298513089797E-3</c:v>
                </c:pt>
                <c:pt idx="224">
                  <c:v>1.0419298513089797E-3</c:v>
                </c:pt>
                <c:pt idx="225">
                  <c:v>1.0419298513089797E-3</c:v>
                </c:pt>
                <c:pt idx="226">
                  <c:v>1.0419298513089797E-3</c:v>
                </c:pt>
                <c:pt idx="227">
                  <c:v>1.0419298513089797E-3</c:v>
                </c:pt>
                <c:pt idx="228">
                  <c:v>1.0419298513089797E-3</c:v>
                </c:pt>
                <c:pt idx="229">
                  <c:v>1.0419298513089797E-3</c:v>
                </c:pt>
                <c:pt idx="230">
                  <c:v>1.0419298513089797E-3</c:v>
                </c:pt>
                <c:pt idx="231">
                  <c:v>1.0419298513089797E-3</c:v>
                </c:pt>
                <c:pt idx="232">
                  <c:v>1.0419298513089797E-3</c:v>
                </c:pt>
                <c:pt idx="233">
                  <c:v>1.0419298513089797E-3</c:v>
                </c:pt>
                <c:pt idx="234">
                  <c:v>1.0419298513089797E-3</c:v>
                </c:pt>
                <c:pt idx="235">
                  <c:v>1.0419298513089797E-3</c:v>
                </c:pt>
                <c:pt idx="236">
                  <c:v>1.0419298513089797E-3</c:v>
                </c:pt>
                <c:pt idx="237">
                  <c:v>1.0419298513089797E-3</c:v>
                </c:pt>
                <c:pt idx="238">
                  <c:v>1.0419298513089797E-3</c:v>
                </c:pt>
                <c:pt idx="239">
                  <c:v>1.0419298513089797E-3</c:v>
                </c:pt>
                <c:pt idx="240">
                  <c:v>1.0419298513089797E-3</c:v>
                </c:pt>
                <c:pt idx="241">
                  <c:v>1.0419298513089797E-3</c:v>
                </c:pt>
                <c:pt idx="242">
                  <c:v>1.0419298513089797E-3</c:v>
                </c:pt>
                <c:pt idx="243">
                  <c:v>1.0419298513089797E-3</c:v>
                </c:pt>
                <c:pt idx="244">
                  <c:v>1.0419298513089797E-3</c:v>
                </c:pt>
                <c:pt idx="245">
                  <c:v>1.0419298513089797E-3</c:v>
                </c:pt>
                <c:pt idx="246">
                  <c:v>1.0419298513089797E-3</c:v>
                </c:pt>
                <c:pt idx="247">
                  <c:v>1.0419298513089797E-3</c:v>
                </c:pt>
                <c:pt idx="248">
                  <c:v>1.0419298513089797E-3</c:v>
                </c:pt>
                <c:pt idx="249">
                  <c:v>1.0419298513089797E-3</c:v>
                </c:pt>
                <c:pt idx="250">
                  <c:v>1.0419298513089797E-3</c:v>
                </c:pt>
                <c:pt idx="251">
                  <c:v>1.0419298513089797E-3</c:v>
                </c:pt>
                <c:pt idx="252">
                  <c:v>1.0419298513089797E-3</c:v>
                </c:pt>
                <c:pt idx="253">
                  <c:v>1.0419298513089797E-3</c:v>
                </c:pt>
                <c:pt idx="254">
                  <c:v>1.0419298513089797E-3</c:v>
                </c:pt>
                <c:pt idx="255">
                  <c:v>1.0419298513089797E-3</c:v>
                </c:pt>
                <c:pt idx="256">
                  <c:v>1.0419298513089797E-3</c:v>
                </c:pt>
                <c:pt idx="257">
                  <c:v>1.0419298513089797E-3</c:v>
                </c:pt>
                <c:pt idx="258">
                  <c:v>1.0419298513089797E-3</c:v>
                </c:pt>
                <c:pt idx="259">
                  <c:v>1.0419298513089797E-3</c:v>
                </c:pt>
                <c:pt idx="260">
                  <c:v>1.0419298513089797E-3</c:v>
                </c:pt>
                <c:pt idx="261">
                  <c:v>1.0419298513089797E-3</c:v>
                </c:pt>
                <c:pt idx="262">
                  <c:v>1.0419298513089797E-3</c:v>
                </c:pt>
                <c:pt idx="263">
                  <c:v>1.0419298513089797E-3</c:v>
                </c:pt>
                <c:pt idx="264">
                  <c:v>1.0419298513089797E-3</c:v>
                </c:pt>
                <c:pt idx="265">
                  <c:v>1.0419298513089797E-3</c:v>
                </c:pt>
                <c:pt idx="266">
                  <c:v>1.0419298513089797E-3</c:v>
                </c:pt>
                <c:pt idx="267">
                  <c:v>1.0419298513089797E-3</c:v>
                </c:pt>
                <c:pt idx="268">
                  <c:v>1.0419298513089797E-3</c:v>
                </c:pt>
                <c:pt idx="269">
                  <c:v>1.0419298513089797E-3</c:v>
                </c:pt>
                <c:pt idx="270">
                  <c:v>1.0419298513089797E-3</c:v>
                </c:pt>
                <c:pt idx="271">
                  <c:v>1.0419298513089797E-3</c:v>
                </c:pt>
                <c:pt idx="272">
                  <c:v>1.0419298513089797E-3</c:v>
                </c:pt>
                <c:pt idx="273">
                  <c:v>1.0419298513089797E-3</c:v>
                </c:pt>
                <c:pt idx="274">
                  <c:v>1.0419298513089797E-3</c:v>
                </c:pt>
                <c:pt idx="275">
                  <c:v>1.0419298513089797E-3</c:v>
                </c:pt>
                <c:pt idx="276">
                  <c:v>1.0419298513089797E-3</c:v>
                </c:pt>
                <c:pt idx="277">
                  <c:v>1.0419298513089797E-3</c:v>
                </c:pt>
                <c:pt idx="278">
                  <c:v>1.0419298513089797E-3</c:v>
                </c:pt>
                <c:pt idx="279">
                  <c:v>1.0419298513089797E-3</c:v>
                </c:pt>
                <c:pt idx="280">
                  <c:v>1.0419298513089797E-3</c:v>
                </c:pt>
                <c:pt idx="281">
                  <c:v>1.0419298513089797E-3</c:v>
                </c:pt>
                <c:pt idx="282">
                  <c:v>1.0419298513089797E-3</c:v>
                </c:pt>
                <c:pt idx="283">
                  <c:v>1.0419298513089797E-3</c:v>
                </c:pt>
                <c:pt idx="284">
                  <c:v>1.0419298513089797E-3</c:v>
                </c:pt>
                <c:pt idx="285">
                  <c:v>1.0419298513089797E-3</c:v>
                </c:pt>
                <c:pt idx="286">
                  <c:v>1.0419298513089797E-3</c:v>
                </c:pt>
                <c:pt idx="287">
                  <c:v>1.0419298513089797E-3</c:v>
                </c:pt>
                <c:pt idx="288">
                  <c:v>1.0419298513089797E-3</c:v>
                </c:pt>
                <c:pt idx="289">
                  <c:v>1.0419298513089797E-3</c:v>
                </c:pt>
                <c:pt idx="290">
                  <c:v>1.0419298513089797E-3</c:v>
                </c:pt>
                <c:pt idx="291">
                  <c:v>1.0419298513089797E-3</c:v>
                </c:pt>
                <c:pt idx="292">
                  <c:v>1.0419298513089797E-3</c:v>
                </c:pt>
                <c:pt idx="293">
                  <c:v>1.0419298513089797E-3</c:v>
                </c:pt>
                <c:pt idx="294">
                  <c:v>1.0419298513089797E-3</c:v>
                </c:pt>
                <c:pt idx="295">
                  <c:v>1.0419298513089797E-3</c:v>
                </c:pt>
                <c:pt idx="296">
                  <c:v>1.0419298513089797E-3</c:v>
                </c:pt>
                <c:pt idx="297">
                  <c:v>1.0419298513089797E-3</c:v>
                </c:pt>
                <c:pt idx="298">
                  <c:v>1.0419298513089797E-3</c:v>
                </c:pt>
                <c:pt idx="299">
                  <c:v>1.0419298513089797E-3</c:v>
                </c:pt>
                <c:pt idx="300">
                  <c:v>1.0419298513089797E-3</c:v>
                </c:pt>
                <c:pt idx="301">
                  <c:v>1.0419298513089797E-3</c:v>
                </c:pt>
                <c:pt idx="302">
                  <c:v>1.0419298513089797E-3</c:v>
                </c:pt>
                <c:pt idx="303">
                  <c:v>1.0419298513089797E-3</c:v>
                </c:pt>
                <c:pt idx="304">
                  <c:v>1.0419298513089797E-3</c:v>
                </c:pt>
                <c:pt idx="305">
                  <c:v>1.0419298513089797E-3</c:v>
                </c:pt>
                <c:pt idx="306">
                  <c:v>1.0419298513089797E-3</c:v>
                </c:pt>
                <c:pt idx="307">
                  <c:v>1.0419298513089797E-3</c:v>
                </c:pt>
                <c:pt idx="308">
                  <c:v>1.0419298513089797E-3</c:v>
                </c:pt>
                <c:pt idx="309">
                  <c:v>1.0419298513089797E-3</c:v>
                </c:pt>
                <c:pt idx="310">
                  <c:v>1.0419298513089797E-3</c:v>
                </c:pt>
                <c:pt idx="311">
                  <c:v>1.0419298513089797E-3</c:v>
                </c:pt>
                <c:pt idx="312">
                  <c:v>1.0419298513089797E-3</c:v>
                </c:pt>
                <c:pt idx="313">
                  <c:v>1.0419298513089797E-3</c:v>
                </c:pt>
                <c:pt idx="314">
                  <c:v>1.0419298513089797E-3</c:v>
                </c:pt>
                <c:pt idx="315">
                  <c:v>1.0419298513089797E-3</c:v>
                </c:pt>
                <c:pt idx="316">
                  <c:v>1.0419298513089797E-3</c:v>
                </c:pt>
                <c:pt idx="317">
                  <c:v>1.0419298513089797E-3</c:v>
                </c:pt>
                <c:pt idx="318">
                  <c:v>1.0419298513089797E-3</c:v>
                </c:pt>
                <c:pt idx="319">
                  <c:v>1.0419298513089797E-3</c:v>
                </c:pt>
                <c:pt idx="320">
                  <c:v>1.0419298513089797E-3</c:v>
                </c:pt>
                <c:pt idx="321">
                  <c:v>1.0419298513089797E-3</c:v>
                </c:pt>
                <c:pt idx="322">
                  <c:v>1.0419298513089797E-3</c:v>
                </c:pt>
                <c:pt idx="323">
                  <c:v>1.0419298513089797E-3</c:v>
                </c:pt>
                <c:pt idx="324">
                  <c:v>1.0419298513089797E-3</c:v>
                </c:pt>
                <c:pt idx="325">
                  <c:v>1.0419298513089797E-3</c:v>
                </c:pt>
                <c:pt idx="326">
                  <c:v>1.0419298513089797E-3</c:v>
                </c:pt>
                <c:pt idx="327">
                  <c:v>1.0419298513089797E-3</c:v>
                </c:pt>
                <c:pt idx="328">
                  <c:v>1.0419298513089797E-3</c:v>
                </c:pt>
                <c:pt idx="329">
                  <c:v>1.0419298513089797E-3</c:v>
                </c:pt>
                <c:pt idx="330">
                  <c:v>1.0419298513089797E-3</c:v>
                </c:pt>
                <c:pt idx="331">
                  <c:v>1.0419298513089797E-3</c:v>
                </c:pt>
                <c:pt idx="332">
                  <c:v>1.0419298513089797E-3</c:v>
                </c:pt>
                <c:pt idx="333">
                  <c:v>1.0419298513089797E-3</c:v>
                </c:pt>
                <c:pt idx="334">
                  <c:v>1.0419298513089797E-3</c:v>
                </c:pt>
                <c:pt idx="335">
                  <c:v>1.0419298513089797E-3</c:v>
                </c:pt>
                <c:pt idx="336">
                  <c:v>1.0419298513089797E-3</c:v>
                </c:pt>
                <c:pt idx="337">
                  <c:v>1.0419298513089797E-3</c:v>
                </c:pt>
                <c:pt idx="338">
                  <c:v>1.0419298513089797E-3</c:v>
                </c:pt>
                <c:pt idx="339">
                  <c:v>1.0419298513089797E-3</c:v>
                </c:pt>
                <c:pt idx="340">
                  <c:v>1.0419298513089797E-3</c:v>
                </c:pt>
                <c:pt idx="341">
                  <c:v>1.0419298513089797E-3</c:v>
                </c:pt>
                <c:pt idx="342">
                  <c:v>1.0419298513089797E-3</c:v>
                </c:pt>
                <c:pt idx="343">
                  <c:v>1.0419298513089797E-3</c:v>
                </c:pt>
                <c:pt idx="344">
                  <c:v>1.0419298513089797E-3</c:v>
                </c:pt>
                <c:pt idx="345">
                  <c:v>1.0419298513089797E-3</c:v>
                </c:pt>
                <c:pt idx="346">
                  <c:v>1.0419298513089797E-3</c:v>
                </c:pt>
                <c:pt idx="347">
                  <c:v>1.0419298513089797E-3</c:v>
                </c:pt>
                <c:pt idx="348">
                  <c:v>1.0419298513089797E-3</c:v>
                </c:pt>
                <c:pt idx="349">
                  <c:v>1.0419298513089797E-3</c:v>
                </c:pt>
                <c:pt idx="350">
                  <c:v>1.0419298513089797E-3</c:v>
                </c:pt>
                <c:pt idx="351">
                  <c:v>1.0419298513089797E-3</c:v>
                </c:pt>
                <c:pt idx="352">
                  <c:v>1.0419298513089797E-3</c:v>
                </c:pt>
                <c:pt idx="353">
                  <c:v>1.0419298513089797E-3</c:v>
                </c:pt>
                <c:pt idx="354">
                  <c:v>1.0419298513089797E-3</c:v>
                </c:pt>
                <c:pt idx="355">
                  <c:v>1.0419298513089797E-3</c:v>
                </c:pt>
                <c:pt idx="356">
                  <c:v>1.0419298513089797E-3</c:v>
                </c:pt>
                <c:pt idx="357">
                  <c:v>1.0419298513089797E-3</c:v>
                </c:pt>
                <c:pt idx="358">
                  <c:v>1.0419298513089797E-3</c:v>
                </c:pt>
                <c:pt idx="359">
                  <c:v>1.0419298513089797E-3</c:v>
                </c:pt>
                <c:pt idx="360">
                  <c:v>1.0419298513089797E-3</c:v>
                </c:pt>
                <c:pt idx="361">
                  <c:v>1.0419298513089797E-3</c:v>
                </c:pt>
                <c:pt idx="362">
                  <c:v>1.0419298513089797E-3</c:v>
                </c:pt>
                <c:pt idx="363">
                  <c:v>1.0419298513089797E-3</c:v>
                </c:pt>
                <c:pt idx="364">
                  <c:v>1.0419298513089797E-3</c:v>
                </c:pt>
                <c:pt idx="365">
                  <c:v>1.0419298513089797E-3</c:v>
                </c:pt>
                <c:pt idx="366">
                  <c:v>1.0419298513089797E-3</c:v>
                </c:pt>
                <c:pt idx="367">
                  <c:v>1.0419298513089797E-3</c:v>
                </c:pt>
                <c:pt idx="368">
                  <c:v>1.0419298513089797E-3</c:v>
                </c:pt>
                <c:pt idx="369">
                  <c:v>1.0419298513089797E-3</c:v>
                </c:pt>
                <c:pt idx="370">
                  <c:v>1.0419298513089797E-3</c:v>
                </c:pt>
                <c:pt idx="371">
                  <c:v>1.0419298513089797E-3</c:v>
                </c:pt>
                <c:pt idx="372">
                  <c:v>1.0419298513089797E-3</c:v>
                </c:pt>
                <c:pt idx="373">
                  <c:v>1.0419298513089797E-3</c:v>
                </c:pt>
                <c:pt idx="374">
                  <c:v>1.0419298513089797E-3</c:v>
                </c:pt>
                <c:pt idx="375">
                  <c:v>1.0419298513089797E-3</c:v>
                </c:pt>
                <c:pt idx="376">
                  <c:v>1.0419298513089797E-3</c:v>
                </c:pt>
                <c:pt idx="377">
                  <c:v>1.0419298513089797E-3</c:v>
                </c:pt>
                <c:pt idx="378">
                  <c:v>1.0419298513089797E-3</c:v>
                </c:pt>
                <c:pt idx="379">
                  <c:v>1.0419298513089797E-3</c:v>
                </c:pt>
                <c:pt idx="380">
                  <c:v>1.0419298513089797E-3</c:v>
                </c:pt>
                <c:pt idx="381">
                  <c:v>1.0419298513089797E-3</c:v>
                </c:pt>
                <c:pt idx="382">
                  <c:v>1.0419298513089797E-3</c:v>
                </c:pt>
                <c:pt idx="383">
                  <c:v>1.0419298513089797E-3</c:v>
                </c:pt>
                <c:pt idx="384">
                  <c:v>1.0419298513089797E-3</c:v>
                </c:pt>
                <c:pt idx="385">
                  <c:v>1.0419298513089797E-3</c:v>
                </c:pt>
                <c:pt idx="386">
                  <c:v>1.0419298513089797E-3</c:v>
                </c:pt>
                <c:pt idx="387">
                  <c:v>1.0419298513089797E-3</c:v>
                </c:pt>
                <c:pt idx="388">
                  <c:v>1.0419298513089797E-3</c:v>
                </c:pt>
                <c:pt idx="389">
                  <c:v>1.0419298513089797E-3</c:v>
                </c:pt>
                <c:pt idx="390">
                  <c:v>1.0419298513089797E-3</c:v>
                </c:pt>
                <c:pt idx="391">
                  <c:v>1.0419298513089797E-3</c:v>
                </c:pt>
                <c:pt idx="392">
                  <c:v>1.0419298513089797E-3</c:v>
                </c:pt>
                <c:pt idx="393">
                  <c:v>1.0419298513089797E-3</c:v>
                </c:pt>
                <c:pt idx="394">
                  <c:v>1.0419298513089797E-3</c:v>
                </c:pt>
                <c:pt idx="395">
                  <c:v>1.0419298513089797E-3</c:v>
                </c:pt>
                <c:pt idx="396">
                  <c:v>1.0419298513089797E-3</c:v>
                </c:pt>
                <c:pt idx="397">
                  <c:v>1.0419298513089797E-3</c:v>
                </c:pt>
                <c:pt idx="398">
                  <c:v>1.0419298513089797E-3</c:v>
                </c:pt>
                <c:pt idx="399">
                  <c:v>1.0419298513089797E-3</c:v>
                </c:pt>
                <c:pt idx="400">
                  <c:v>1.0419298513089797E-3</c:v>
                </c:pt>
                <c:pt idx="401">
                  <c:v>1.0419298513089797E-3</c:v>
                </c:pt>
                <c:pt idx="402">
                  <c:v>1.0419298513089797E-3</c:v>
                </c:pt>
                <c:pt idx="403">
                  <c:v>1.0419298513089797E-3</c:v>
                </c:pt>
                <c:pt idx="404">
                  <c:v>1.0419298513089797E-3</c:v>
                </c:pt>
                <c:pt idx="405">
                  <c:v>1.0419298513089797E-3</c:v>
                </c:pt>
                <c:pt idx="406">
                  <c:v>1.0419298513089797E-3</c:v>
                </c:pt>
                <c:pt idx="407">
                  <c:v>1.0419298513089797E-3</c:v>
                </c:pt>
                <c:pt idx="408">
                  <c:v>1.0419298513089797E-3</c:v>
                </c:pt>
                <c:pt idx="409">
                  <c:v>1.0419298513089797E-3</c:v>
                </c:pt>
                <c:pt idx="410">
                  <c:v>1.0419298513089797E-3</c:v>
                </c:pt>
                <c:pt idx="411">
                  <c:v>1.0419298513089797E-3</c:v>
                </c:pt>
                <c:pt idx="412">
                  <c:v>1.0419298513089797E-3</c:v>
                </c:pt>
                <c:pt idx="413">
                  <c:v>1.0419298513089797E-3</c:v>
                </c:pt>
                <c:pt idx="414">
                  <c:v>1.0419298513089797E-3</c:v>
                </c:pt>
                <c:pt idx="415">
                  <c:v>1.0419298513089797E-3</c:v>
                </c:pt>
                <c:pt idx="416">
                  <c:v>1.0419298513089797E-3</c:v>
                </c:pt>
                <c:pt idx="417">
                  <c:v>1.0419298513089797E-3</c:v>
                </c:pt>
                <c:pt idx="418">
                  <c:v>1.0419298513089797E-3</c:v>
                </c:pt>
                <c:pt idx="419">
                  <c:v>1.0419298513089797E-3</c:v>
                </c:pt>
                <c:pt idx="420">
                  <c:v>1.0419298513089797E-3</c:v>
                </c:pt>
                <c:pt idx="421">
                  <c:v>1.0419298513089797E-3</c:v>
                </c:pt>
                <c:pt idx="422">
                  <c:v>1.0419298513089797E-3</c:v>
                </c:pt>
                <c:pt idx="423">
                  <c:v>1.0419298513089797E-3</c:v>
                </c:pt>
                <c:pt idx="424">
                  <c:v>1.0419298513089797E-3</c:v>
                </c:pt>
                <c:pt idx="425">
                  <c:v>1.0419298513089797E-3</c:v>
                </c:pt>
                <c:pt idx="426">
                  <c:v>1.0419298513089797E-3</c:v>
                </c:pt>
                <c:pt idx="427">
                  <c:v>1.0419298513089797E-3</c:v>
                </c:pt>
                <c:pt idx="428">
                  <c:v>1.0419298513089797E-3</c:v>
                </c:pt>
                <c:pt idx="429">
                  <c:v>1.0419298513089797E-3</c:v>
                </c:pt>
                <c:pt idx="430">
                  <c:v>1.0419298513089797E-3</c:v>
                </c:pt>
                <c:pt idx="431">
                  <c:v>1.0419298513089797E-3</c:v>
                </c:pt>
                <c:pt idx="432">
                  <c:v>1.0419298513089797E-3</c:v>
                </c:pt>
                <c:pt idx="433">
                  <c:v>1.0419298513089797E-3</c:v>
                </c:pt>
                <c:pt idx="434">
                  <c:v>1.0419298513089797E-3</c:v>
                </c:pt>
                <c:pt idx="435">
                  <c:v>1.0419298513089797E-3</c:v>
                </c:pt>
                <c:pt idx="436">
                  <c:v>1.0419298513089797E-3</c:v>
                </c:pt>
                <c:pt idx="437">
                  <c:v>1.0419298513089797E-3</c:v>
                </c:pt>
                <c:pt idx="438">
                  <c:v>1.0419298513089797E-3</c:v>
                </c:pt>
                <c:pt idx="439">
                  <c:v>1.0419298513089797E-3</c:v>
                </c:pt>
                <c:pt idx="440">
                  <c:v>1.0419298513089797E-3</c:v>
                </c:pt>
                <c:pt idx="441">
                  <c:v>1.0419298513089797E-3</c:v>
                </c:pt>
                <c:pt idx="442">
                  <c:v>1.0419298513089797E-3</c:v>
                </c:pt>
                <c:pt idx="443">
                  <c:v>1.0419298513089797E-3</c:v>
                </c:pt>
                <c:pt idx="444">
                  <c:v>1.0419298513089797E-3</c:v>
                </c:pt>
                <c:pt idx="445">
                  <c:v>1.0419298513089797E-3</c:v>
                </c:pt>
                <c:pt idx="446">
                  <c:v>1.0419298513089797E-3</c:v>
                </c:pt>
                <c:pt idx="447">
                  <c:v>1.0419298513089797E-3</c:v>
                </c:pt>
                <c:pt idx="448">
                  <c:v>1.0419298513089797E-3</c:v>
                </c:pt>
                <c:pt idx="449">
                  <c:v>1.0419298513089797E-3</c:v>
                </c:pt>
                <c:pt idx="450">
                  <c:v>1.0419298513089797E-3</c:v>
                </c:pt>
                <c:pt idx="451">
                  <c:v>1.0419298513089797E-3</c:v>
                </c:pt>
                <c:pt idx="452">
                  <c:v>1.0419298513089797E-3</c:v>
                </c:pt>
                <c:pt idx="453">
                  <c:v>1.0419298513089797E-3</c:v>
                </c:pt>
                <c:pt idx="454">
                  <c:v>1.0419298513089797E-3</c:v>
                </c:pt>
                <c:pt idx="455">
                  <c:v>1.0419298513089797E-3</c:v>
                </c:pt>
                <c:pt idx="456">
                  <c:v>1.0419298513089797E-3</c:v>
                </c:pt>
                <c:pt idx="457">
                  <c:v>1.0419298513089797E-3</c:v>
                </c:pt>
                <c:pt idx="458">
                  <c:v>1.0419298513089797E-3</c:v>
                </c:pt>
                <c:pt idx="459">
                  <c:v>#N/A</c:v>
                </c:pt>
              </c:numCache>
            </c:numRef>
          </c:xVal>
          <c:yVal>
            <c:numRef>
              <c:f>Messdaten!$L$15:$L$2656</c:f>
              <c:numCache>
                <c:formatCode>0.000</c:formatCode>
                <c:ptCount val="26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2E-4203-89BE-557ADFB0B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870784"/>
        <c:axId val="98872704"/>
      </c:scatterChart>
      <c:valAx>
        <c:axId val="9887078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 sz="1800" b="1" i="0" u="none" strike="noStrike" baseline="0">
                    <a:solidFill>
                      <a:srgbClr val="000000"/>
                    </a:solidFill>
                    <a:latin typeface="Symbol"/>
                  </a:rPr>
                  <a:t>e</a:t>
                </a:r>
                <a:r>
                  <a:rPr lang="de-DE" sz="1800" b="1" i="0" u="none" strike="noStrike" baseline="-25000">
                    <a:solidFill>
                      <a:srgbClr val="000000"/>
                    </a:solidFill>
                    <a:latin typeface="Frutiger 45 Light"/>
                  </a:rPr>
                  <a:t>wahr</a:t>
                </a:r>
                <a:r>
                  <a:rPr lang="de-DE" sz="1800" b="1" i="0" u="none" strike="noStrike" baseline="0">
                    <a:solidFill>
                      <a:srgbClr val="000000"/>
                    </a:solidFill>
                    <a:latin typeface="Frutiger 45 Light"/>
                  </a:rPr>
                  <a:t> [-]</a:t>
                </a:r>
                <a:endParaRPr lang="de-DE" baseline="0"/>
              </a:p>
            </c:rich>
          </c:tx>
          <c:layout>
            <c:manualLayout>
              <c:xMode val="edge"/>
              <c:yMode val="edge"/>
              <c:x val="0.48082463591743968"/>
              <c:y val="0.9124317938863030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8872704"/>
        <c:crosses val="autoZero"/>
        <c:crossBetween val="midCat"/>
      </c:valAx>
      <c:valAx>
        <c:axId val="98872704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 sz="1800" b="1" i="0" u="none" strike="noStrike" baseline="0">
                    <a:solidFill>
                      <a:srgbClr val="000000"/>
                    </a:solidFill>
                    <a:latin typeface="Frutiger FhG Light"/>
                  </a:rPr>
                  <a:t>r</a:t>
                </a:r>
                <a:endParaRPr lang="de-DE"/>
              </a:p>
            </c:rich>
          </c:tx>
          <c:layout>
            <c:manualLayout>
              <c:xMode val="edge"/>
              <c:yMode val="edge"/>
              <c:x val="2.3608736325158527E-2"/>
              <c:y val="0.3757071827822910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887078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767986524714093"/>
          <c:y val="0.7495723573380586"/>
          <c:w val="0.12002084693353965"/>
          <c:h val="7.5604194483613482E-2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95832225168375"/>
          <c:y val="4.3793004479828292E-2"/>
          <c:w val="0.75490464408427949"/>
          <c:h val="0.7909626339673651"/>
        </c:manualLayout>
      </c:layout>
      <c:scatterChart>
        <c:scatterStyle val="lineMarker"/>
        <c:varyColors val="0"/>
        <c:ser>
          <c:idx val="0"/>
          <c:order val="0"/>
          <c:tx>
            <c:v>eps wahr-Breite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trendline>
            <c:trendlineType val="linear"/>
            <c:dispRSqr val="0"/>
            <c:dispEq val="1"/>
            <c:trendlineLbl>
              <c:layout>
                <c:manualLayout>
                  <c:x val="-0.11895066852569734"/>
                  <c:y val="1.3397390302440405E-2"/>
                </c:manualLayout>
              </c:layout>
              <c:numFmt formatCode="General" sourceLinked="0"/>
            </c:trendlineLbl>
          </c:trendline>
          <c:xVal>
            <c:numRef>
              <c:f>Messdaten!$S$15:$S$656</c:f>
              <c:numCache>
                <c:formatCode>0.000</c:formatCode>
                <c:ptCount val="6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</c:numCache>
            </c:numRef>
          </c:xVal>
          <c:yVal>
            <c:numRef>
              <c:f>Messdaten!$R$15:$R$656</c:f>
              <c:numCache>
                <c:formatCode>0.000</c:formatCode>
                <c:ptCount val="6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48-4039-892A-D88CE292C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704256"/>
        <c:axId val="102706176"/>
      </c:scatterChart>
      <c:valAx>
        <c:axId val="10270425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 sz="1800" b="1" i="0" u="none" strike="noStrike" baseline="0">
                    <a:solidFill>
                      <a:srgbClr val="000000"/>
                    </a:solidFill>
                    <a:latin typeface="Symbol"/>
                  </a:rPr>
                  <a:t>e</a:t>
                </a:r>
                <a:r>
                  <a:rPr lang="de-DE" sz="1800" b="1" i="0" u="none" strike="noStrike" baseline="-25000">
                    <a:solidFill>
                      <a:srgbClr val="000000"/>
                    </a:solidFill>
                    <a:latin typeface="Frutiger FhG Light" pitchFamily="18" charset="0"/>
                  </a:rPr>
                  <a:t>wahr </a:t>
                </a:r>
                <a:r>
                  <a:rPr lang="de-DE" sz="1800" b="1" i="0" u="none" strike="noStrike" baseline="0">
                    <a:solidFill>
                      <a:srgbClr val="000000"/>
                    </a:solidFill>
                    <a:latin typeface="Frutiger 45 Light"/>
                  </a:rPr>
                  <a:t>[-]</a:t>
                </a:r>
                <a:endParaRPr lang="de-DE" baseline="0"/>
              </a:p>
            </c:rich>
          </c:tx>
          <c:layout>
            <c:manualLayout>
              <c:xMode val="edge"/>
              <c:yMode val="edge"/>
              <c:x val="0.48082463591743968"/>
              <c:y val="0.9124317938863030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2706176"/>
        <c:crosses val="autoZero"/>
        <c:crossBetween val="midCat"/>
      </c:valAx>
      <c:valAx>
        <c:axId val="102706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 sz="1800" b="1" i="0" u="none" strike="noStrike" baseline="0">
                    <a:solidFill>
                      <a:srgbClr val="000000"/>
                    </a:solidFill>
                    <a:latin typeface="Symbol"/>
                  </a:rPr>
                  <a:t>e</a:t>
                </a:r>
                <a:r>
                  <a:rPr lang="de-DE" sz="1800" b="1" i="0" u="none" strike="noStrike" baseline="-25000">
                    <a:solidFill>
                      <a:srgbClr val="000000"/>
                    </a:solidFill>
                    <a:latin typeface="Frutiger LT Com 45 Light" pitchFamily="34" charset="0"/>
                  </a:rPr>
                  <a:t>wahr Breite </a:t>
                </a:r>
                <a:r>
                  <a:rPr lang="de-DE" sz="1800" b="1" i="0" u="none" strike="noStrike" baseline="0">
                    <a:solidFill>
                      <a:srgbClr val="000000"/>
                    </a:solidFill>
                    <a:latin typeface="Frutiger FhG Light"/>
                  </a:rPr>
                  <a:t>[-]</a:t>
                </a:r>
                <a:endParaRPr lang="de-DE"/>
              </a:p>
            </c:rich>
          </c:tx>
          <c:layout>
            <c:manualLayout>
              <c:xMode val="edge"/>
              <c:yMode val="edge"/>
              <c:x val="2.3608736325158527E-2"/>
              <c:y val="0.37570718278229109"/>
            </c:manualLayout>
          </c:layout>
          <c:overlay val="0"/>
          <c:spPr>
            <a:noFill/>
            <a:ln w="25400">
              <a:noFill/>
            </a:ln>
          </c:spPr>
        </c:title>
        <c:numFmt formatCode="0.000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2704256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4850211021472881"/>
          <c:y val="0.394580281268328"/>
          <c:w val="0.14868000762954783"/>
          <c:h val="7.5604194483613482E-2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Diagramm1"/>
  <sheetViews>
    <sheetView workbookViewId="0"/>
  </sheetViews>
  <pageMargins left="0.7" right="0.7" top="0.78740157499999996" bottom="0.78740157499999996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Diagramm2"/>
  <sheetViews>
    <sheetView workbookViewId="0"/>
  </sheetViews>
  <pageMargins left="0.7" right="0.7" top="0.78740157499999996" bottom="0.78740157499999996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Diagramm4"/>
  <sheetViews>
    <sheetView workbookViewId="0"/>
  </sheetViews>
  <pageMargins left="0.7" right="0.7" top="0.78740157499999996" bottom="0.78740157499999996" header="0.3" footer="0.3"/>
  <drawing r:id="rId1"/>
</chartsheet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0</xdr:col>
      <xdr:colOff>114300</xdr:colOff>
      <xdr:row>27</xdr:row>
      <xdr:rowOff>0</xdr:rowOff>
    </xdr:to>
    <xdr:sp macro="" textlink="">
      <xdr:nvSpPr>
        <xdr:cNvPr id="22309" name="Line 2">
          <a:extLst>
            <a:ext uri="{FF2B5EF4-FFF2-40B4-BE49-F238E27FC236}">
              <a16:creationId xmlns:a16="http://schemas.microsoft.com/office/drawing/2014/main" id="{00000000-0008-0000-0000-000025570000}"/>
            </a:ext>
          </a:extLst>
        </xdr:cNvPr>
        <xdr:cNvSpPr>
          <a:spLocks noChangeShapeType="1"/>
        </xdr:cNvSpPr>
      </xdr:nvSpPr>
      <xdr:spPr bwMode="auto">
        <a:xfrm>
          <a:off x="0" y="5162550"/>
          <a:ext cx="1143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66675</xdr:colOff>
      <xdr:row>27</xdr:row>
      <xdr:rowOff>152400</xdr:rowOff>
    </xdr:from>
    <xdr:to>
      <xdr:col>32</xdr:col>
      <xdr:colOff>161925</xdr:colOff>
      <xdr:row>32</xdr:row>
      <xdr:rowOff>142875</xdr:rowOff>
    </xdr:to>
    <xdr:grpSp>
      <xdr:nvGrpSpPr>
        <xdr:cNvPr id="22310" name="Group 26">
          <a:extLst>
            <a:ext uri="{FF2B5EF4-FFF2-40B4-BE49-F238E27FC236}">
              <a16:creationId xmlns:a16="http://schemas.microsoft.com/office/drawing/2014/main" id="{00000000-0008-0000-0000-000026570000}"/>
            </a:ext>
          </a:extLst>
        </xdr:cNvPr>
        <xdr:cNvGrpSpPr>
          <a:grpSpLocks/>
        </xdr:cNvGrpSpPr>
      </xdr:nvGrpSpPr>
      <xdr:grpSpPr bwMode="auto">
        <a:xfrm>
          <a:off x="4272915" y="5384800"/>
          <a:ext cx="1741170" cy="955675"/>
          <a:chOff x="426" y="393"/>
          <a:chExt cx="181" cy="99"/>
        </a:xfrm>
      </xdr:grpSpPr>
      <xdr:sp macro="" textlink="">
        <xdr:nvSpPr>
          <xdr:cNvPr id="22312" name="Freeform 27" descr="Diagonal hell nach unten">
            <a:extLst>
              <a:ext uri="{FF2B5EF4-FFF2-40B4-BE49-F238E27FC236}">
                <a16:creationId xmlns:a16="http://schemas.microsoft.com/office/drawing/2014/main" id="{00000000-0008-0000-0000-000028570000}"/>
              </a:ext>
            </a:extLst>
          </xdr:cNvPr>
          <xdr:cNvSpPr>
            <a:spLocks/>
          </xdr:cNvSpPr>
        </xdr:nvSpPr>
        <xdr:spPr bwMode="auto">
          <a:xfrm rot="-5400000">
            <a:off x="502" y="386"/>
            <a:ext cx="31" cy="110"/>
          </a:xfrm>
          <a:custGeom>
            <a:avLst/>
            <a:gdLst>
              <a:gd name="T0" fmla="*/ 1 w 31"/>
              <a:gd name="T1" fmla="*/ 1 h 110"/>
              <a:gd name="T2" fmla="*/ 2 w 31"/>
              <a:gd name="T3" fmla="*/ 13 h 110"/>
              <a:gd name="T4" fmla="*/ 3 w 31"/>
              <a:gd name="T5" fmla="*/ 18 h 110"/>
              <a:gd name="T6" fmla="*/ 1 w 31"/>
              <a:gd name="T7" fmla="*/ 20 h 110"/>
              <a:gd name="T8" fmla="*/ 2 w 31"/>
              <a:gd name="T9" fmla="*/ 34 h 110"/>
              <a:gd name="T10" fmla="*/ 3 w 31"/>
              <a:gd name="T11" fmla="*/ 48 h 110"/>
              <a:gd name="T12" fmla="*/ 2 w 31"/>
              <a:gd name="T13" fmla="*/ 61 h 110"/>
              <a:gd name="T14" fmla="*/ 0 w 31"/>
              <a:gd name="T15" fmla="*/ 74 h 110"/>
              <a:gd name="T16" fmla="*/ 1 w 31"/>
              <a:gd name="T17" fmla="*/ 87 h 110"/>
              <a:gd name="T18" fmla="*/ 3 w 31"/>
              <a:gd name="T19" fmla="*/ 102 h 110"/>
              <a:gd name="T20" fmla="*/ 11 w 31"/>
              <a:gd name="T21" fmla="*/ 106 h 110"/>
              <a:gd name="T22" fmla="*/ 16 w 31"/>
              <a:gd name="T23" fmla="*/ 107 h 110"/>
              <a:gd name="T24" fmla="*/ 29 w 31"/>
              <a:gd name="T25" fmla="*/ 106 h 110"/>
              <a:gd name="T26" fmla="*/ 30 w 31"/>
              <a:gd name="T27" fmla="*/ 88 h 110"/>
              <a:gd name="T28" fmla="*/ 31 w 31"/>
              <a:gd name="T29" fmla="*/ 68 h 110"/>
              <a:gd name="T30" fmla="*/ 31 w 31"/>
              <a:gd name="T31" fmla="*/ 50 h 110"/>
              <a:gd name="T32" fmla="*/ 30 w 31"/>
              <a:gd name="T33" fmla="*/ 33 h 110"/>
              <a:gd name="T34" fmla="*/ 29 w 31"/>
              <a:gd name="T35" fmla="*/ 17 h 110"/>
              <a:gd name="T36" fmla="*/ 29 w 31"/>
              <a:gd name="T37" fmla="*/ 9 h 110"/>
              <a:gd name="T38" fmla="*/ 28 w 31"/>
              <a:gd name="T39" fmla="*/ 4 h 110"/>
              <a:gd name="T40" fmla="*/ 26 w 31"/>
              <a:gd name="T41" fmla="*/ 0 h 110"/>
              <a:gd name="T42" fmla="*/ 24 w 31"/>
              <a:gd name="T43" fmla="*/ 1 h 110"/>
              <a:gd name="T44" fmla="*/ 10 w 31"/>
              <a:gd name="T45" fmla="*/ 0 h 110"/>
              <a:gd name="T46" fmla="*/ 1 w 31"/>
              <a:gd name="T47" fmla="*/ 1 h 110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</a:gdLst>
            <a:ahLst/>
            <a:cxnLst>
              <a:cxn ang="T48">
                <a:pos x="T0" y="T1"/>
              </a:cxn>
              <a:cxn ang="T49">
                <a:pos x="T2" y="T3"/>
              </a:cxn>
              <a:cxn ang="T50">
                <a:pos x="T4" y="T5"/>
              </a:cxn>
              <a:cxn ang="T51">
                <a:pos x="T6" y="T7"/>
              </a:cxn>
              <a:cxn ang="T52">
                <a:pos x="T8" y="T9"/>
              </a:cxn>
              <a:cxn ang="T53">
                <a:pos x="T10" y="T11"/>
              </a:cxn>
              <a:cxn ang="T54">
                <a:pos x="T12" y="T13"/>
              </a:cxn>
              <a:cxn ang="T55">
                <a:pos x="T14" y="T15"/>
              </a:cxn>
              <a:cxn ang="T56">
                <a:pos x="T16" y="T17"/>
              </a:cxn>
              <a:cxn ang="T57">
                <a:pos x="T18" y="T19"/>
              </a:cxn>
              <a:cxn ang="T58">
                <a:pos x="T20" y="T21"/>
              </a:cxn>
              <a:cxn ang="T59">
                <a:pos x="T22" y="T23"/>
              </a:cxn>
              <a:cxn ang="T60">
                <a:pos x="T24" y="T25"/>
              </a:cxn>
              <a:cxn ang="T61">
                <a:pos x="T26" y="T27"/>
              </a:cxn>
              <a:cxn ang="T62">
                <a:pos x="T28" y="T29"/>
              </a:cxn>
              <a:cxn ang="T63">
                <a:pos x="T30" y="T31"/>
              </a:cxn>
              <a:cxn ang="T64">
                <a:pos x="T32" y="T33"/>
              </a:cxn>
              <a:cxn ang="T65">
                <a:pos x="T34" y="T35"/>
              </a:cxn>
              <a:cxn ang="T66">
                <a:pos x="T36" y="T37"/>
              </a:cxn>
              <a:cxn ang="T67">
                <a:pos x="T38" y="T39"/>
              </a:cxn>
              <a:cxn ang="T68">
                <a:pos x="T40" y="T41"/>
              </a:cxn>
              <a:cxn ang="T69">
                <a:pos x="T42" y="T43"/>
              </a:cxn>
              <a:cxn ang="T70">
                <a:pos x="T44" y="T45"/>
              </a:cxn>
              <a:cxn ang="T71">
                <a:pos x="T46" y="T47"/>
              </a:cxn>
            </a:cxnLst>
            <a:rect l="0" t="0" r="r" b="b"/>
            <a:pathLst>
              <a:path w="31" h="110">
                <a:moveTo>
                  <a:pt x="1" y="1"/>
                </a:moveTo>
                <a:cubicBezTo>
                  <a:pt x="2" y="6"/>
                  <a:pt x="3" y="8"/>
                  <a:pt x="2" y="13"/>
                </a:cubicBezTo>
                <a:cubicBezTo>
                  <a:pt x="2" y="15"/>
                  <a:pt x="3" y="16"/>
                  <a:pt x="3" y="18"/>
                </a:cubicBezTo>
                <a:cubicBezTo>
                  <a:pt x="3" y="19"/>
                  <a:pt x="1" y="20"/>
                  <a:pt x="1" y="20"/>
                </a:cubicBezTo>
                <a:cubicBezTo>
                  <a:pt x="2" y="25"/>
                  <a:pt x="1" y="30"/>
                  <a:pt x="2" y="34"/>
                </a:cubicBezTo>
                <a:cubicBezTo>
                  <a:pt x="1" y="41"/>
                  <a:pt x="0" y="42"/>
                  <a:pt x="3" y="48"/>
                </a:cubicBezTo>
                <a:cubicBezTo>
                  <a:pt x="2" y="53"/>
                  <a:pt x="3" y="57"/>
                  <a:pt x="2" y="61"/>
                </a:cubicBezTo>
                <a:cubicBezTo>
                  <a:pt x="3" y="65"/>
                  <a:pt x="0" y="74"/>
                  <a:pt x="0" y="74"/>
                </a:cubicBezTo>
                <a:cubicBezTo>
                  <a:pt x="2" y="80"/>
                  <a:pt x="2" y="79"/>
                  <a:pt x="1" y="87"/>
                </a:cubicBezTo>
                <a:cubicBezTo>
                  <a:pt x="2" y="93"/>
                  <a:pt x="0" y="97"/>
                  <a:pt x="3" y="102"/>
                </a:cubicBezTo>
                <a:cubicBezTo>
                  <a:pt x="0" y="110"/>
                  <a:pt x="5" y="107"/>
                  <a:pt x="11" y="106"/>
                </a:cubicBezTo>
                <a:cubicBezTo>
                  <a:pt x="12" y="105"/>
                  <a:pt x="16" y="107"/>
                  <a:pt x="16" y="107"/>
                </a:cubicBezTo>
                <a:cubicBezTo>
                  <a:pt x="22" y="106"/>
                  <a:pt x="23" y="107"/>
                  <a:pt x="29" y="106"/>
                </a:cubicBezTo>
                <a:cubicBezTo>
                  <a:pt x="30" y="99"/>
                  <a:pt x="29" y="94"/>
                  <a:pt x="30" y="88"/>
                </a:cubicBezTo>
                <a:cubicBezTo>
                  <a:pt x="29" y="81"/>
                  <a:pt x="30" y="75"/>
                  <a:pt x="31" y="68"/>
                </a:cubicBezTo>
                <a:cubicBezTo>
                  <a:pt x="30" y="61"/>
                  <a:pt x="28" y="56"/>
                  <a:pt x="31" y="50"/>
                </a:cubicBezTo>
                <a:cubicBezTo>
                  <a:pt x="29" y="43"/>
                  <a:pt x="29" y="40"/>
                  <a:pt x="30" y="33"/>
                </a:cubicBezTo>
                <a:cubicBezTo>
                  <a:pt x="29" y="27"/>
                  <a:pt x="31" y="22"/>
                  <a:pt x="29" y="17"/>
                </a:cubicBezTo>
                <a:cubicBezTo>
                  <a:pt x="30" y="14"/>
                  <a:pt x="29" y="9"/>
                  <a:pt x="29" y="9"/>
                </a:cubicBezTo>
                <a:cubicBezTo>
                  <a:pt x="29" y="1"/>
                  <a:pt x="28" y="4"/>
                  <a:pt x="28" y="4"/>
                </a:cubicBezTo>
                <a:cubicBezTo>
                  <a:pt x="28" y="2"/>
                  <a:pt x="29" y="0"/>
                  <a:pt x="26" y="0"/>
                </a:cubicBezTo>
                <a:cubicBezTo>
                  <a:pt x="25" y="0"/>
                  <a:pt x="24" y="1"/>
                  <a:pt x="24" y="1"/>
                </a:cubicBezTo>
                <a:cubicBezTo>
                  <a:pt x="19" y="0"/>
                  <a:pt x="15" y="1"/>
                  <a:pt x="10" y="0"/>
                </a:cubicBezTo>
                <a:cubicBezTo>
                  <a:pt x="2" y="1"/>
                  <a:pt x="5" y="1"/>
                  <a:pt x="1" y="1"/>
                </a:cubicBezTo>
                <a:close/>
              </a:path>
            </a:pathLst>
          </a:custGeom>
          <a:pattFill prst="ltDnDiag">
            <a:fgClr>
              <a:srgbClr val="000000"/>
            </a:fgClr>
            <a:bgClr>
              <a:srgbClr val="FFFFFF"/>
            </a:bgClr>
          </a:pattFill>
          <a:ln w="9525" cap="flat" cmpd="sng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</xdr:spPr>
      </xdr:sp>
      <xdr:sp macro="" textlink="">
        <xdr:nvSpPr>
          <xdr:cNvPr id="21532" name="Text Box 28">
            <a:extLst>
              <a:ext uri="{FF2B5EF4-FFF2-40B4-BE49-F238E27FC236}">
                <a16:creationId xmlns:a16="http://schemas.microsoft.com/office/drawing/2014/main" id="{00000000-0008-0000-0000-00001C5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26" y="428"/>
            <a:ext cx="33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A1</a:t>
            </a:r>
          </a:p>
          <a:p>
            <a:pPr algn="ctr" rtl="0">
              <a:defRPr sz="1000"/>
            </a:pPr>
            <a:endParaRPr lang="de-DE"/>
          </a:p>
        </xdr:txBody>
      </xdr:sp>
      <xdr:sp macro="" textlink="">
        <xdr:nvSpPr>
          <xdr:cNvPr id="22314" name="Line 29">
            <a:extLst>
              <a:ext uri="{FF2B5EF4-FFF2-40B4-BE49-F238E27FC236}">
                <a16:creationId xmlns:a16="http://schemas.microsoft.com/office/drawing/2014/main" id="{00000000-0008-0000-0000-00002A57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54" y="430"/>
            <a:ext cx="0" cy="2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534" name="Text Box 30">
            <a:extLst>
              <a:ext uri="{FF2B5EF4-FFF2-40B4-BE49-F238E27FC236}">
                <a16:creationId xmlns:a16="http://schemas.microsoft.com/office/drawing/2014/main" id="{00000000-0008-0000-0000-00001E5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97" y="393"/>
            <a:ext cx="38" cy="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ctr" rtl="0">
              <a:lnSpc>
                <a:spcPts val="500"/>
              </a:lnSpc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B1</a:t>
            </a:r>
          </a:p>
          <a:p>
            <a:pPr algn="ctr" rtl="0">
              <a:lnSpc>
                <a:spcPts val="1000"/>
              </a:lnSpc>
              <a:defRPr sz="1000"/>
            </a:pPr>
            <a:endParaRPr lang="de-DE"/>
          </a:p>
        </xdr:txBody>
      </xdr:sp>
      <xdr:sp macro="" textlink="">
        <xdr:nvSpPr>
          <xdr:cNvPr id="22316" name="Line 31">
            <a:extLst>
              <a:ext uri="{FF2B5EF4-FFF2-40B4-BE49-F238E27FC236}">
                <a16:creationId xmlns:a16="http://schemas.microsoft.com/office/drawing/2014/main" id="{00000000-0008-0000-0000-00002C57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569" y="403"/>
            <a:ext cx="0" cy="25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317" name="Line 32">
            <a:extLst>
              <a:ext uri="{FF2B5EF4-FFF2-40B4-BE49-F238E27FC236}">
                <a16:creationId xmlns:a16="http://schemas.microsoft.com/office/drawing/2014/main" id="{00000000-0008-0000-0000-00002D570000}"/>
              </a:ext>
            </a:extLst>
          </xdr:cNvPr>
          <xdr:cNvSpPr>
            <a:spLocks noChangeShapeType="1"/>
          </xdr:cNvSpPr>
        </xdr:nvSpPr>
        <xdr:spPr bwMode="auto">
          <a:xfrm rot="5400000" flipH="1">
            <a:off x="517" y="362"/>
            <a:ext cx="0" cy="10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537" name="Text Box 33">
            <a:extLst>
              <a:ext uri="{FF2B5EF4-FFF2-40B4-BE49-F238E27FC236}">
                <a16:creationId xmlns:a16="http://schemas.microsoft.com/office/drawing/2014/main" id="{00000000-0008-0000-0000-0000215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72" y="428"/>
            <a:ext cx="35" cy="2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A2</a:t>
            </a:r>
          </a:p>
          <a:p>
            <a:pPr algn="ctr" rtl="0">
              <a:defRPr sz="1000"/>
            </a:pPr>
            <a:endParaRPr lang="de-DE"/>
          </a:p>
        </xdr:txBody>
      </xdr:sp>
      <xdr:sp macro="" textlink="">
        <xdr:nvSpPr>
          <xdr:cNvPr id="21538" name="Text Box 34">
            <a:extLst>
              <a:ext uri="{FF2B5EF4-FFF2-40B4-BE49-F238E27FC236}">
                <a16:creationId xmlns:a16="http://schemas.microsoft.com/office/drawing/2014/main" id="{00000000-0008-0000-0000-0000225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98" y="462"/>
            <a:ext cx="38" cy="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ctr" rtl="0">
              <a:lnSpc>
                <a:spcPts val="500"/>
              </a:lnSpc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B2</a:t>
            </a:r>
          </a:p>
          <a:p>
            <a:pPr algn="ctr" rtl="0">
              <a:lnSpc>
                <a:spcPts val="1000"/>
              </a:lnSpc>
              <a:defRPr sz="1000"/>
            </a:pPr>
            <a:endParaRPr lang="de-DE"/>
          </a:p>
        </xdr:txBody>
      </xdr:sp>
      <xdr:sp macro="" textlink="">
        <xdr:nvSpPr>
          <xdr:cNvPr id="22320" name="Line 35">
            <a:extLst>
              <a:ext uri="{FF2B5EF4-FFF2-40B4-BE49-F238E27FC236}">
                <a16:creationId xmlns:a16="http://schemas.microsoft.com/office/drawing/2014/main" id="{00000000-0008-0000-0000-000030570000}"/>
              </a:ext>
            </a:extLst>
          </xdr:cNvPr>
          <xdr:cNvSpPr>
            <a:spLocks noChangeShapeType="1"/>
          </xdr:cNvSpPr>
        </xdr:nvSpPr>
        <xdr:spPr bwMode="auto">
          <a:xfrm rot="5400000" flipH="1">
            <a:off x="516" y="415"/>
            <a:ext cx="0" cy="10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321" name="Line 36">
            <a:extLst>
              <a:ext uri="{FF2B5EF4-FFF2-40B4-BE49-F238E27FC236}">
                <a16:creationId xmlns:a16="http://schemas.microsoft.com/office/drawing/2014/main" id="{00000000-0008-0000-0000-00003157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577" y="429"/>
            <a:ext cx="0" cy="2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322" name="Line 37">
            <a:extLst>
              <a:ext uri="{FF2B5EF4-FFF2-40B4-BE49-F238E27FC236}">
                <a16:creationId xmlns:a16="http://schemas.microsoft.com/office/drawing/2014/main" id="{00000000-0008-0000-0000-00003257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463" y="403"/>
            <a:ext cx="0" cy="25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323" name="Line 38">
            <a:extLst>
              <a:ext uri="{FF2B5EF4-FFF2-40B4-BE49-F238E27FC236}">
                <a16:creationId xmlns:a16="http://schemas.microsoft.com/office/drawing/2014/main" id="{00000000-0008-0000-0000-00003357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463" y="452"/>
            <a:ext cx="0" cy="25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324" name="Line 39">
            <a:extLst>
              <a:ext uri="{FF2B5EF4-FFF2-40B4-BE49-F238E27FC236}">
                <a16:creationId xmlns:a16="http://schemas.microsoft.com/office/drawing/2014/main" id="{00000000-0008-0000-0000-00003457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570" y="451"/>
            <a:ext cx="0" cy="25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325" name="Line 40">
            <a:extLst>
              <a:ext uri="{FF2B5EF4-FFF2-40B4-BE49-F238E27FC236}">
                <a16:creationId xmlns:a16="http://schemas.microsoft.com/office/drawing/2014/main" id="{00000000-0008-0000-0000-00003557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439" y="428"/>
            <a:ext cx="25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326" name="Line 41">
            <a:extLst>
              <a:ext uri="{FF2B5EF4-FFF2-40B4-BE49-F238E27FC236}">
                <a16:creationId xmlns:a16="http://schemas.microsoft.com/office/drawing/2014/main" id="{00000000-0008-0000-0000-00003657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439" y="455"/>
            <a:ext cx="25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327" name="Line 42">
            <a:extLst>
              <a:ext uri="{FF2B5EF4-FFF2-40B4-BE49-F238E27FC236}">
                <a16:creationId xmlns:a16="http://schemas.microsoft.com/office/drawing/2014/main" id="{00000000-0008-0000-0000-00003757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567" y="427"/>
            <a:ext cx="25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328" name="Line 43">
            <a:extLst>
              <a:ext uri="{FF2B5EF4-FFF2-40B4-BE49-F238E27FC236}">
                <a16:creationId xmlns:a16="http://schemas.microsoft.com/office/drawing/2014/main" id="{00000000-0008-0000-0000-00003857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568" y="454"/>
            <a:ext cx="25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83820</xdr:rowOff>
        </xdr:from>
        <xdr:to>
          <xdr:col>2</xdr:col>
          <xdr:colOff>30480</xdr:colOff>
          <xdr:row>1</xdr:row>
          <xdr:rowOff>182880</xdr:rowOff>
        </xdr:to>
        <xdr:sp macro="" textlink="">
          <xdr:nvSpPr>
            <xdr:cNvPr id="13315" name="btnLoadData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1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</xdr:row>
          <xdr:rowOff>30480</xdr:rowOff>
        </xdr:from>
        <xdr:to>
          <xdr:col>2</xdr:col>
          <xdr:colOff>0</xdr:colOff>
          <xdr:row>12</xdr:row>
          <xdr:rowOff>45720</xdr:rowOff>
        </xdr:to>
        <xdr:sp macro="" textlink="">
          <xdr:nvSpPr>
            <xdr:cNvPr id="13329" name="CommandButton1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1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754380</xdr:colOff>
          <xdr:row>0</xdr:row>
          <xdr:rowOff>83820</xdr:rowOff>
        </xdr:from>
        <xdr:to>
          <xdr:col>3</xdr:col>
          <xdr:colOff>754380</xdr:colOff>
          <xdr:row>1</xdr:row>
          <xdr:rowOff>182880</xdr:rowOff>
        </xdr:to>
        <xdr:sp macro="" textlink="">
          <xdr:nvSpPr>
            <xdr:cNvPr id="13330" name="btnDatenuebernahme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1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4</xdr:row>
          <xdr:rowOff>220980</xdr:rowOff>
        </xdr:from>
        <xdr:to>
          <xdr:col>2</xdr:col>
          <xdr:colOff>7620</xdr:colOff>
          <xdr:row>6</xdr:row>
          <xdr:rowOff>38100</xdr:rowOff>
        </xdr:to>
        <xdr:sp macro="" textlink="">
          <xdr:nvSpPr>
            <xdr:cNvPr id="13331" name="CommandButton2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1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13</xdr:row>
      <xdr:rowOff>38100</xdr:rowOff>
    </xdr:from>
    <xdr:to>
      <xdr:col>6</xdr:col>
      <xdr:colOff>590550</xdr:colOff>
      <xdr:row>36</xdr:row>
      <xdr:rowOff>28575</xdr:rowOff>
    </xdr:to>
    <xdr:graphicFrame macro="">
      <xdr:nvGraphicFramePr>
        <xdr:cNvPr id="2198" name="Diagramm 8">
          <a:extLst>
            <a:ext uri="{FF2B5EF4-FFF2-40B4-BE49-F238E27FC236}">
              <a16:creationId xmlns:a16="http://schemas.microsoft.com/office/drawing/2014/main" id="{00000000-0008-0000-0200-00009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449580</xdr:colOff>
          <xdr:row>34</xdr:row>
          <xdr:rowOff>83820</xdr:rowOff>
        </xdr:from>
        <xdr:to>
          <xdr:col>1</xdr:col>
          <xdr:colOff>373380</xdr:colOff>
          <xdr:row>35</xdr:row>
          <xdr:rowOff>114300</xdr:rowOff>
        </xdr:to>
        <xdr:sp macro="" textlink="">
          <xdr:nvSpPr>
            <xdr:cNvPr id="2058" name="spbRp02Unte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426720</xdr:colOff>
          <xdr:row>13</xdr:row>
          <xdr:rowOff>0</xdr:rowOff>
        </xdr:from>
        <xdr:to>
          <xdr:col>1</xdr:col>
          <xdr:colOff>350520</xdr:colOff>
          <xdr:row>14</xdr:row>
          <xdr:rowOff>30480</xdr:rowOff>
        </xdr:to>
        <xdr:sp macro="" textlink="">
          <xdr:nvSpPr>
            <xdr:cNvPr id="2057" name="spbRp02Oben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7</xdr:col>
      <xdr:colOff>190500</xdr:colOff>
      <xdr:row>13</xdr:row>
      <xdr:rowOff>38100</xdr:rowOff>
    </xdr:from>
    <xdr:to>
      <xdr:col>13</xdr:col>
      <xdr:colOff>695325</xdr:colOff>
      <xdr:row>36</xdr:row>
      <xdr:rowOff>28575</xdr:rowOff>
    </xdr:to>
    <xdr:graphicFrame macro="">
      <xdr:nvGraphicFramePr>
        <xdr:cNvPr id="2199" name="Diagramm 13">
          <a:extLst>
            <a:ext uri="{FF2B5EF4-FFF2-40B4-BE49-F238E27FC236}">
              <a16:creationId xmlns:a16="http://schemas.microsoft.com/office/drawing/2014/main" id="{00000000-0008-0000-0200-00009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236220</xdr:colOff>
          <xdr:row>10</xdr:row>
          <xdr:rowOff>45720</xdr:rowOff>
        </xdr:from>
        <xdr:to>
          <xdr:col>3</xdr:col>
          <xdr:colOff>754380</xdr:colOff>
          <xdr:row>10</xdr:row>
          <xdr:rowOff>228600</xdr:rowOff>
        </xdr:to>
        <xdr:sp macro="" textlink="">
          <xdr:nvSpPr>
            <xdr:cNvPr id="2073" name="CheckBox1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2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12</xdr:row>
          <xdr:rowOff>121920</xdr:rowOff>
        </xdr:from>
        <xdr:to>
          <xdr:col>3</xdr:col>
          <xdr:colOff>800100</xdr:colOff>
          <xdr:row>14</xdr:row>
          <xdr:rowOff>68580</xdr:rowOff>
        </xdr:to>
        <xdr:sp macro="" textlink="">
          <xdr:nvSpPr>
            <xdr:cNvPr id="2074" name="OptionButton1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2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14</xdr:row>
          <xdr:rowOff>38100</xdr:rowOff>
        </xdr:from>
        <xdr:to>
          <xdr:col>3</xdr:col>
          <xdr:colOff>762000</xdr:colOff>
          <xdr:row>16</xdr:row>
          <xdr:rowOff>22860</xdr:rowOff>
        </xdr:to>
        <xdr:sp macro="" textlink="">
          <xdr:nvSpPr>
            <xdr:cNvPr id="2075" name="OptionButton2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2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259080</xdr:colOff>
          <xdr:row>12</xdr:row>
          <xdr:rowOff>121920</xdr:rowOff>
        </xdr:from>
        <xdr:to>
          <xdr:col>6</xdr:col>
          <xdr:colOff>449580</xdr:colOff>
          <xdr:row>14</xdr:row>
          <xdr:rowOff>68580</xdr:rowOff>
        </xdr:to>
        <xdr:sp macro="" textlink="">
          <xdr:nvSpPr>
            <xdr:cNvPr id="2076" name="OptionButton3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2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66675</xdr:colOff>
      <xdr:row>11</xdr:row>
      <xdr:rowOff>190499</xdr:rowOff>
    </xdr:from>
    <xdr:to>
      <xdr:col>31</xdr:col>
      <xdr:colOff>38101</xdr:colOff>
      <xdr:row>14</xdr:row>
      <xdr:rowOff>121502</xdr:rowOff>
    </xdr:to>
    <xdr:pic>
      <xdr:nvPicPr>
        <xdr:cNvPr id="26" name="Grafik 4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697" t="50613" r="26224" b="22269"/>
        <a:stretch/>
      </xdr:blipFill>
      <xdr:spPr bwMode="auto">
        <a:xfrm>
          <a:off x="4229100" y="2305049"/>
          <a:ext cx="1419226" cy="502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27</xdr:row>
      <xdr:rowOff>0</xdr:rowOff>
    </xdr:from>
    <xdr:to>
      <xdr:col>0</xdr:col>
      <xdr:colOff>114300</xdr:colOff>
      <xdr:row>27</xdr:row>
      <xdr:rowOff>0</xdr:rowOff>
    </xdr:to>
    <xdr:sp macro="" textlink="">
      <xdr:nvSpPr>
        <xdr:cNvPr id="335945" name="Line 2">
          <a:extLst>
            <a:ext uri="{FF2B5EF4-FFF2-40B4-BE49-F238E27FC236}">
              <a16:creationId xmlns:a16="http://schemas.microsoft.com/office/drawing/2014/main" id="{00000000-0008-0000-0300-000049200500}"/>
            </a:ext>
          </a:extLst>
        </xdr:cNvPr>
        <xdr:cNvSpPr>
          <a:spLocks noChangeShapeType="1"/>
        </xdr:cNvSpPr>
      </xdr:nvSpPr>
      <xdr:spPr bwMode="auto">
        <a:xfrm>
          <a:off x="0" y="5162550"/>
          <a:ext cx="1143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1</xdr:col>
      <xdr:colOff>114300</xdr:colOff>
      <xdr:row>37</xdr:row>
      <xdr:rowOff>114300</xdr:rowOff>
    </xdr:from>
    <xdr:to>
      <xdr:col>34</xdr:col>
      <xdr:colOff>66675</xdr:colOff>
      <xdr:row>54</xdr:row>
      <xdr:rowOff>123825</xdr:rowOff>
    </xdr:to>
    <xdr:graphicFrame macro="">
      <xdr:nvGraphicFramePr>
        <xdr:cNvPr id="335946" name="Diagramm 3">
          <a:extLst>
            <a:ext uri="{FF2B5EF4-FFF2-40B4-BE49-F238E27FC236}">
              <a16:creationId xmlns:a16="http://schemas.microsoft.com/office/drawing/2014/main" id="{00000000-0008-0000-0300-00004A200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9525</xdr:colOff>
      <xdr:row>19</xdr:row>
      <xdr:rowOff>123825</xdr:rowOff>
    </xdr:from>
    <xdr:to>
      <xdr:col>34</xdr:col>
      <xdr:colOff>104775</xdr:colOff>
      <xdr:row>24</xdr:row>
      <xdr:rowOff>142875</xdr:rowOff>
    </xdr:to>
    <xdr:grpSp>
      <xdr:nvGrpSpPr>
        <xdr:cNvPr id="335949" name="Group 50">
          <a:extLst>
            <a:ext uri="{FF2B5EF4-FFF2-40B4-BE49-F238E27FC236}">
              <a16:creationId xmlns:a16="http://schemas.microsoft.com/office/drawing/2014/main" id="{00000000-0008-0000-0300-00004D200500}"/>
            </a:ext>
          </a:extLst>
        </xdr:cNvPr>
        <xdr:cNvGrpSpPr>
          <a:grpSpLocks/>
        </xdr:cNvGrpSpPr>
      </xdr:nvGrpSpPr>
      <xdr:grpSpPr bwMode="auto">
        <a:xfrm>
          <a:off x="4581525" y="3766185"/>
          <a:ext cx="1741170" cy="971550"/>
          <a:chOff x="426" y="393"/>
          <a:chExt cx="181" cy="102"/>
        </a:xfrm>
      </xdr:grpSpPr>
      <xdr:sp macro="" textlink="">
        <xdr:nvSpPr>
          <xdr:cNvPr id="335951" name="Freeform 51" descr="Diagonal hell nach unten">
            <a:extLst>
              <a:ext uri="{FF2B5EF4-FFF2-40B4-BE49-F238E27FC236}">
                <a16:creationId xmlns:a16="http://schemas.microsoft.com/office/drawing/2014/main" id="{00000000-0008-0000-0300-00004F200500}"/>
              </a:ext>
            </a:extLst>
          </xdr:cNvPr>
          <xdr:cNvSpPr>
            <a:spLocks/>
          </xdr:cNvSpPr>
        </xdr:nvSpPr>
        <xdr:spPr bwMode="auto">
          <a:xfrm rot="-5400000">
            <a:off x="502" y="386"/>
            <a:ext cx="31" cy="110"/>
          </a:xfrm>
          <a:custGeom>
            <a:avLst/>
            <a:gdLst>
              <a:gd name="T0" fmla="*/ 1 w 31"/>
              <a:gd name="T1" fmla="*/ 1 h 110"/>
              <a:gd name="T2" fmla="*/ 2 w 31"/>
              <a:gd name="T3" fmla="*/ 13 h 110"/>
              <a:gd name="T4" fmla="*/ 3 w 31"/>
              <a:gd name="T5" fmla="*/ 18 h 110"/>
              <a:gd name="T6" fmla="*/ 1 w 31"/>
              <a:gd name="T7" fmla="*/ 20 h 110"/>
              <a:gd name="T8" fmla="*/ 2 w 31"/>
              <a:gd name="T9" fmla="*/ 34 h 110"/>
              <a:gd name="T10" fmla="*/ 3 w 31"/>
              <a:gd name="T11" fmla="*/ 48 h 110"/>
              <a:gd name="T12" fmla="*/ 2 w 31"/>
              <a:gd name="T13" fmla="*/ 61 h 110"/>
              <a:gd name="T14" fmla="*/ 0 w 31"/>
              <a:gd name="T15" fmla="*/ 74 h 110"/>
              <a:gd name="T16" fmla="*/ 1 w 31"/>
              <a:gd name="T17" fmla="*/ 87 h 110"/>
              <a:gd name="T18" fmla="*/ 3 w 31"/>
              <a:gd name="T19" fmla="*/ 102 h 110"/>
              <a:gd name="T20" fmla="*/ 11 w 31"/>
              <a:gd name="T21" fmla="*/ 106 h 110"/>
              <a:gd name="T22" fmla="*/ 16 w 31"/>
              <a:gd name="T23" fmla="*/ 107 h 110"/>
              <a:gd name="T24" fmla="*/ 29 w 31"/>
              <a:gd name="T25" fmla="*/ 106 h 110"/>
              <a:gd name="T26" fmla="*/ 30 w 31"/>
              <a:gd name="T27" fmla="*/ 88 h 110"/>
              <a:gd name="T28" fmla="*/ 31 w 31"/>
              <a:gd name="T29" fmla="*/ 68 h 110"/>
              <a:gd name="T30" fmla="*/ 31 w 31"/>
              <a:gd name="T31" fmla="*/ 50 h 110"/>
              <a:gd name="T32" fmla="*/ 30 w 31"/>
              <a:gd name="T33" fmla="*/ 33 h 110"/>
              <a:gd name="T34" fmla="*/ 29 w 31"/>
              <a:gd name="T35" fmla="*/ 17 h 110"/>
              <a:gd name="T36" fmla="*/ 29 w 31"/>
              <a:gd name="T37" fmla="*/ 9 h 110"/>
              <a:gd name="T38" fmla="*/ 28 w 31"/>
              <a:gd name="T39" fmla="*/ 4 h 110"/>
              <a:gd name="T40" fmla="*/ 26 w 31"/>
              <a:gd name="T41" fmla="*/ 0 h 110"/>
              <a:gd name="T42" fmla="*/ 24 w 31"/>
              <a:gd name="T43" fmla="*/ 1 h 110"/>
              <a:gd name="T44" fmla="*/ 10 w 31"/>
              <a:gd name="T45" fmla="*/ 0 h 110"/>
              <a:gd name="T46" fmla="*/ 1 w 31"/>
              <a:gd name="T47" fmla="*/ 1 h 110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</a:gdLst>
            <a:ahLst/>
            <a:cxnLst>
              <a:cxn ang="T48">
                <a:pos x="T0" y="T1"/>
              </a:cxn>
              <a:cxn ang="T49">
                <a:pos x="T2" y="T3"/>
              </a:cxn>
              <a:cxn ang="T50">
                <a:pos x="T4" y="T5"/>
              </a:cxn>
              <a:cxn ang="T51">
                <a:pos x="T6" y="T7"/>
              </a:cxn>
              <a:cxn ang="T52">
                <a:pos x="T8" y="T9"/>
              </a:cxn>
              <a:cxn ang="T53">
                <a:pos x="T10" y="T11"/>
              </a:cxn>
              <a:cxn ang="T54">
                <a:pos x="T12" y="T13"/>
              </a:cxn>
              <a:cxn ang="T55">
                <a:pos x="T14" y="T15"/>
              </a:cxn>
              <a:cxn ang="T56">
                <a:pos x="T16" y="T17"/>
              </a:cxn>
              <a:cxn ang="T57">
                <a:pos x="T18" y="T19"/>
              </a:cxn>
              <a:cxn ang="T58">
                <a:pos x="T20" y="T21"/>
              </a:cxn>
              <a:cxn ang="T59">
                <a:pos x="T22" y="T23"/>
              </a:cxn>
              <a:cxn ang="T60">
                <a:pos x="T24" y="T25"/>
              </a:cxn>
              <a:cxn ang="T61">
                <a:pos x="T26" y="T27"/>
              </a:cxn>
              <a:cxn ang="T62">
                <a:pos x="T28" y="T29"/>
              </a:cxn>
              <a:cxn ang="T63">
                <a:pos x="T30" y="T31"/>
              </a:cxn>
              <a:cxn ang="T64">
                <a:pos x="T32" y="T33"/>
              </a:cxn>
              <a:cxn ang="T65">
                <a:pos x="T34" y="T35"/>
              </a:cxn>
              <a:cxn ang="T66">
                <a:pos x="T36" y="T37"/>
              </a:cxn>
              <a:cxn ang="T67">
                <a:pos x="T38" y="T39"/>
              </a:cxn>
              <a:cxn ang="T68">
                <a:pos x="T40" y="T41"/>
              </a:cxn>
              <a:cxn ang="T69">
                <a:pos x="T42" y="T43"/>
              </a:cxn>
              <a:cxn ang="T70">
                <a:pos x="T44" y="T45"/>
              </a:cxn>
              <a:cxn ang="T71">
                <a:pos x="T46" y="T47"/>
              </a:cxn>
            </a:cxnLst>
            <a:rect l="0" t="0" r="r" b="b"/>
            <a:pathLst>
              <a:path w="31" h="110">
                <a:moveTo>
                  <a:pt x="1" y="1"/>
                </a:moveTo>
                <a:cubicBezTo>
                  <a:pt x="2" y="6"/>
                  <a:pt x="3" y="8"/>
                  <a:pt x="2" y="13"/>
                </a:cubicBezTo>
                <a:cubicBezTo>
                  <a:pt x="2" y="15"/>
                  <a:pt x="3" y="16"/>
                  <a:pt x="3" y="18"/>
                </a:cubicBezTo>
                <a:cubicBezTo>
                  <a:pt x="3" y="19"/>
                  <a:pt x="1" y="20"/>
                  <a:pt x="1" y="20"/>
                </a:cubicBezTo>
                <a:cubicBezTo>
                  <a:pt x="2" y="25"/>
                  <a:pt x="1" y="30"/>
                  <a:pt x="2" y="34"/>
                </a:cubicBezTo>
                <a:cubicBezTo>
                  <a:pt x="1" y="41"/>
                  <a:pt x="0" y="42"/>
                  <a:pt x="3" y="48"/>
                </a:cubicBezTo>
                <a:cubicBezTo>
                  <a:pt x="2" y="53"/>
                  <a:pt x="3" y="57"/>
                  <a:pt x="2" y="61"/>
                </a:cubicBezTo>
                <a:cubicBezTo>
                  <a:pt x="3" y="65"/>
                  <a:pt x="0" y="74"/>
                  <a:pt x="0" y="74"/>
                </a:cubicBezTo>
                <a:cubicBezTo>
                  <a:pt x="2" y="80"/>
                  <a:pt x="2" y="79"/>
                  <a:pt x="1" y="87"/>
                </a:cubicBezTo>
                <a:cubicBezTo>
                  <a:pt x="2" y="93"/>
                  <a:pt x="0" y="97"/>
                  <a:pt x="3" y="102"/>
                </a:cubicBezTo>
                <a:cubicBezTo>
                  <a:pt x="0" y="110"/>
                  <a:pt x="5" y="107"/>
                  <a:pt x="11" y="106"/>
                </a:cubicBezTo>
                <a:cubicBezTo>
                  <a:pt x="12" y="105"/>
                  <a:pt x="16" y="107"/>
                  <a:pt x="16" y="107"/>
                </a:cubicBezTo>
                <a:cubicBezTo>
                  <a:pt x="22" y="106"/>
                  <a:pt x="23" y="107"/>
                  <a:pt x="29" y="106"/>
                </a:cubicBezTo>
                <a:cubicBezTo>
                  <a:pt x="30" y="99"/>
                  <a:pt x="29" y="94"/>
                  <a:pt x="30" y="88"/>
                </a:cubicBezTo>
                <a:cubicBezTo>
                  <a:pt x="29" y="81"/>
                  <a:pt x="30" y="75"/>
                  <a:pt x="31" y="68"/>
                </a:cubicBezTo>
                <a:cubicBezTo>
                  <a:pt x="30" y="61"/>
                  <a:pt x="28" y="56"/>
                  <a:pt x="31" y="50"/>
                </a:cubicBezTo>
                <a:cubicBezTo>
                  <a:pt x="29" y="43"/>
                  <a:pt x="29" y="40"/>
                  <a:pt x="30" y="33"/>
                </a:cubicBezTo>
                <a:cubicBezTo>
                  <a:pt x="29" y="27"/>
                  <a:pt x="31" y="22"/>
                  <a:pt x="29" y="17"/>
                </a:cubicBezTo>
                <a:cubicBezTo>
                  <a:pt x="30" y="14"/>
                  <a:pt x="29" y="9"/>
                  <a:pt x="29" y="9"/>
                </a:cubicBezTo>
                <a:cubicBezTo>
                  <a:pt x="29" y="1"/>
                  <a:pt x="28" y="4"/>
                  <a:pt x="28" y="4"/>
                </a:cubicBezTo>
                <a:cubicBezTo>
                  <a:pt x="28" y="2"/>
                  <a:pt x="29" y="0"/>
                  <a:pt x="26" y="0"/>
                </a:cubicBezTo>
                <a:cubicBezTo>
                  <a:pt x="25" y="0"/>
                  <a:pt x="24" y="1"/>
                  <a:pt x="24" y="1"/>
                </a:cubicBezTo>
                <a:cubicBezTo>
                  <a:pt x="19" y="0"/>
                  <a:pt x="15" y="1"/>
                  <a:pt x="10" y="0"/>
                </a:cubicBezTo>
                <a:cubicBezTo>
                  <a:pt x="2" y="1"/>
                  <a:pt x="5" y="1"/>
                  <a:pt x="1" y="1"/>
                </a:cubicBezTo>
                <a:close/>
              </a:path>
            </a:pathLst>
          </a:custGeom>
          <a:pattFill prst="ltDnDiag">
            <a:fgClr>
              <a:srgbClr val="000000"/>
            </a:fgClr>
            <a:bgClr>
              <a:srgbClr val="FFFFFF"/>
            </a:bgClr>
          </a:pattFill>
          <a:ln w="9525" cap="flat" cmpd="sng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</xdr:spPr>
      </xdr:sp>
      <xdr:sp macro="" textlink="">
        <xdr:nvSpPr>
          <xdr:cNvPr id="38964" name="Text Box 52">
            <a:extLst>
              <a:ext uri="{FF2B5EF4-FFF2-40B4-BE49-F238E27FC236}">
                <a16:creationId xmlns:a16="http://schemas.microsoft.com/office/drawing/2014/main" id="{00000000-0008-0000-0300-0000349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26" y="428"/>
            <a:ext cx="33" cy="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ctr" rtl="0">
              <a:lnSpc>
                <a:spcPts val="500"/>
              </a:lnSpc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A1</a:t>
            </a:r>
          </a:p>
          <a:p>
            <a:pPr algn="ctr" rtl="0">
              <a:lnSpc>
                <a:spcPts val="1000"/>
              </a:lnSpc>
              <a:defRPr sz="1000"/>
            </a:pPr>
            <a:endParaRPr lang="de-DE"/>
          </a:p>
        </xdr:txBody>
      </xdr:sp>
      <xdr:sp macro="" textlink="">
        <xdr:nvSpPr>
          <xdr:cNvPr id="335953" name="Line 53">
            <a:extLst>
              <a:ext uri="{FF2B5EF4-FFF2-40B4-BE49-F238E27FC236}">
                <a16:creationId xmlns:a16="http://schemas.microsoft.com/office/drawing/2014/main" id="{00000000-0008-0000-0300-0000512005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54" y="430"/>
            <a:ext cx="0" cy="2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966" name="Text Box 54">
            <a:extLst>
              <a:ext uri="{FF2B5EF4-FFF2-40B4-BE49-F238E27FC236}">
                <a16:creationId xmlns:a16="http://schemas.microsoft.com/office/drawing/2014/main" id="{00000000-0008-0000-0300-0000369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97" y="393"/>
            <a:ext cx="38" cy="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ctr" rtl="0">
              <a:lnSpc>
                <a:spcPts val="500"/>
              </a:lnSpc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B1</a:t>
            </a:r>
          </a:p>
          <a:p>
            <a:pPr algn="ctr" rtl="0">
              <a:lnSpc>
                <a:spcPts val="1000"/>
              </a:lnSpc>
              <a:defRPr sz="1000"/>
            </a:pPr>
            <a:endParaRPr lang="de-DE"/>
          </a:p>
        </xdr:txBody>
      </xdr:sp>
      <xdr:sp macro="" textlink="">
        <xdr:nvSpPr>
          <xdr:cNvPr id="335955" name="Line 55">
            <a:extLst>
              <a:ext uri="{FF2B5EF4-FFF2-40B4-BE49-F238E27FC236}">
                <a16:creationId xmlns:a16="http://schemas.microsoft.com/office/drawing/2014/main" id="{00000000-0008-0000-0300-0000532005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569" y="403"/>
            <a:ext cx="0" cy="25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35956" name="Line 56">
            <a:extLst>
              <a:ext uri="{FF2B5EF4-FFF2-40B4-BE49-F238E27FC236}">
                <a16:creationId xmlns:a16="http://schemas.microsoft.com/office/drawing/2014/main" id="{00000000-0008-0000-0300-000054200500}"/>
              </a:ext>
            </a:extLst>
          </xdr:cNvPr>
          <xdr:cNvSpPr>
            <a:spLocks noChangeShapeType="1"/>
          </xdr:cNvSpPr>
        </xdr:nvSpPr>
        <xdr:spPr bwMode="auto">
          <a:xfrm rot="5400000" flipH="1">
            <a:off x="517" y="362"/>
            <a:ext cx="0" cy="10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969" name="Text Box 57">
            <a:extLst>
              <a:ext uri="{FF2B5EF4-FFF2-40B4-BE49-F238E27FC236}">
                <a16:creationId xmlns:a16="http://schemas.microsoft.com/office/drawing/2014/main" id="{00000000-0008-0000-0300-0000399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72" y="428"/>
            <a:ext cx="35" cy="2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ctr" rtl="0">
              <a:lnSpc>
                <a:spcPts val="500"/>
              </a:lnSpc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A2</a:t>
            </a:r>
          </a:p>
          <a:p>
            <a:pPr algn="ctr" rtl="0">
              <a:lnSpc>
                <a:spcPts val="1000"/>
              </a:lnSpc>
              <a:defRPr sz="1000"/>
            </a:pPr>
            <a:endParaRPr lang="de-DE"/>
          </a:p>
        </xdr:txBody>
      </xdr:sp>
      <xdr:sp macro="" textlink="">
        <xdr:nvSpPr>
          <xdr:cNvPr id="38970" name="Text Box 58">
            <a:extLst>
              <a:ext uri="{FF2B5EF4-FFF2-40B4-BE49-F238E27FC236}">
                <a16:creationId xmlns:a16="http://schemas.microsoft.com/office/drawing/2014/main" id="{00000000-0008-0000-0300-00003A9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99" y="465"/>
            <a:ext cx="38" cy="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ctr" rtl="0">
              <a:lnSpc>
                <a:spcPts val="500"/>
              </a:lnSpc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B2</a:t>
            </a:r>
          </a:p>
          <a:p>
            <a:pPr algn="ctr" rtl="0">
              <a:lnSpc>
                <a:spcPts val="1000"/>
              </a:lnSpc>
              <a:defRPr sz="1000"/>
            </a:pPr>
            <a:endParaRPr lang="de-DE"/>
          </a:p>
        </xdr:txBody>
      </xdr:sp>
      <xdr:sp macro="" textlink="">
        <xdr:nvSpPr>
          <xdr:cNvPr id="335959" name="Line 59">
            <a:extLst>
              <a:ext uri="{FF2B5EF4-FFF2-40B4-BE49-F238E27FC236}">
                <a16:creationId xmlns:a16="http://schemas.microsoft.com/office/drawing/2014/main" id="{00000000-0008-0000-0300-000057200500}"/>
              </a:ext>
            </a:extLst>
          </xdr:cNvPr>
          <xdr:cNvSpPr>
            <a:spLocks noChangeShapeType="1"/>
          </xdr:cNvSpPr>
        </xdr:nvSpPr>
        <xdr:spPr bwMode="auto">
          <a:xfrm rot="5400000" flipH="1">
            <a:off x="516" y="415"/>
            <a:ext cx="0" cy="10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35960" name="Line 60">
            <a:extLst>
              <a:ext uri="{FF2B5EF4-FFF2-40B4-BE49-F238E27FC236}">
                <a16:creationId xmlns:a16="http://schemas.microsoft.com/office/drawing/2014/main" id="{00000000-0008-0000-0300-000058200500}"/>
              </a:ext>
            </a:extLst>
          </xdr:cNvPr>
          <xdr:cNvSpPr>
            <a:spLocks noChangeShapeType="1"/>
          </xdr:cNvSpPr>
        </xdr:nvSpPr>
        <xdr:spPr bwMode="auto">
          <a:xfrm flipH="1">
            <a:off x="577" y="429"/>
            <a:ext cx="0" cy="2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35961" name="Line 61">
            <a:extLst>
              <a:ext uri="{FF2B5EF4-FFF2-40B4-BE49-F238E27FC236}">
                <a16:creationId xmlns:a16="http://schemas.microsoft.com/office/drawing/2014/main" id="{00000000-0008-0000-0300-0000592005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463" y="403"/>
            <a:ext cx="0" cy="25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35962" name="Line 62">
            <a:extLst>
              <a:ext uri="{FF2B5EF4-FFF2-40B4-BE49-F238E27FC236}">
                <a16:creationId xmlns:a16="http://schemas.microsoft.com/office/drawing/2014/main" id="{00000000-0008-0000-0300-00005A2005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463" y="452"/>
            <a:ext cx="0" cy="25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35963" name="Line 63">
            <a:extLst>
              <a:ext uri="{FF2B5EF4-FFF2-40B4-BE49-F238E27FC236}">
                <a16:creationId xmlns:a16="http://schemas.microsoft.com/office/drawing/2014/main" id="{00000000-0008-0000-0300-00005B2005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570" y="451"/>
            <a:ext cx="0" cy="25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35964" name="Line 64">
            <a:extLst>
              <a:ext uri="{FF2B5EF4-FFF2-40B4-BE49-F238E27FC236}">
                <a16:creationId xmlns:a16="http://schemas.microsoft.com/office/drawing/2014/main" id="{00000000-0008-0000-0300-00005C2005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439" y="428"/>
            <a:ext cx="25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35965" name="Line 65">
            <a:extLst>
              <a:ext uri="{FF2B5EF4-FFF2-40B4-BE49-F238E27FC236}">
                <a16:creationId xmlns:a16="http://schemas.microsoft.com/office/drawing/2014/main" id="{00000000-0008-0000-0300-00005D2005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439" y="455"/>
            <a:ext cx="25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35966" name="Line 66">
            <a:extLst>
              <a:ext uri="{FF2B5EF4-FFF2-40B4-BE49-F238E27FC236}">
                <a16:creationId xmlns:a16="http://schemas.microsoft.com/office/drawing/2014/main" id="{00000000-0008-0000-0300-00005E2005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567" y="427"/>
            <a:ext cx="25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35967" name="Line 67">
            <a:extLst>
              <a:ext uri="{FF2B5EF4-FFF2-40B4-BE49-F238E27FC236}">
                <a16:creationId xmlns:a16="http://schemas.microsoft.com/office/drawing/2014/main" id="{00000000-0008-0000-0300-00005F2005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568" y="454"/>
            <a:ext cx="25" cy="0"/>
          </a:xfrm>
          <a:prstGeom prst="line">
            <a:avLst/>
          </a:prstGeom>
          <a:noFill/>
          <a:ln w="635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0</xdr:col>
      <xdr:colOff>114300</xdr:colOff>
      <xdr:row>27</xdr:row>
      <xdr:rowOff>0</xdr:rowOff>
    </xdr:to>
    <xdr:sp macro="" textlink="">
      <xdr:nvSpPr>
        <xdr:cNvPr id="66847" name="Line 2">
          <a:extLst>
            <a:ext uri="{FF2B5EF4-FFF2-40B4-BE49-F238E27FC236}">
              <a16:creationId xmlns:a16="http://schemas.microsoft.com/office/drawing/2014/main" id="{00000000-0008-0000-0400-00001F050100}"/>
            </a:ext>
          </a:extLst>
        </xdr:cNvPr>
        <xdr:cNvSpPr>
          <a:spLocks noChangeShapeType="1"/>
        </xdr:cNvSpPr>
      </xdr:nvSpPr>
      <xdr:spPr bwMode="auto">
        <a:xfrm>
          <a:off x="0" y="5162550"/>
          <a:ext cx="1143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30</xdr:row>
      <xdr:rowOff>76200</xdr:rowOff>
    </xdr:from>
    <xdr:to>
      <xdr:col>34</xdr:col>
      <xdr:colOff>76200</xdr:colOff>
      <xdr:row>47</xdr:row>
      <xdr:rowOff>85725</xdr:rowOff>
    </xdr:to>
    <xdr:graphicFrame macro="">
      <xdr:nvGraphicFramePr>
        <xdr:cNvPr id="66848" name="Diagramm 3">
          <a:extLst>
            <a:ext uri="{FF2B5EF4-FFF2-40B4-BE49-F238E27FC236}">
              <a16:creationId xmlns:a16="http://schemas.microsoft.com/office/drawing/2014/main" id="{00000000-0008-0000-0400-00002005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38100</xdr:colOff>
      <xdr:row>10</xdr:row>
      <xdr:rowOff>104775</xdr:rowOff>
    </xdr:from>
    <xdr:to>
      <xdr:col>33</xdr:col>
      <xdr:colOff>76200</xdr:colOff>
      <xdr:row>28</xdr:row>
      <xdr:rowOff>47625</xdr:rowOff>
    </xdr:to>
    <xdr:graphicFrame macro="">
      <xdr:nvGraphicFramePr>
        <xdr:cNvPr id="66850" name="Diagramm 16">
          <a:extLst>
            <a:ext uri="{FF2B5EF4-FFF2-40B4-BE49-F238E27FC236}">
              <a16:creationId xmlns:a16="http://schemas.microsoft.com/office/drawing/2014/main" id="{00000000-0008-0000-0400-00002205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114300</xdr:colOff>
      <xdr:row>31</xdr:row>
      <xdr:rowOff>168275</xdr:rowOff>
    </xdr:from>
    <xdr:to>
      <xdr:col>11</xdr:col>
      <xdr:colOff>57150</xdr:colOff>
      <xdr:row>32</xdr:row>
      <xdr:rowOff>120650</xdr:rowOff>
    </xdr:to>
    <xdr:sp macro="" textlink="">
      <xdr:nvSpPr>
        <xdr:cNvPr id="66578" name="Text Box 18">
          <a:extLst>
            <a:ext uri="{FF2B5EF4-FFF2-40B4-BE49-F238E27FC236}">
              <a16:creationId xmlns:a16="http://schemas.microsoft.com/office/drawing/2014/main" id="{00000000-0008-0000-0400-000012040100}"/>
            </a:ext>
          </a:extLst>
        </xdr:cNvPr>
        <xdr:cNvSpPr txBox="1">
          <a:spLocks noChangeArrowheads="1"/>
        </xdr:cNvSpPr>
      </xdr:nvSpPr>
      <xdr:spPr bwMode="auto">
        <a:xfrm>
          <a:off x="1358900" y="6086475"/>
          <a:ext cx="654050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317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FF0000"/>
              </a:solidFill>
              <a:latin typeface="Arial"/>
              <a:cs typeface="Arial"/>
            </a:rPr>
            <a:t>wahr</a:t>
          </a:r>
          <a:endParaRPr lang="de-DE"/>
        </a:p>
      </xdr:txBody>
    </xdr:sp>
    <xdr:clientData/>
  </xdr:twoCellAnchor>
  <xdr:twoCellAnchor>
    <xdr:from>
      <xdr:col>11</xdr:col>
      <xdr:colOff>63500</xdr:colOff>
      <xdr:row>38</xdr:row>
      <xdr:rowOff>101600</xdr:rowOff>
    </xdr:from>
    <xdr:to>
      <xdr:col>14</xdr:col>
      <xdr:colOff>25400</xdr:colOff>
      <xdr:row>39</xdr:row>
      <xdr:rowOff>63500</xdr:rowOff>
    </xdr:to>
    <xdr:sp macro="" textlink="">
      <xdr:nvSpPr>
        <xdr:cNvPr id="66579" name="Text Box 19">
          <a:extLst>
            <a:ext uri="{FF2B5EF4-FFF2-40B4-BE49-F238E27FC236}">
              <a16:creationId xmlns:a16="http://schemas.microsoft.com/office/drawing/2014/main" id="{00000000-0008-0000-0400-000013040100}"/>
            </a:ext>
          </a:extLst>
        </xdr:cNvPr>
        <xdr:cNvSpPr txBox="1">
          <a:spLocks noChangeArrowheads="1"/>
        </xdr:cNvSpPr>
      </xdr:nvSpPr>
      <xdr:spPr bwMode="auto">
        <a:xfrm>
          <a:off x="2019300" y="7353300"/>
          <a:ext cx="495300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317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FF"/>
              </a:solidFill>
              <a:latin typeface="Arial"/>
              <a:cs typeface="Arial"/>
            </a:rPr>
            <a:t>technisch</a:t>
          </a:r>
          <a:endParaRPr lang="de-DE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0</xdr:col>
      <xdr:colOff>114300</xdr:colOff>
      <xdr:row>27</xdr:row>
      <xdr:rowOff>0</xdr:rowOff>
    </xdr:to>
    <xdr:sp macro="" textlink="">
      <xdr:nvSpPr>
        <xdr:cNvPr id="75027" name="Line 2">
          <a:extLst>
            <a:ext uri="{FF2B5EF4-FFF2-40B4-BE49-F238E27FC236}">
              <a16:creationId xmlns:a16="http://schemas.microsoft.com/office/drawing/2014/main" id="{00000000-0008-0000-0500-000013250100}"/>
            </a:ext>
          </a:extLst>
        </xdr:cNvPr>
        <xdr:cNvSpPr>
          <a:spLocks noChangeShapeType="1"/>
        </xdr:cNvSpPr>
      </xdr:nvSpPr>
      <xdr:spPr bwMode="auto">
        <a:xfrm>
          <a:off x="0" y="5162550"/>
          <a:ext cx="1143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30</xdr:row>
      <xdr:rowOff>76200</xdr:rowOff>
    </xdr:from>
    <xdr:to>
      <xdr:col>34</xdr:col>
      <xdr:colOff>76200</xdr:colOff>
      <xdr:row>47</xdr:row>
      <xdr:rowOff>85725</xdr:rowOff>
    </xdr:to>
    <xdr:graphicFrame macro="">
      <xdr:nvGraphicFramePr>
        <xdr:cNvPr id="75028" name="Diagramm 3">
          <a:extLst>
            <a:ext uri="{FF2B5EF4-FFF2-40B4-BE49-F238E27FC236}">
              <a16:creationId xmlns:a16="http://schemas.microsoft.com/office/drawing/2014/main" id="{00000000-0008-0000-0500-00001425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38100</xdr:colOff>
      <xdr:row>10</xdr:row>
      <xdr:rowOff>104775</xdr:rowOff>
    </xdr:from>
    <xdr:to>
      <xdr:col>33</xdr:col>
      <xdr:colOff>76200</xdr:colOff>
      <xdr:row>28</xdr:row>
      <xdr:rowOff>47625</xdr:rowOff>
    </xdr:to>
    <xdr:graphicFrame macro="">
      <xdr:nvGraphicFramePr>
        <xdr:cNvPr id="75030" name="Diagramm 5">
          <a:extLst>
            <a:ext uri="{FF2B5EF4-FFF2-40B4-BE49-F238E27FC236}">
              <a16:creationId xmlns:a16="http://schemas.microsoft.com/office/drawing/2014/main" id="{00000000-0008-0000-0500-00001625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152400</xdr:colOff>
      <xdr:row>32</xdr:row>
      <xdr:rowOff>53975</xdr:rowOff>
    </xdr:from>
    <xdr:to>
      <xdr:col>10</xdr:col>
      <xdr:colOff>95250</xdr:colOff>
      <xdr:row>33</xdr:row>
      <xdr:rowOff>6350</xdr:rowOff>
    </xdr:to>
    <xdr:sp macro="" textlink="">
      <xdr:nvSpPr>
        <xdr:cNvPr id="74758" name="Text Box 6">
          <a:extLst>
            <a:ext uri="{FF2B5EF4-FFF2-40B4-BE49-F238E27FC236}">
              <a16:creationId xmlns:a16="http://schemas.microsoft.com/office/drawing/2014/main" id="{00000000-0008-0000-0500-000006240100}"/>
            </a:ext>
          </a:extLst>
        </xdr:cNvPr>
        <xdr:cNvSpPr txBox="1">
          <a:spLocks noChangeArrowheads="1"/>
        </xdr:cNvSpPr>
      </xdr:nvSpPr>
      <xdr:spPr bwMode="auto">
        <a:xfrm>
          <a:off x="1219200" y="6162675"/>
          <a:ext cx="654050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317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FF0000"/>
              </a:solidFill>
              <a:latin typeface="Arial"/>
              <a:cs typeface="Arial"/>
            </a:rPr>
            <a:t>wahr</a:t>
          </a:r>
          <a:endParaRPr lang="de-DE"/>
        </a:p>
      </xdr:txBody>
    </xdr:sp>
    <xdr:clientData/>
  </xdr:twoCellAnchor>
  <xdr:twoCellAnchor>
    <xdr:from>
      <xdr:col>10</xdr:col>
      <xdr:colOff>12700</xdr:colOff>
      <xdr:row>38</xdr:row>
      <xdr:rowOff>38100</xdr:rowOff>
    </xdr:from>
    <xdr:to>
      <xdr:col>12</xdr:col>
      <xdr:colOff>152400</xdr:colOff>
      <xdr:row>39</xdr:row>
      <xdr:rowOff>0</xdr:rowOff>
    </xdr:to>
    <xdr:sp macro="" textlink="">
      <xdr:nvSpPr>
        <xdr:cNvPr id="74759" name="Text Box 7">
          <a:extLst>
            <a:ext uri="{FF2B5EF4-FFF2-40B4-BE49-F238E27FC236}">
              <a16:creationId xmlns:a16="http://schemas.microsoft.com/office/drawing/2014/main" id="{00000000-0008-0000-0500-000007240100}"/>
            </a:ext>
          </a:extLst>
        </xdr:cNvPr>
        <xdr:cNvSpPr txBox="1">
          <a:spLocks noChangeArrowheads="1"/>
        </xdr:cNvSpPr>
      </xdr:nvSpPr>
      <xdr:spPr bwMode="auto">
        <a:xfrm>
          <a:off x="1790700" y="7289800"/>
          <a:ext cx="495300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317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FF"/>
              </a:solidFill>
              <a:latin typeface="Arial"/>
              <a:cs typeface="Arial"/>
            </a:rPr>
            <a:t>technisch</a:t>
          </a:r>
          <a:endParaRPr lang="de-DE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56320" cy="6278880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56320" cy="6278880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56320" cy="6278880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J56"/>
  <sheetViews>
    <sheetView zoomScale="75" workbookViewId="0">
      <selection activeCell="N33" sqref="N33"/>
    </sheetView>
  </sheetViews>
  <sheetFormatPr defaultColWidth="0" defaultRowHeight="15" customHeight="1" zeroHeight="1"/>
  <cols>
    <col min="1" max="36" width="2.6640625" style="49" customWidth="1"/>
    <col min="37" max="88" width="2.6640625" style="49" hidden="1" customWidth="1"/>
    <col min="89" max="16384" width="0" style="49" hidden="1"/>
  </cols>
  <sheetData>
    <row r="1" spans="2:35" ht="15" customHeight="1"/>
    <row r="2" spans="2:35" ht="11.25" customHeight="1"/>
    <row r="3" spans="2:35" ht="21">
      <c r="B3" s="50" t="s">
        <v>54</v>
      </c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</row>
    <row r="4" spans="2:35" ht="15" customHeight="1">
      <c r="B4" s="75" t="s">
        <v>35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</row>
    <row r="5" spans="2:35" ht="15" customHeight="1">
      <c r="B5" s="53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5"/>
    </row>
    <row r="6" spans="2:35" ht="15" customHeight="1">
      <c r="B6" s="56"/>
      <c r="C6" s="183" t="s">
        <v>0</v>
      </c>
      <c r="D6" s="183"/>
      <c r="E6" s="183"/>
      <c r="F6" s="204" t="s">
        <v>115</v>
      </c>
      <c r="G6" s="191"/>
      <c r="H6" s="191"/>
      <c r="I6" s="191"/>
      <c r="J6" s="191"/>
      <c r="K6" s="191"/>
      <c r="L6" s="191"/>
      <c r="M6" s="191"/>
      <c r="N6" s="58"/>
      <c r="O6" s="183" t="s">
        <v>1</v>
      </c>
      <c r="P6" s="183"/>
      <c r="Q6" s="183"/>
      <c r="R6" s="183"/>
      <c r="S6" s="183"/>
      <c r="T6" s="57"/>
      <c r="U6" s="191" t="s">
        <v>68</v>
      </c>
      <c r="V6" s="191"/>
      <c r="W6" s="191"/>
      <c r="X6" s="191"/>
      <c r="Y6" s="191"/>
      <c r="Z6" s="58"/>
      <c r="AA6" s="183" t="s">
        <v>2</v>
      </c>
      <c r="AB6" s="183"/>
      <c r="AC6" s="183"/>
      <c r="AD6" s="184">
        <v>42654</v>
      </c>
      <c r="AE6" s="184"/>
      <c r="AF6" s="184"/>
      <c r="AG6" s="184"/>
      <c r="AH6" s="184"/>
      <c r="AI6" s="59"/>
    </row>
    <row r="7" spans="2:35" ht="15" customHeight="1">
      <c r="B7" s="56"/>
      <c r="C7" s="205" t="s">
        <v>3</v>
      </c>
      <c r="D7" s="202"/>
      <c r="E7" s="202"/>
      <c r="F7" s="202"/>
      <c r="G7" s="202"/>
      <c r="H7" s="189" t="s">
        <v>116</v>
      </c>
      <c r="I7" s="190"/>
      <c r="J7" s="190"/>
      <c r="K7" s="190"/>
      <c r="L7" s="190"/>
      <c r="M7" s="190"/>
      <c r="N7" s="58"/>
      <c r="O7" s="202" t="s">
        <v>4</v>
      </c>
      <c r="P7" s="202"/>
      <c r="Q7" s="202"/>
      <c r="R7" s="202"/>
      <c r="S7" s="202"/>
      <c r="T7" s="203"/>
      <c r="U7" s="189">
        <v>123456</v>
      </c>
      <c r="V7" s="190"/>
      <c r="W7" s="190"/>
      <c r="X7" s="190"/>
      <c r="Y7" s="190"/>
      <c r="Z7" s="58"/>
      <c r="AA7" s="188" t="s">
        <v>67</v>
      </c>
      <c r="AB7" s="188"/>
      <c r="AC7" s="188"/>
      <c r="AD7" s="188"/>
      <c r="AE7" s="186" t="s">
        <v>109</v>
      </c>
      <c r="AF7" s="187"/>
      <c r="AG7" s="187"/>
      <c r="AH7" s="187"/>
      <c r="AI7" s="59"/>
    </row>
    <row r="8" spans="2:35" ht="15" customHeight="1">
      <c r="B8" s="56"/>
      <c r="C8" s="197" t="s">
        <v>6</v>
      </c>
      <c r="D8" s="198"/>
      <c r="E8" s="198"/>
      <c r="F8" s="198"/>
      <c r="G8" s="198"/>
      <c r="H8" s="199" t="s">
        <v>118</v>
      </c>
      <c r="I8" s="200"/>
      <c r="J8" s="200"/>
      <c r="K8" s="200"/>
      <c r="L8" s="200"/>
      <c r="M8" s="200"/>
      <c r="N8" s="58"/>
      <c r="O8" s="202" t="s">
        <v>7</v>
      </c>
      <c r="P8" s="202"/>
      <c r="Q8" s="202"/>
      <c r="R8" s="202"/>
      <c r="S8" s="202"/>
      <c r="T8" s="203"/>
      <c r="U8" s="185">
        <v>25</v>
      </c>
      <c r="V8" s="185"/>
      <c r="W8" s="185"/>
      <c r="X8" s="185"/>
      <c r="Y8" s="185"/>
      <c r="Z8" s="58"/>
      <c r="AA8" s="189"/>
      <c r="AB8" s="190"/>
      <c r="AC8" s="190"/>
      <c r="AD8" s="190"/>
      <c r="AE8" s="190"/>
      <c r="AF8" s="190"/>
      <c r="AG8" s="190"/>
      <c r="AH8" s="190"/>
      <c r="AI8" s="59"/>
    </row>
    <row r="9" spans="2:35" ht="15" customHeight="1">
      <c r="B9" s="77"/>
      <c r="C9" s="78" t="s">
        <v>58</v>
      </c>
      <c r="D9" s="60"/>
      <c r="E9" s="60"/>
      <c r="F9" s="60"/>
      <c r="G9" s="60"/>
      <c r="H9" s="60"/>
      <c r="I9" s="60"/>
      <c r="J9" s="201">
        <v>0.02</v>
      </c>
      <c r="K9" s="201"/>
      <c r="L9" s="201"/>
      <c r="M9" s="201"/>
      <c r="N9" s="76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76"/>
      <c r="AA9" s="60"/>
      <c r="AB9" s="60"/>
      <c r="AC9" s="60"/>
      <c r="AD9" s="60"/>
      <c r="AE9" s="60"/>
      <c r="AF9" s="60"/>
      <c r="AG9" s="60"/>
      <c r="AH9" s="60"/>
      <c r="AI9" s="79"/>
    </row>
    <row r="10" spans="2:35" ht="15" customHeight="1">
      <c r="B10" s="63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66"/>
    </row>
    <row r="11" spans="2:35" ht="15" customHeight="1">
      <c r="B11" s="63"/>
      <c r="M11" s="58"/>
      <c r="N11" s="58"/>
      <c r="O11" s="58"/>
      <c r="P11" s="58"/>
      <c r="Q11" s="58"/>
      <c r="R11" s="58"/>
      <c r="S11" s="58"/>
      <c r="T11" s="58"/>
      <c r="AI11" s="59"/>
    </row>
    <row r="12" spans="2:35" ht="15" customHeight="1">
      <c r="B12" s="63"/>
      <c r="C12" s="196" t="s">
        <v>9</v>
      </c>
      <c r="D12" s="196"/>
      <c r="E12" s="196"/>
      <c r="F12" s="196"/>
      <c r="G12" s="196"/>
      <c r="H12" s="196"/>
      <c r="I12" s="196"/>
      <c r="J12" s="196"/>
      <c r="K12" s="196"/>
      <c r="L12" s="196"/>
      <c r="M12" s="58"/>
      <c r="N12" s="58"/>
      <c r="O12" s="58"/>
      <c r="P12" s="58"/>
      <c r="Q12" s="58"/>
      <c r="R12" s="58"/>
      <c r="S12" s="58"/>
      <c r="T12" s="58"/>
      <c r="AI12" s="59"/>
    </row>
    <row r="13" spans="2:35" s="58" customFormat="1" ht="15" customHeight="1">
      <c r="B13" s="63"/>
      <c r="C13" s="65" t="s">
        <v>76</v>
      </c>
      <c r="D13" s="65"/>
      <c r="E13" s="65"/>
      <c r="F13" s="65"/>
      <c r="G13" s="65"/>
      <c r="H13" s="65"/>
      <c r="I13" s="65"/>
      <c r="J13" s="65"/>
      <c r="K13" s="65"/>
      <c r="L13" s="65"/>
      <c r="M13" s="194">
        <v>1.5</v>
      </c>
      <c r="N13" s="194"/>
      <c r="O13" s="194"/>
      <c r="P13" s="194"/>
      <c r="Q13" s="58" t="s">
        <v>8</v>
      </c>
      <c r="R13" s="119"/>
      <c r="AI13" s="66"/>
    </row>
    <row r="14" spans="2:35" s="58" customFormat="1" ht="15" customHeight="1">
      <c r="B14" s="63"/>
      <c r="C14" s="65" t="s">
        <v>77</v>
      </c>
      <c r="D14" s="65"/>
      <c r="E14" s="65"/>
      <c r="F14" s="65"/>
      <c r="G14" s="65"/>
      <c r="H14" s="65"/>
      <c r="I14" s="65"/>
      <c r="J14" s="65"/>
      <c r="K14" s="65"/>
      <c r="L14" s="65"/>
      <c r="M14" s="194">
        <v>9.5</v>
      </c>
      <c r="N14" s="194"/>
      <c r="O14" s="194"/>
      <c r="P14" s="194"/>
      <c r="Q14" s="58" t="s">
        <v>8</v>
      </c>
      <c r="R14" s="119"/>
      <c r="AI14" s="66"/>
    </row>
    <row r="15" spans="2:35" s="58" customFormat="1" ht="15" customHeight="1">
      <c r="B15" s="63"/>
      <c r="C15" s="65" t="s">
        <v>84</v>
      </c>
      <c r="D15" s="65"/>
      <c r="E15" s="65"/>
      <c r="F15" s="65"/>
      <c r="G15" s="65"/>
      <c r="H15" s="65"/>
      <c r="I15" s="65"/>
      <c r="J15" s="65"/>
      <c r="K15" s="65"/>
      <c r="L15" s="65"/>
      <c r="M15" s="194">
        <v>15</v>
      </c>
      <c r="N15" s="194"/>
      <c r="O15" s="194"/>
      <c r="P15" s="194"/>
      <c r="Q15" s="58" t="s">
        <v>8</v>
      </c>
      <c r="R15" s="119"/>
      <c r="AI15" s="66"/>
    </row>
    <row r="16" spans="2:35" s="58" customFormat="1" ht="15" customHeight="1">
      <c r="B16" s="63"/>
      <c r="AI16" s="66"/>
    </row>
    <row r="17" spans="1:35" s="58" customFormat="1" ht="15" customHeight="1">
      <c r="B17" s="63"/>
      <c r="AI17" s="66"/>
    </row>
    <row r="18" spans="1:35" s="58" customFormat="1" ht="15" customHeight="1">
      <c r="B18" s="63"/>
      <c r="AI18" s="66"/>
    </row>
    <row r="19" spans="1:35" s="58" customFormat="1" ht="15" customHeight="1">
      <c r="B19" s="63"/>
      <c r="Q19" s="65"/>
      <c r="AI19" s="66"/>
    </row>
    <row r="20" spans="1:35" s="58" customFormat="1" ht="15" customHeight="1">
      <c r="B20" s="63"/>
      <c r="AI20" s="66"/>
    </row>
    <row r="21" spans="1:35" s="58" customFormat="1" ht="15" customHeight="1">
      <c r="B21" s="63"/>
      <c r="AI21" s="66"/>
    </row>
    <row r="22" spans="1:35" s="58" customFormat="1" ht="15" customHeight="1">
      <c r="B22" s="63"/>
      <c r="AI22" s="66"/>
    </row>
    <row r="23" spans="1:35" ht="15" customHeight="1">
      <c r="B23" s="56"/>
      <c r="AI23" s="59"/>
    </row>
    <row r="24" spans="1:35" ht="15" customHeight="1">
      <c r="B24" s="56"/>
      <c r="AI24" s="59"/>
    </row>
    <row r="25" spans="1:35" ht="15" customHeight="1">
      <c r="B25" s="71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72"/>
    </row>
    <row r="26" spans="1:35" ht="15" customHeight="1">
      <c r="A26" s="58"/>
      <c r="B26" s="56"/>
      <c r="C26" s="64"/>
      <c r="D26" s="64"/>
      <c r="E26" s="64"/>
      <c r="F26" s="64"/>
      <c r="G26" s="64"/>
      <c r="H26" s="64"/>
      <c r="I26" s="64"/>
      <c r="J26" s="64"/>
      <c r="K26" s="64"/>
      <c r="AI26" s="59"/>
    </row>
    <row r="27" spans="1:35" ht="15" customHeight="1">
      <c r="A27" s="58"/>
      <c r="B27" s="56"/>
      <c r="C27" s="73" t="s">
        <v>17</v>
      </c>
      <c r="E27" s="58"/>
      <c r="F27" s="58"/>
      <c r="G27" s="58"/>
      <c r="H27" s="58"/>
      <c r="AI27" s="59"/>
    </row>
    <row r="28" spans="1:35" ht="15" customHeight="1">
      <c r="A28" s="58"/>
      <c r="B28" s="56"/>
      <c r="AI28" s="59"/>
    </row>
    <row r="29" spans="1:35" ht="15" customHeight="1">
      <c r="B29" s="63"/>
      <c r="C29" s="65" t="s">
        <v>78</v>
      </c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192">
        <v>0.5</v>
      </c>
      <c r="O29" s="193"/>
      <c r="P29" s="193"/>
      <c r="Q29" s="193"/>
      <c r="R29" s="193"/>
      <c r="AE29" s="58"/>
      <c r="AF29" s="58"/>
      <c r="AG29" s="58"/>
      <c r="AI29" s="59"/>
    </row>
    <row r="30" spans="1:35" ht="15" customHeight="1">
      <c r="B30" s="63"/>
      <c r="C30" s="65" t="s">
        <v>80</v>
      </c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192">
        <v>0.52</v>
      </c>
      <c r="O30" s="193"/>
      <c r="P30" s="193"/>
      <c r="Q30" s="193"/>
      <c r="R30" s="193"/>
      <c r="AE30" s="58"/>
      <c r="AF30" s="58"/>
      <c r="AG30" s="58"/>
      <c r="AI30" s="59"/>
    </row>
    <row r="31" spans="1:35" ht="15" customHeight="1">
      <c r="B31" s="63"/>
      <c r="C31" s="65" t="s">
        <v>81</v>
      </c>
      <c r="D31" s="65"/>
      <c r="E31" s="65"/>
      <c r="F31" s="65"/>
      <c r="G31" s="65"/>
      <c r="H31" s="65"/>
      <c r="I31" s="65"/>
      <c r="J31" s="65"/>
      <c r="K31" s="70"/>
      <c r="L31" s="70"/>
      <c r="M31" s="70"/>
      <c r="N31" s="192">
        <v>7.5</v>
      </c>
      <c r="O31" s="193"/>
      <c r="P31" s="193"/>
      <c r="Q31" s="193"/>
      <c r="R31" s="193"/>
      <c r="AE31" s="58"/>
      <c r="AF31" s="58"/>
      <c r="AG31" s="58"/>
      <c r="AI31" s="59"/>
    </row>
    <row r="32" spans="1:35" ht="15" customHeight="1">
      <c r="B32" s="63"/>
      <c r="C32" s="65" t="s">
        <v>82</v>
      </c>
      <c r="D32" s="65"/>
      <c r="E32" s="65"/>
      <c r="F32" s="65"/>
      <c r="G32" s="65"/>
      <c r="H32" s="65"/>
      <c r="I32" s="65"/>
      <c r="J32" s="65"/>
      <c r="K32" s="70"/>
      <c r="L32" s="70"/>
      <c r="M32" s="70"/>
      <c r="N32" s="192">
        <v>7.5</v>
      </c>
      <c r="O32" s="193"/>
      <c r="P32" s="193"/>
      <c r="Q32" s="193"/>
      <c r="R32" s="193"/>
      <c r="AE32" s="58"/>
      <c r="AF32" s="58"/>
      <c r="AG32" s="58"/>
      <c r="AI32" s="59"/>
    </row>
    <row r="33" spans="2:35" ht="15" customHeight="1">
      <c r="B33" s="63"/>
      <c r="C33" s="58"/>
      <c r="D33" s="58"/>
      <c r="E33" s="58"/>
      <c r="F33" s="58"/>
      <c r="G33" s="58"/>
      <c r="H33" s="58"/>
      <c r="AE33" s="58"/>
      <c r="AF33" s="58"/>
      <c r="AG33" s="58"/>
      <c r="AI33" s="59"/>
    </row>
    <row r="34" spans="2:35" ht="15" customHeight="1">
      <c r="B34" s="63"/>
      <c r="C34" s="58"/>
      <c r="D34" s="58"/>
      <c r="E34" s="58"/>
      <c r="F34" s="58"/>
      <c r="G34" s="58"/>
      <c r="H34" s="58"/>
      <c r="AE34" s="58"/>
      <c r="AF34" s="58"/>
      <c r="AG34" s="58"/>
      <c r="AI34" s="59"/>
    </row>
    <row r="35" spans="2:35" ht="15" customHeight="1">
      <c r="B35" s="63"/>
      <c r="C35" s="58"/>
      <c r="D35" s="58"/>
      <c r="E35" s="58"/>
      <c r="F35" s="58"/>
      <c r="G35" s="58"/>
      <c r="H35" s="58"/>
      <c r="Y35" s="58"/>
      <c r="Z35" s="58"/>
      <c r="AA35" s="58"/>
      <c r="AB35" s="58"/>
      <c r="AC35" s="58"/>
      <c r="AD35" s="58"/>
      <c r="AE35" s="58"/>
      <c r="AF35" s="58"/>
      <c r="AG35" s="58"/>
      <c r="AI35" s="59"/>
    </row>
    <row r="36" spans="2:35" ht="15" customHeight="1">
      <c r="B36" s="63"/>
      <c r="C36" s="58"/>
      <c r="D36" s="58"/>
      <c r="E36" s="58"/>
      <c r="F36" s="58"/>
      <c r="G36" s="58"/>
      <c r="H36" s="58"/>
      <c r="Y36" s="58"/>
      <c r="Z36" s="58"/>
      <c r="AA36" s="58"/>
      <c r="AB36" s="58"/>
      <c r="AC36" s="58"/>
      <c r="AD36" s="58"/>
      <c r="AE36" s="58"/>
      <c r="AF36" s="58"/>
      <c r="AG36" s="58"/>
      <c r="AI36" s="59"/>
    </row>
    <row r="37" spans="2:35" ht="15" customHeight="1">
      <c r="B37" s="63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I37" s="59"/>
    </row>
    <row r="38" spans="2:35" ht="15" customHeight="1">
      <c r="B38" s="63"/>
      <c r="C38" s="58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I38" s="59"/>
    </row>
    <row r="39" spans="2:35" ht="15" customHeight="1">
      <c r="B39" s="71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72"/>
    </row>
    <row r="40" spans="2:35" ht="15" customHeight="1">
      <c r="B40" s="56"/>
      <c r="C40" s="64"/>
      <c r="AI40" s="59"/>
    </row>
    <row r="41" spans="2:35" ht="15" customHeight="1">
      <c r="B41" s="56"/>
      <c r="AI41" s="59"/>
    </row>
    <row r="42" spans="2:35" ht="15" customHeight="1">
      <c r="B42" s="56"/>
      <c r="C42" s="58"/>
      <c r="D42" s="58"/>
      <c r="E42" s="58"/>
      <c r="F42" s="58"/>
      <c r="G42" s="58"/>
      <c r="AI42" s="59"/>
    </row>
    <row r="43" spans="2:35" ht="15" customHeight="1">
      <c r="B43" s="56"/>
      <c r="C43" s="58"/>
      <c r="D43" s="58"/>
      <c r="E43" s="58"/>
      <c r="F43" s="58"/>
      <c r="G43" s="58"/>
      <c r="AI43" s="59"/>
    </row>
    <row r="44" spans="2:35" ht="15" customHeight="1">
      <c r="B44" s="56"/>
      <c r="C44" s="58" t="s">
        <v>51</v>
      </c>
      <c r="D44" s="58"/>
      <c r="E44" s="58"/>
      <c r="F44" s="58"/>
      <c r="G44" s="58"/>
      <c r="J44" s="195">
        <v>210000</v>
      </c>
      <c r="K44" s="195"/>
      <c r="L44" s="195"/>
      <c r="M44" s="195"/>
      <c r="N44" s="195"/>
      <c r="O44" s="195"/>
      <c r="AI44" s="59"/>
    </row>
    <row r="45" spans="2:35" ht="15" customHeight="1">
      <c r="B45" s="56"/>
      <c r="AI45" s="59"/>
    </row>
    <row r="46" spans="2:35" ht="15" customHeight="1">
      <c r="B46" s="56"/>
      <c r="C46" s="180" t="s">
        <v>112</v>
      </c>
      <c r="D46" s="180"/>
      <c r="E46" s="180"/>
      <c r="F46" s="180"/>
      <c r="G46" s="180"/>
      <c r="H46" s="180"/>
      <c r="I46" s="180"/>
      <c r="J46" s="180"/>
      <c r="K46" s="180"/>
      <c r="L46" s="180"/>
      <c r="M46" s="180"/>
      <c r="N46" s="180"/>
      <c r="O46" s="180"/>
      <c r="AI46" s="59"/>
    </row>
    <row r="47" spans="2:35" ht="15" customHeight="1">
      <c r="B47" s="56"/>
      <c r="C47" s="181" t="s">
        <v>113</v>
      </c>
      <c r="D47" s="181"/>
      <c r="E47" s="181"/>
      <c r="F47" s="181"/>
      <c r="G47" s="181"/>
      <c r="H47" s="181"/>
      <c r="I47" s="181"/>
      <c r="J47" s="182">
        <v>100</v>
      </c>
      <c r="K47" s="182"/>
      <c r="L47" s="182"/>
      <c r="M47" s="182"/>
      <c r="N47" s="182"/>
      <c r="O47" s="182"/>
      <c r="AI47" s="59"/>
    </row>
    <row r="48" spans="2:35" ht="15" customHeight="1">
      <c r="B48" s="56"/>
      <c r="C48" s="181" t="s">
        <v>114</v>
      </c>
      <c r="D48" s="181"/>
      <c r="E48" s="181"/>
      <c r="F48" s="181"/>
      <c r="G48" s="181"/>
      <c r="H48" s="181"/>
      <c r="I48" s="181"/>
      <c r="J48" s="182">
        <v>200</v>
      </c>
      <c r="K48" s="182"/>
      <c r="L48" s="182">
        <v>2.5000000000000001E-3</v>
      </c>
      <c r="M48" s="182"/>
      <c r="N48" s="182"/>
      <c r="O48" s="182"/>
      <c r="AI48" s="59"/>
    </row>
    <row r="49" spans="2:35" ht="15" customHeight="1">
      <c r="B49" s="56"/>
      <c r="AI49" s="59"/>
    </row>
    <row r="50" spans="2:35" ht="15" customHeight="1">
      <c r="B50" s="56"/>
      <c r="AI50" s="59"/>
    </row>
    <row r="51" spans="2:35" ht="15" customHeight="1">
      <c r="B51" s="56"/>
      <c r="AI51" s="59"/>
    </row>
    <row r="52" spans="2:35" ht="15" customHeight="1">
      <c r="B52" s="56"/>
      <c r="AI52" s="59"/>
    </row>
    <row r="53" spans="2:35" ht="15" customHeight="1">
      <c r="B53" s="56"/>
      <c r="AI53" s="59"/>
    </row>
    <row r="54" spans="2:35" ht="15" customHeight="1">
      <c r="B54" s="56"/>
      <c r="AI54" s="59"/>
    </row>
    <row r="55" spans="2:35" ht="15" customHeight="1">
      <c r="B55" s="71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72"/>
    </row>
    <row r="56" spans="2:35" ht="15" customHeight="1"/>
  </sheetData>
  <mergeCells count="29">
    <mergeCell ref="O6:S6"/>
    <mergeCell ref="O7:T7"/>
    <mergeCell ref="O8:T8"/>
    <mergeCell ref="C6:E6"/>
    <mergeCell ref="F6:M6"/>
    <mergeCell ref="C7:G7"/>
    <mergeCell ref="H7:M7"/>
    <mergeCell ref="N30:R30"/>
    <mergeCell ref="N29:R29"/>
    <mergeCell ref="C12:L12"/>
    <mergeCell ref="C8:G8"/>
    <mergeCell ref="H8:M8"/>
    <mergeCell ref="J9:M9"/>
    <mergeCell ref="J47:O47"/>
    <mergeCell ref="J48:O48"/>
    <mergeCell ref="AA6:AC6"/>
    <mergeCell ref="AD6:AH6"/>
    <mergeCell ref="U8:Y8"/>
    <mergeCell ref="AE7:AH7"/>
    <mergeCell ref="AA7:AD7"/>
    <mergeCell ref="AA8:AH8"/>
    <mergeCell ref="U6:Y6"/>
    <mergeCell ref="U7:Y7"/>
    <mergeCell ref="N31:R31"/>
    <mergeCell ref="M13:P13"/>
    <mergeCell ref="M14:P14"/>
    <mergeCell ref="M15:P15"/>
    <mergeCell ref="J44:O44"/>
    <mergeCell ref="N32:R32"/>
  </mergeCells>
  <phoneticPr fontId="4" type="noConversion"/>
  <pageMargins left="0.78740157499999996" right="0.18" top="0.47" bottom="0.47" header="0.4921259845" footer="0.4921259845"/>
  <pageSetup paperSize="9"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IA2070"/>
  <sheetViews>
    <sheetView zoomScale="75" workbookViewId="0">
      <selection activeCell="F26" sqref="F26"/>
    </sheetView>
  </sheetViews>
  <sheetFormatPr defaultColWidth="11.5546875" defaultRowHeight="13.2"/>
  <cols>
    <col min="6" max="6" width="12.109375" bestFit="1" customWidth="1"/>
    <col min="7" max="7" width="14.33203125" bestFit="1" customWidth="1"/>
    <col min="9" max="9" width="12.88671875" bestFit="1" customWidth="1"/>
    <col min="11" max="11" width="12.44140625" customWidth="1"/>
    <col min="14" max="14" width="16.109375" customWidth="1"/>
    <col min="15" max="15" width="13" customWidth="1"/>
    <col min="16" max="16" width="14.109375" customWidth="1"/>
    <col min="18" max="19" width="14.88671875" customWidth="1"/>
  </cols>
  <sheetData>
    <row r="1" spans="1:235" ht="21.6" thickBot="1">
      <c r="A1" s="39"/>
      <c r="B1" s="39"/>
      <c r="C1" s="39"/>
      <c r="D1" s="39"/>
      <c r="F1" s="206"/>
      <c r="G1" s="207"/>
      <c r="H1" s="210" t="str">
        <f>C4</f>
        <v>AH-123</v>
      </c>
      <c r="I1" s="211"/>
      <c r="J1" s="211"/>
      <c r="K1" s="211"/>
      <c r="L1" s="211"/>
      <c r="M1" s="211"/>
      <c r="N1" s="211"/>
      <c r="O1" s="211"/>
      <c r="P1" s="211"/>
      <c r="Q1" s="212"/>
      <c r="R1" s="102"/>
      <c r="S1" s="102"/>
    </row>
    <row r="2" spans="1:235" ht="16.8" thickBot="1">
      <c r="A2" s="39"/>
      <c r="B2" s="39"/>
      <c r="C2" s="39"/>
      <c r="D2" s="39"/>
      <c r="F2" s="173">
        <f>Basisdaten!J47</f>
        <v>100</v>
      </c>
      <c r="G2" s="174">
        <f>MATCH(F2,O15:O5000,1)+14</f>
        <v>473</v>
      </c>
      <c r="H2" s="4" t="s">
        <v>42</v>
      </c>
      <c r="I2" s="9">
        <f>(K2*I7)/1000</f>
        <v>5.6572500000000003</v>
      </c>
      <c r="J2" s="4" t="s">
        <v>46</v>
      </c>
      <c r="K2" s="93">
        <f>Auswertung!H8</f>
        <v>397</v>
      </c>
      <c r="L2" s="4" t="s">
        <v>56</v>
      </c>
      <c r="M2" s="7">
        <f ca="1">(Auswertung!$I$8)*100</f>
        <v>47.503526323513974</v>
      </c>
      <c r="N2" s="5" t="s">
        <v>91</v>
      </c>
      <c r="O2" s="129">
        <f ca="1">INDIRECT("L"&amp;MATCH(0.05,K15:K656,1)+14)</f>
        <v>0</v>
      </c>
      <c r="P2" s="169">
        <f>O8</f>
        <v>474</v>
      </c>
      <c r="Q2" s="170" t="e">
        <f t="array" aca="1" ref="Q2:Q3" ca="1">+TRANSPOSE(LINEST(INDIRECT("R" &amp; P2):INDIRECT("R" &amp; P3),INDIRECT("S" &amp; P2):INDIRECT("S" &amp; P3)^{0,1},0,0))</f>
        <v>#VALUE!</v>
      </c>
      <c r="R2" s="102"/>
      <c r="S2" s="102"/>
    </row>
    <row r="3" spans="1:235" ht="21" thickBot="1">
      <c r="A3" s="206"/>
      <c r="B3" s="213"/>
      <c r="C3" s="213"/>
      <c r="D3" s="207"/>
      <c r="F3" s="175">
        <f>Basisdaten!J48</f>
        <v>200</v>
      </c>
      <c r="G3" s="174">
        <f>MATCH(F3,O15:O5000,1)+14</f>
        <v>473</v>
      </c>
      <c r="H3" s="10" t="s">
        <v>20</v>
      </c>
      <c r="I3" s="11">
        <f>MAX(C15:C474)</f>
        <v>5.2609500000000002</v>
      </c>
      <c r="J3" s="10" t="s">
        <v>30</v>
      </c>
      <c r="K3" s="12">
        <f>MAX(O15:O474)</f>
        <v>369.1894736842105</v>
      </c>
      <c r="L3" s="5" t="s">
        <v>72</v>
      </c>
      <c r="M3" s="8">
        <f ca="1">K5*100</f>
        <v>47.753447284878867</v>
      </c>
      <c r="N3" s="5" t="s">
        <v>92</v>
      </c>
      <c r="O3" s="129">
        <f ca="1">INDIRECT("L"&amp;MATCH(0.1,K15:K656,1)+14)</f>
        <v>0</v>
      </c>
      <c r="P3" s="169">
        <f>O9</f>
        <v>473</v>
      </c>
      <c r="Q3" s="170" t="e">
        <f ca="1"/>
        <v>#VALUE!</v>
      </c>
      <c r="R3" s="102"/>
      <c r="S3" s="102"/>
    </row>
    <row r="4" spans="1:235" ht="21.6" thickBot="1">
      <c r="A4" s="208" t="s">
        <v>34</v>
      </c>
      <c r="B4" s="209"/>
      <c r="C4" s="208" t="s">
        <v>117</v>
      </c>
      <c r="D4" s="209"/>
      <c r="F4" s="176" t="s">
        <v>107</v>
      </c>
      <c r="G4" s="177" t="e">
        <f ca="1">(INDIRECT("O" &amp; G3) - INDIRECT("O" &amp; G2))/(INDIRECT("P" &amp; G3) - INDIRECT("P" &amp; G2))</f>
        <v>#DIV/0!</v>
      </c>
      <c r="H4" s="5" t="s">
        <v>45</v>
      </c>
      <c r="I4" s="92">
        <f ca="1">INDIRECT("J"&amp;MATCH(K6,P15:P20000,0)+14)</f>
        <v>5.2609500000000002</v>
      </c>
      <c r="J4" s="94" t="s">
        <v>69</v>
      </c>
      <c r="K4" s="95">
        <f ca="1">INDIRECT("O"&amp;MATCH(K6,P15:P20000,0)+14)</f>
        <v>369.1894736842105</v>
      </c>
      <c r="L4" s="4" t="s">
        <v>32</v>
      </c>
      <c r="M4" s="7">
        <f ca="1">K7*100</f>
        <v>47.503596199532701</v>
      </c>
      <c r="N4" s="5" t="s">
        <v>93</v>
      </c>
      <c r="O4" s="129">
        <f ca="1">INDIRECT("L"&amp;MATCH(0.15,K15:K656,1)+14)</f>
        <v>0</v>
      </c>
      <c r="P4" s="24"/>
      <c r="Q4" s="25"/>
      <c r="R4" s="102"/>
      <c r="S4" s="102"/>
    </row>
    <row r="5" spans="1:235" ht="16.8" thickBot="1">
      <c r="A5" s="40"/>
      <c r="B5" s="36"/>
      <c r="C5" s="36"/>
      <c r="D5" s="36"/>
      <c r="F5" s="18" t="s">
        <v>85</v>
      </c>
      <c r="G5" s="178" t="e">
        <f ca="1">(INDIRECT("O"&amp;MATCH(F3,O15:O20000,1)+14)-INDIRECT("O"&amp;MATCH(F2,O15:O20000,1)+14))/(INDIRECT("H"&amp;MATCH(F3,O15:O20000,1)+14)-INDIRECT("H"&amp;MATCH(F2,O15:O20000,1)+14))</f>
        <v>#DIV/0!</v>
      </c>
      <c r="H5" s="96" t="s">
        <v>50</v>
      </c>
      <c r="I5" s="97">
        <f ca="1">INDIRECT("I"&amp;MATCH(I3,C15:C20000,0)+14)</f>
        <v>7.1630170927318293</v>
      </c>
      <c r="J5" s="98" t="s">
        <v>71</v>
      </c>
      <c r="K5" s="103">
        <f ca="1">INDIRECT("P"&amp;MATCH(K3,O15:O20000,0)+14)</f>
        <v>0.47753447284878864</v>
      </c>
      <c r="L5" s="5" t="s">
        <v>74</v>
      </c>
      <c r="M5" s="8">
        <f>K6*100</f>
        <v>47.753447284878867</v>
      </c>
      <c r="N5" s="5" t="s">
        <v>88</v>
      </c>
      <c r="O5" s="129">
        <f ca="1">INDIRECT("L"&amp;MATCH(0.2,K15:K656,1)+14)</f>
        <v>0</v>
      </c>
      <c r="P5" s="24"/>
      <c r="Q5" s="25"/>
      <c r="R5" s="102"/>
      <c r="S5" s="102"/>
    </row>
    <row r="6" spans="1:235" ht="24.6" thickBot="1">
      <c r="A6" s="40"/>
      <c r="B6" s="40"/>
      <c r="C6" s="36"/>
      <c r="D6" s="41"/>
      <c r="F6" s="206" t="s">
        <v>49</v>
      </c>
      <c r="G6" s="207"/>
      <c r="H6" s="5" t="s">
        <v>47</v>
      </c>
      <c r="I6" s="13">
        <f ca="1">K7*I10</f>
        <v>7.1255394299299049</v>
      </c>
      <c r="J6" s="99" t="s">
        <v>70</v>
      </c>
      <c r="K6" s="104">
        <f>MAX(P15:P474)</f>
        <v>0.47753447284878864</v>
      </c>
      <c r="L6" s="5" t="s">
        <v>33</v>
      </c>
      <c r="M6" s="8">
        <f>(I7-I8)/I7*100</f>
        <v>73.15789473684211</v>
      </c>
      <c r="N6" s="5" t="s">
        <v>87</v>
      </c>
      <c r="O6" s="129" t="e">
        <f ca="1">INDIRECT("L"&amp;MATCH(K3,O15:O656,0)+14)</f>
        <v>#N/A</v>
      </c>
      <c r="P6" s="24"/>
      <c r="Q6" s="25"/>
      <c r="R6" s="102"/>
      <c r="S6" s="102"/>
    </row>
    <row r="7" spans="1:235" ht="19.8" thickBot="1">
      <c r="A7" s="40"/>
      <c r="B7" s="40"/>
      <c r="C7" s="36"/>
      <c r="D7" s="41"/>
      <c r="F7" s="179" t="s">
        <v>108</v>
      </c>
      <c r="G7" s="20">
        <f>((C15*1000*I10)/(I7*Basisdaten!J44))</f>
        <v>6.9770927318295733E-3</v>
      </c>
      <c r="H7" s="5" t="s">
        <v>39</v>
      </c>
      <c r="I7" s="13">
        <f>(Basisdaten!M13*Basisdaten!M14)</f>
        <v>14.25</v>
      </c>
      <c r="J7" s="99" t="s">
        <v>73</v>
      </c>
      <c r="K7" s="104">
        <f ca="1">(Auswertung!E8-Auswertung!A8)</f>
        <v>0.47503596199532699</v>
      </c>
      <c r="L7" s="5"/>
      <c r="M7" s="104"/>
      <c r="N7" s="135" t="str">
        <f>"Mittelwert r" &amp; N8 &amp; " -" &amp; N9</f>
        <v>Mittelwert r10 -15</v>
      </c>
      <c r="O7" s="136" t="e">
        <f ca="1">AVERAGE(INDIRECT("L" &amp; O8):INDIRECT("L" &amp; O9))</f>
        <v>#N/A</v>
      </c>
      <c r="P7" s="171" t="s">
        <v>105</v>
      </c>
      <c r="Q7" s="172" t="e">
        <f ca="1">Q2/(-(Q2+1))</f>
        <v>#VALUE!</v>
      </c>
      <c r="R7" s="102"/>
      <c r="S7" s="102"/>
    </row>
    <row r="8" spans="1:235" ht="16.8" thickBot="1">
      <c r="A8" s="42"/>
      <c r="B8" s="36"/>
      <c r="C8" s="36"/>
      <c r="D8" s="36"/>
      <c r="F8" s="22"/>
      <c r="G8" s="20"/>
      <c r="H8" s="5" t="s">
        <v>40</v>
      </c>
      <c r="I8" s="6">
        <f>(AVERAGE(Basisdaten!N29:R30)*AVERAGE(Basisdaten!N31:R32))</f>
        <v>3.8250000000000002</v>
      </c>
      <c r="J8" s="23" t="s">
        <v>83</v>
      </c>
      <c r="K8" s="93">
        <f ca="1">INDIRECT("M"&amp;MATCH(I3,C15:C20000,0)+13)</f>
        <v>97.781126261923788</v>
      </c>
      <c r="L8" s="5"/>
      <c r="M8" s="104"/>
      <c r="N8" s="131">
        <v>10</v>
      </c>
      <c r="O8" s="132">
        <f>MATCH(N8/100,K15:K656,1)+15</f>
        <v>474</v>
      </c>
      <c r="P8" s="102"/>
      <c r="Q8" s="102"/>
      <c r="R8" s="102"/>
      <c r="S8" s="102"/>
    </row>
    <row r="9" spans="1:235" ht="16.8" thickBot="1">
      <c r="A9" s="42"/>
      <c r="B9" s="36"/>
      <c r="C9" s="36"/>
      <c r="D9" s="36"/>
      <c r="F9" s="18" t="s">
        <v>85</v>
      </c>
      <c r="G9" s="121" t="e">
        <f ca="1">(INDIRECT("O"&amp;MATCH(K3/2,O15:O656,1)+14)-INDIRECT("O"&amp;MATCH(K3/4,O15:O656,1)+14))/(INDIRECT("H"&amp;MATCH(K3/2,O15:O656,1)+14)-INDIRECT("H"&amp;MATCH(K3/4,O15:O656,1)+14))</f>
        <v>#N/A</v>
      </c>
      <c r="H9" s="100" t="s">
        <v>41</v>
      </c>
      <c r="I9" s="101">
        <f>Auswertung!D10</f>
        <v>147722.49261044693</v>
      </c>
      <c r="J9" s="122" t="s">
        <v>43</v>
      </c>
      <c r="K9" s="93">
        <f ca="1">(I4*1000)/I8</f>
        <v>1375.4117647058822</v>
      </c>
      <c r="L9" s="122" t="s">
        <v>89</v>
      </c>
      <c r="M9" s="93">
        <f ca="1">INDIRECT("M"&amp;MATCH(I3,C15:C656,0)+13)</f>
        <v>97.781126261923788</v>
      </c>
      <c r="N9" s="133">
        <v>15</v>
      </c>
      <c r="O9" s="134">
        <f>MATCH(N9/100,K15:K656,1)+14</f>
        <v>473</v>
      </c>
      <c r="P9" s="38"/>
      <c r="Q9" s="38"/>
      <c r="R9" s="102"/>
      <c r="S9" s="102"/>
    </row>
    <row r="10" spans="1:235" ht="16.8" thickBot="1">
      <c r="A10" s="42"/>
      <c r="B10" s="36"/>
      <c r="C10" s="36"/>
      <c r="D10" s="36"/>
      <c r="F10" s="17"/>
      <c r="G10" s="19"/>
      <c r="H10" s="4" t="s">
        <v>48</v>
      </c>
      <c r="I10" s="35">
        <f>Basisdaten!M15</f>
        <v>15</v>
      </c>
      <c r="J10" s="120" t="s">
        <v>44</v>
      </c>
      <c r="K10" s="104">
        <f>LN(I7/I8)</f>
        <v>1.3151984394361602</v>
      </c>
      <c r="L10" s="120" t="s">
        <v>90</v>
      </c>
      <c r="M10" s="104">
        <f ca="1">INDIRECT("N"&amp;MATCH(I3,C15:C656,0)+13)</f>
        <v>1.0419298513089797E-3</v>
      </c>
      <c r="N10" s="14"/>
      <c r="O10" s="14"/>
      <c r="P10" s="37"/>
      <c r="Q10" s="38"/>
      <c r="R10" s="102"/>
      <c r="S10" s="102"/>
    </row>
    <row r="11" spans="1:235" ht="21.6" thickBot="1">
      <c r="A11" s="206" t="s">
        <v>12</v>
      </c>
      <c r="B11" s="213"/>
      <c r="C11" s="213"/>
      <c r="D11" s="213"/>
      <c r="E11" s="213"/>
      <c r="F11" s="213"/>
      <c r="G11" s="207"/>
      <c r="H11" s="208" t="str">
        <f>"Messwerte von Probe " &amp; C4</f>
        <v>Messwerte von Probe AH-123</v>
      </c>
      <c r="I11" s="214"/>
      <c r="J11" s="214"/>
      <c r="K11" s="215"/>
      <c r="L11" s="215"/>
      <c r="M11" s="215"/>
      <c r="N11" s="216"/>
      <c r="O11" s="216"/>
      <c r="P11" s="216"/>
      <c r="Q11" s="212"/>
      <c r="R11" s="102"/>
      <c r="S11" s="102"/>
    </row>
    <row r="12" spans="1:235" ht="21" customHeight="1">
      <c r="A12" s="1"/>
      <c r="B12" s="2"/>
      <c r="C12" s="2"/>
      <c r="D12" s="2"/>
      <c r="E12" s="127"/>
      <c r="F12" s="15"/>
      <c r="G12" s="15"/>
      <c r="H12" s="152"/>
      <c r="I12" s="153"/>
      <c r="J12" s="152"/>
      <c r="K12" s="154"/>
      <c r="L12" s="155"/>
      <c r="M12" s="152"/>
      <c r="N12" s="156"/>
      <c r="O12" s="157"/>
      <c r="P12" s="156"/>
      <c r="Q12" s="156"/>
      <c r="R12" s="154"/>
      <c r="S12" s="156"/>
    </row>
    <row r="13" spans="1:235" ht="21">
      <c r="A13" s="123" t="s">
        <v>10</v>
      </c>
      <c r="B13" s="124" t="s">
        <v>15</v>
      </c>
      <c r="C13" s="125" t="s">
        <v>13</v>
      </c>
      <c r="D13" s="126" t="s">
        <v>95</v>
      </c>
      <c r="E13" s="126" t="s">
        <v>96</v>
      </c>
      <c r="F13" s="128"/>
      <c r="G13" s="21"/>
      <c r="H13" s="158" t="s">
        <v>10</v>
      </c>
      <c r="I13" s="124" t="s">
        <v>97</v>
      </c>
      <c r="J13" s="158" t="s">
        <v>13</v>
      </c>
      <c r="K13" s="159" t="s">
        <v>98</v>
      </c>
      <c r="L13" s="160" t="s">
        <v>86</v>
      </c>
      <c r="M13" s="161" t="s">
        <v>99</v>
      </c>
      <c r="N13" s="162" t="s">
        <v>100</v>
      </c>
      <c r="O13" s="163" t="s">
        <v>101</v>
      </c>
      <c r="P13" s="162" t="s">
        <v>102</v>
      </c>
      <c r="Q13" s="162" t="s">
        <v>103</v>
      </c>
      <c r="R13" s="159" t="s">
        <v>104</v>
      </c>
      <c r="S13" s="162" t="s">
        <v>100</v>
      </c>
    </row>
    <row r="14" spans="1:235" s="3" customFormat="1" ht="17.25" customHeight="1" thickBot="1">
      <c r="A14" s="140" t="s">
        <v>11</v>
      </c>
      <c r="B14" s="141" t="s">
        <v>16</v>
      </c>
      <c r="C14" s="141" t="s">
        <v>14</v>
      </c>
      <c r="D14" s="142" t="s">
        <v>16</v>
      </c>
      <c r="E14" s="142" t="s">
        <v>16</v>
      </c>
      <c r="F14" s="16"/>
      <c r="G14" s="16"/>
      <c r="H14" s="164" t="str">
        <f>A14</f>
        <v>[s]</v>
      </c>
      <c r="I14" s="142" t="s">
        <v>16</v>
      </c>
      <c r="J14" s="164" t="str">
        <f>C14</f>
        <v>[kN]</v>
      </c>
      <c r="K14" s="165"/>
      <c r="L14" s="166"/>
      <c r="M14" s="164" t="s">
        <v>53</v>
      </c>
      <c r="N14" s="167"/>
      <c r="O14" s="168" t="s">
        <v>53</v>
      </c>
      <c r="P14" s="167"/>
      <c r="Q14" s="167"/>
      <c r="R14" s="167"/>
      <c r="S14" s="167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</row>
    <row r="15" spans="1:235">
      <c r="A15" s="144">
        <v>12.2</v>
      </c>
      <c r="B15" s="43">
        <v>8.6599999999999993E-3</v>
      </c>
      <c r="C15" s="43">
        <v>1.3919299999999999</v>
      </c>
      <c r="D15" s="43">
        <v>9.7014800000000001</v>
      </c>
      <c r="E15" s="147">
        <v>1.2</v>
      </c>
      <c r="F15" s="43"/>
      <c r="G15" s="151"/>
      <c r="H15" s="143">
        <f>A15</f>
        <v>12.2</v>
      </c>
      <c r="I15" s="139">
        <f>B15+$G$7</f>
        <v>1.5637092731829574E-2</v>
      </c>
      <c r="J15" s="139">
        <f>C15</f>
        <v>1.3919299999999999</v>
      </c>
      <c r="K15" s="139">
        <f>(P15-(O15/$I$9))</f>
        <v>3.812377415311391E-4</v>
      </c>
      <c r="L15" s="139">
        <f ca="1">IF(I15&lt;$I$5,(LN(D15/$D$15))/LN(($I$10*$D$15)/((B15+$I$10)*D15)),#N/A)</f>
        <v>0</v>
      </c>
      <c r="M15" s="139">
        <f ca="1">IF(I15&lt;$I$5,O15*(1+P15),#N/A)</f>
        <v>97.781126261923788</v>
      </c>
      <c r="N15" s="139">
        <f ca="1">IF(I15&lt;$I$5,LN(1+P15),#N/A)</f>
        <v>1.0419298513089797E-3</v>
      </c>
      <c r="O15" s="139">
        <f>(C15*1000)/$I$7</f>
        <v>97.679298245614021</v>
      </c>
      <c r="P15" s="139">
        <f>I15/$I$10</f>
        <v>1.0424728487886383E-3</v>
      </c>
      <c r="Q15" s="139">
        <f>E15/$D$15</f>
        <v>0.12369246754103497</v>
      </c>
      <c r="R15" s="143" t="e">
        <f>IF(AND(($N$8/100)&lt;K15,($N$9/100)&gt;K15),LN(1-Q15),#N/A)</f>
        <v>#N/A</v>
      </c>
      <c r="S15" s="146" t="e">
        <f>IF(AND(($N$8/100)&lt;K15,($N$9/100)&gt;K15),LN(1+P15),#N/A)</f>
        <v>#N/A</v>
      </c>
    </row>
    <row r="16" spans="1:235">
      <c r="A16" s="144">
        <v>12.2</v>
      </c>
      <c r="B16" s="43">
        <v>8.6599999999999993E-3</v>
      </c>
      <c r="C16" s="43">
        <v>1.3919299999999999</v>
      </c>
      <c r="D16" s="43">
        <v>9.7014800000000001</v>
      </c>
      <c r="E16" s="147">
        <v>1.2</v>
      </c>
      <c r="F16" s="43"/>
      <c r="G16" s="39"/>
      <c r="H16" s="144">
        <f t="shared" ref="H16:H79" si="0">A16</f>
        <v>12.2</v>
      </c>
      <c r="I16" s="43">
        <f t="shared" ref="I16:I79" si="1">B16+$G$7</f>
        <v>1.5637092731829574E-2</v>
      </c>
      <c r="J16" s="43">
        <f t="shared" ref="J16:J79" si="2">C16</f>
        <v>1.3919299999999999</v>
      </c>
      <c r="K16" s="43">
        <f t="shared" ref="K16:K79" si="3">(P16-(O16/$I$9))</f>
        <v>3.812377415311391E-4</v>
      </c>
      <c r="L16" s="43">
        <f ca="1">IF(I16&lt;$I$5,(LN(D16/$D$15))/LN(($I$10*$D$15)/((B16+$I$10)*D16)),#N/A)</f>
        <v>0</v>
      </c>
      <c r="M16" s="43">
        <f t="shared" ref="M16:M79" ca="1" si="4">IF(I16&lt;$I$5,O16*(1+P16),#N/A)</f>
        <v>97.781126261923788</v>
      </c>
      <c r="N16" s="43">
        <f t="shared" ref="N16:N79" ca="1" si="5">IF(I16&lt;$I$5,LN(1+P16),#N/A)</f>
        <v>1.0419298513089797E-3</v>
      </c>
      <c r="O16" s="43">
        <f t="shared" ref="O16:O79" si="6">(C16*1000)/$I$7</f>
        <v>97.679298245614021</v>
      </c>
      <c r="P16" s="43">
        <f t="shared" ref="P16:P79" si="7">I16/$I$10</f>
        <v>1.0424728487886383E-3</v>
      </c>
      <c r="Q16" s="43">
        <f t="shared" ref="Q16:Q79" si="8">E16/$D$15</f>
        <v>0.12369246754103497</v>
      </c>
      <c r="R16" s="144" t="e">
        <f t="shared" ref="R16:R79" si="9">IF(AND(($N$8/100)&lt;K16,($N$9/100)&gt;K16),LN(1-Q16),#N/A)</f>
        <v>#N/A</v>
      </c>
      <c r="S16" s="147" t="e">
        <f t="shared" ref="S16:S79" si="10">IF(AND(($N$8/100)&lt;K16,($N$9/100)&gt;K16),LN(1+P16),#N/A)</f>
        <v>#N/A</v>
      </c>
    </row>
    <row r="17" spans="1:19">
      <c r="A17" s="144">
        <v>12.2</v>
      </c>
      <c r="B17" s="43">
        <v>8.6599999999999993E-3</v>
      </c>
      <c r="C17" s="43">
        <v>1.3919299999999999</v>
      </c>
      <c r="D17" s="43">
        <v>9.7014800000000001</v>
      </c>
      <c r="E17" s="147">
        <v>1.2</v>
      </c>
      <c r="F17" s="43"/>
      <c r="G17" s="39"/>
      <c r="H17" s="144">
        <f t="shared" si="0"/>
        <v>12.2</v>
      </c>
      <c r="I17" s="43">
        <f t="shared" si="1"/>
        <v>1.5637092731829574E-2</v>
      </c>
      <c r="J17" s="43">
        <f t="shared" si="2"/>
        <v>1.3919299999999999</v>
      </c>
      <c r="K17" s="43">
        <f t="shared" si="3"/>
        <v>3.812377415311391E-4</v>
      </c>
      <c r="L17" s="43">
        <f t="shared" ref="L16:L79" ca="1" si="11">IF(I17&lt;$I$5,(LN(D17/$D$15))/LN(($I$10*$D$15)/((B17+$I$10)*D17)),#N/A)</f>
        <v>0</v>
      </c>
      <c r="M17" s="43">
        <f t="shared" ca="1" si="4"/>
        <v>97.781126261923788</v>
      </c>
      <c r="N17" s="43">
        <f t="shared" ca="1" si="5"/>
        <v>1.0419298513089797E-3</v>
      </c>
      <c r="O17" s="43">
        <f t="shared" si="6"/>
        <v>97.679298245614021</v>
      </c>
      <c r="P17" s="43">
        <f t="shared" si="7"/>
        <v>1.0424728487886383E-3</v>
      </c>
      <c r="Q17" s="43">
        <f t="shared" si="8"/>
        <v>0.12369246754103497</v>
      </c>
      <c r="R17" s="144" t="e">
        <f t="shared" si="9"/>
        <v>#N/A</v>
      </c>
      <c r="S17" s="147" t="e">
        <f t="shared" si="10"/>
        <v>#N/A</v>
      </c>
    </row>
    <row r="18" spans="1:19">
      <c r="A18" s="144">
        <v>12.2</v>
      </c>
      <c r="B18" s="43">
        <v>8.6599999999999993E-3</v>
      </c>
      <c r="C18" s="43">
        <v>1.3919299999999999</v>
      </c>
      <c r="D18" s="43">
        <v>9.7014800000000001</v>
      </c>
      <c r="E18" s="147">
        <v>1.2</v>
      </c>
      <c r="F18" s="43"/>
      <c r="G18" s="39"/>
      <c r="H18" s="144">
        <f t="shared" si="0"/>
        <v>12.2</v>
      </c>
      <c r="I18" s="43">
        <f t="shared" si="1"/>
        <v>1.5637092731829574E-2</v>
      </c>
      <c r="J18" s="43">
        <f t="shared" si="2"/>
        <v>1.3919299999999999</v>
      </c>
      <c r="K18" s="43">
        <f t="shared" si="3"/>
        <v>3.812377415311391E-4</v>
      </c>
      <c r="L18" s="43">
        <f t="shared" ca="1" si="11"/>
        <v>0</v>
      </c>
      <c r="M18" s="43">
        <f t="shared" ca="1" si="4"/>
        <v>97.781126261923788</v>
      </c>
      <c r="N18" s="43">
        <f t="shared" ca="1" si="5"/>
        <v>1.0419298513089797E-3</v>
      </c>
      <c r="O18" s="43">
        <f t="shared" si="6"/>
        <v>97.679298245614021</v>
      </c>
      <c r="P18" s="43">
        <f t="shared" si="7"/>
        <v>1.0424728487886383E-3</v>
      </c>
      <c r="Q18" s="43">
        <f t="shared" si="8"/>
        <v>0.12369246754103497</v>
      </c>
      <c r="R18" s="144" t="e">
        <f t="shared" si="9"/>
        <v>#N/A</v>
      </c>
      <c r="S18" s="147" t="e">
        <f t="shared" si="10"/>
        <v>#N/A</v>
      </c>
    </row>
    <row r="19" spans="1:19">
      <c r="A19" s="144">
        <v>12.2</v>
      </c>
      <c r="B19" s="43">
        <v>8.6599999999999993E-3</v>
      </c>
      <c r="C19" s="43">
        <v>1.3919299999999999</v>
      </c>
      <c r="D19" s="43">
        <v>9.7014800000000001</v>
      </c>
      <c r="E19" s="147">
        <v>1.2</v>
      </c>
      <c r="F19" s="43"/>
      <c r="G19" s="39"/>
      <c r="H19" s="144">
        <f t="shared" si="0"/>
        <v>12.2</v>
      </c>
      <c r="I19" s="43">
        <f t="shared" si="1"/>
        <v>1.5637092731829574E-2</v>
      </c>
      <c r="J19" s="43">
        <f t="shared" si="2"/>
        <v>1.3919299999999999</v>
      </c>
      <c r="K19" s="43">
        <f t="shared" si="3"/>
        <v>3.812377415311391E-4</v>
      </c>
      <c r="L19" s="43">
        <f t="shared" ca="1" si="11"/>
        <v>0</v>
      </c>
      <c r="M19" s="43">
        <f t="shared" ca="1" si="4"/>
        <v>97.781126261923788</v>
      </c>
      <c r="N19" s="43">
        <f t="shared" ca="1" si="5"/>
        <v>1.0419298513089797E-3</v>
      </c>
      <c r="O19" s="43">
        <f t="shared" si="6"/>
        <v>97.679298245614021</v>
      </c>
      <c r="P19" s="43">
        <f t="shared" si="7"/>
        <v>1.0424728487886383E-3</v>
      </c>
      <c r="Q19" s="43">
        <f t="shared" si="8"/>
        <v>0.12369246754103497</v>
      </c>
      <c r="R19" s="144" t="e">
        <f t="shared" si="9"/>
        <v>#N/A</v>
      </c>
      <c r="S19" s="147" t="e">
        <f t="shared" si="10"/>
        <v>#N/A</v>
      </c>
    </row>
    <row r="20" spans="1:19">
      <c r="A20" s="144">
        <v>12.2</v>
      </c>
      <c r="B20" s="43">
        <v>8.6599999999999993E-3</v>
      </c>
      <c r="C20" s="43">
        <v>1.3919299999999999</v>
      </c>
      <c r="D20" s="43">
        <v>9.7014800000000001</v>
      </c>
      <c r="E20" s="147">
        <v>1.2</v>
      </c>
      <c r="F20" s="43"/>
      <c r="G20" s="39"/>
      <c r="H20" s="144">
        <f t="shared" si="0"/>
        <v>12.2</v>
      </c>
      <c r="I20" s="43">
        <f t="shared" si="1"/>
        <v>1.5637092731829574E-2</v>
      </c>
      <c r="J20" s="43">
        <f t="shared" si="2"/>
        <v>1.3919299999999999</v>
      </c>
      <c r="K20" s="43">
        <f t="shared" si="3"/>
        <v>3.812377415311391E-4</v>
      </c>
      <c r="L20" s="43">
        <f t="shared" ca="1" si="11"/>
        <v>0</v>
      </c>
      <c r="M20" s="43">
        <f t="shared" ca="1" si="4"/>
        <v>97.781126261923788</v>
      </c>
      <c r="N20" s="43">
        <f t="shared" ca="1" si="5"/>
        <v>1.0419298513089797E-3</v>
      </c>
      <c r="O20" s="43">
        <f t="shared" si="6"/>
        <v>97.679298245614021</v>
      </c>
      <c r="P20" s="43">
        <f t="shared" si="7"/>
        <v>1.0424728487886383E-3</v>
      </c>
      <c r="Q20" s="43">
        <f t="shared" si="8"/>
        <v>0.12369246754103497</v>
      </c>
      <c r="R20" s="144" t="e">
        <f t="shared" si="9"/>
        <v>#N/A</v>
      </c>
      <c r="S20" s="147" t="e">
        <f t="shared" si="10"/>
        <v>#N/A</v>
      </c>
    </row>
    <row r="21" spans="1:19">
      <c r="A21" s="144">
        <v>12.2</v>
      </c>
      <c r="B21" s="43">
        <v>8.6599999999999993E-3</v>
      </c>
      <c r="C21" s="43">
        <v>1.3919299999999999</v>
      </c>
      <c r="D21" s="43">
        <v>9.7014800000000001</v>
      </c>
      <c r="E21" s="147">
        <v>1.2</v>
      </c>
      <c r="F21" s="43"/>
      <c r="G21" s="39"/>
      <c r="H21" s="144">
        <f t="shared" si="0"/>
        <v>12.2</v>
      </c>
      <c r="I21" s="43">
        <f t="shared" si="1"/>
        <v>1.5637092731829574E-2</v>
      </c>
      <c r="J21" s="43">
        <f t="shared" si="2"/>
        <v>1.3919299999999999</v>
      </c>
      <c r="K21" s="43">
        <f t="shared" si="3"/>
        <v>3.812377415311391E-4</v>
      </c>
      <c r="L21" s="43">
        <f t="shared" ca="1" si="11"/>
        <v>0</v>
      </c>
      <c r="M21" s="43">
        <f t="shared" ca="1" si="4"/>
        <v>97.781126261923788</v>
      </c>
      <c r="N21" s="43">
        <f t="shared" ca="1" si="5"/>
        <v>1.0419298513089797E-3</v>
      </c>
      <c r="O21" s="43">
        <f t="shared" si="6"/>
        <v>97.679298245614021</v>
      </c>
      <c r="P21" s="43">
        <f t="shared" si="7"/>
        <v>1.0424728487886383E-3</v>
      </c>
      <c r="Q21" s="43">
        <f t="shared" si="8"/>
        <v>0.12369246754103497</v>
      </c>
      <c r="R21" s="144" t="e">
        <f t="shared" si="9"/>
        <v>#N/A</v>
      </c>
      <c r="S21" s="147" t="e">
        <f t="shared" si="10"/>
        <v>#N/A</v>
      </c>
    </row>
    <row r="22" spans="1:19">
      <c r="A22" s="144">
        <v>12.2</v>
      </c>
      <c r="B22" s="43">
        <v>8.6599999999999993E-3</v>
      </c>
      <c r="C22" s="43">
        <v>1.3919299999999999</v>
      </c>
      <c r="D22" s="43">
        <v>9.7014800000000001</v>
      </c>
      <c r="E22" s="147">
        <v>1.2</v>
      </c>
      <c r="F22" s="43"/>
      <c r="G22" s="39"/>
      <c r="H22" s="144">
        <f t="shared" si="0"/>
        <v>12.2</v>
      </c>
      <c r="I22" s="43">
        <f t="shared" si="1"/>
        <v>1.5637092731829574E-2</v>
      </c>
      <c r="J22" s="43">
        <f t="shared" si="2"/>
        <v>1.3919299999999999</v>
      </c>
      <c r="K22" s="43">
        <f t="shared" si="3"/>
        <v>3.812377415311391E-4</v>
      </c>
      <c r="L22" s="43">
        <f t="shared" ca="1" si="11"/>
        <v>0</v>
      </c>
      <c r="M22" s="43">
        <f t="shared" ca="1" si="4"/>
        <v>97.781126261923788</v>
      </c>
      <c r="N22" s="43">
        <f t="shared" ca="1" si="5"/>
        <v>1.0419298513089797E-3</v>
      </c>
      <c r="O22" s="43">
        <f t="shared" si="6"/>
        <v>97.679298245614021</v>
      </c>
      <c r="P22" s="43">
        <f t="shared" si="7"/>
        <v>1.0424728487886383E-3</v>
      </c>
      <c r="Q22" s="43">
        <f t="shared" si="8"/>
        <v>0.12369246754103497</v>
      </c>
      <c r="R22" s="144" t="e">
        <f t="shared" si="9"/>
        <v>#N/A</v>
      </c>
      <c r="S22" s="147" t="e">
        <f t="shared" si="10"/>
        <v>#N/A</v>
      </c>
    </row>
    <row r="23" spans="1:19">
      <c r="A23" s="144">
        <v>12.2</v>
      </c>
      <c r="B23" s="43">
        <v>8.6599999999999993E-3</v>
      </c>
      <c r="C23" s="43">
        <v>1.3919299999999999</v>
      </c>
      <c r="D23" s="43">
        <v>9.7014800000000001</v>
      </c>
      <c r="E23" s="147">
        <v>1.2</v>
      </c>
      <c r="F23" s="150"/>
      <c r="G23" s="39"/>
      <c r="H23" s="144">
        <f t="shared" si="0"/>
        <v>12.2</v>
      </c>
      <c r="I23" s="43">
        <f t="shared" si="1"/>
        <v>1.5637092731829574E-2</v>
      </c>
      <c r="J23" s="43">
        <f t="shared" si="2"/>
        <v>1.3919299999999999</v>
      </c>
      <c r="K23" s="43">
        <f t="shared" si="3"/>
        <v>3.812377415311391E-4</v>
      </c>
      <c r="L23" s="43">
        <f t="shared" ca="1" si="11"/>
        <v>0</v>
      </c>
      <c r="M23" s="43">
        <f t="shared" ca="1" si="4"/>
        <v>97.781126261923788</v>
      </c>
      <c r="N23" s="43">
        <f t="shared" ca="1" si="5"/>
        <v>1.0419298513089797E-3</v>
      </c>
      <c r="O23" s="43">
        <f t="shared" si="6"/>
        <v>97.679298245614021</v>
      </c>
      <c r="P23" s="43">
        <f t="shared" si="7"/>
        <v>1.0424728487886383E-3</v>
      </c>
      <c r="Q23" s="43">
        <f t="shared" si="8"/>
        <v>0.12369246754103497</v>
      </c>
      <c r="R23" s="144" t="e">
        <f t="shared" si="9"/>
        <v>#N/A</v>
      </c>
      <c r="S23" s="147" t="e">
        <f t="shared" si="10"/>
        <v>#N/A</v>
      </c>
    </row>
    <row r="24" spans="1:19">
      <c r="A24" s="144">
        <v>12.2</v>
      </c>
      <c r="B24" s="43">
        <v>8.6599999999999993E-3</v>
      </c>
      <c r="C24" s="43">
        <v>1.3919299999999999</v>
      </c>
      <c r="D24" s="43">
        <v>9.7014800000000001</v>
      </c>
      <c r="E24" s="147">
        <v>1.2</v>
      </c>
      <c r="F24" s="150"/>
      <c r="G24" s="39"/>
      <c r="H24" s="144">
        <f t="shared" si="0"/>
        <v>12.2</v>
      </c>
      <c r="I24" s="43">
        <f t="shared" si="1"/>
        <v>1.5637092731829574E-2</v>
      </c>
      <c r="J24" s="43">
        <f t="shared" si="2"/>
        <v>1.3919299999999999</v>
      </c>
      <c r="K24" s="43">
        <f t="shared" si="3"/>
        <v>3.812377415311391E-4</v>
      </c>
      <c r="L24" s="43">
        <f t="shared" ca="1" si="11"/>
        <v>0</v>
      </c>
      <c r="M24" s="43">
        <f t="shared" ca="1" si="4"/>
        <v>97.781126261923788</v>
      </c>
      <c r="N24" s="43">
        <f t="shared" ca="1" si="5"/>
        <v>1.0419298513089797E-3</v>
      </c>
      <c r="O24" s="43">
        <f t="shared" si="6"/>
        <v>97.679298245614021</v>
      </c>
      <c r="P24" s="43">
        <f t="shared" si="7"/>
        <v>1.0424728487886383E-3</v>
      </c>
      <c r="Q24" s="43">
        <f t="shared" si="8"/>
        <v>0.12369246754103497</v>
      </c>
      <c r="R24" s="144" t="e">
        <f t="shared" si="9"/>
        <v>#N/A</v>
      </c>
      <c r="S24" s="147" t="e">
        <f t="shared" si="10"/>
        <v>#N/A</v>
      </c>
    </row>
    <row r="25" spans="1:19">
      <c r="A25" s="144">
        <v>12.2</v>
      </c>
      <c r="B25" s="43">
        <v>8.6599999999999993E-3</v>
      </c>
      <c r="C25" s="43">
        <v>1.3919299999999999</v>
      </c>
      <c r="D25" s="43">
        <v>9.7014800000000001</v>
      </c>
      <c r="E25" s="147">
        <v>1.2</v>
      </c>
      <c r="F25" s="150"/>
      <c r="G25" s="39"/>
      <c r="H25" s="144">
        <f t="shared" si="0"/>
        <v>12.2</v>
      </c>
      <c r="I25" s="43">
        <f t="shared" si="1"/>
        <v>1.5637092731829574E-2</v>
      </c>
      <c r="J25" s="43">
        <f t="shared" si="2"/>
        <v>1.3919299999999999</v>
      </c>
      <c r="K25" s="43">
        <f t="shared" si="3"/>
        <v>3.812377415311391E-4</v>
      </c>
      <c r="L25" s="43">
        <f t="shared" ca="1" si="11"/>
        <v>0</v>
      </c>
      <c r="M25" s="43">
        <f t="shared" ca="1" si="4"/>
        <v>97.781126261923788</v>
      </c>
      <c r="N25" s="43">
        <f t="shared" ca="1" si="5"/>
        <v>1.0419298513089797E-3</v>
      </c>
      <c r="O25" s="43">
        <f t="shared" si="6"/>
        <v>97.679298245614021</v>
      </c>
      <c r="P25" s="43">
        <f t="shared" si="7"/>
        <v>1.0424728487886383E-3</v>
      </c>
      <c r="Q25" s="43">
        <f t="shared" si="8"/>
        <v>0.12369246754103497</v>
      </c>
      <c r="R25" s="144" t="e">
        <f t="shared" si="9"/>
        <v>#N/A</v>
      </c>
      <c r="S25" s="147" t="e">
        <f t="shared" si="10"/>
        <v>#N/A</v>
      </c>
    </row>
    <row r="26" spans="1:19">
      <c r="A26" s="144">
        <v>12.2</v>
      </c>
      <c r="B26" s="43">
        <v>8.6599999999999993E-3</v>
      </c>
      <c r="C26" s="43">
        <v>1.3919299999999999</v>
      </c>
      <c r="D26" s="43">
        <v>9.7014800000000001</v>
      </c>
      <c r="E26" s="147">
        <v>1.2</v>
      </c>
      <c r="F26" s="150"/>
      <c r="G26" s="39"/>
      <c r="H26" s="144">
        <f t="shared" si="0"/>
        <v>12.2</v>
      </c>
      <c r="I26" s="43">
        <f t="shared" si="1"/>
        <v>1.5637092731829574E-2</v>
      </c>
      <c r="J26" s="43">
        <f t="shared" si="2"/>
        <v>1.3919299999999999</v>
      </c>
      <c r="K26" s="43">
        <f t="shared" si="3"/>
        <v>3.812377415311391E-4</v>
      </c>
      <c r="L26" s="43">
        <f t="shared" ca="1" si="11"/>
        <v>0</v>
      </c>
      <c r="M26" s="43">
        <f t="shared" ca="1" si="4"/>
        <v>97.781126261923788</v>
      </c>
      <c r="N26" s="43">
        <f t="shared" ca="1" si="5"/>
        <v>1.0419298513089797E-3</v>
      </c>
      <c r="O26" s="43">
        <f t="shared" si="6"/>
        <v>97.679298245614021</v>
      </c>
      <c r="P26" s="43">
        <f t="shared" si="7"/>
        <v>1.0424728487886383E-3</v>
      </c>
      <c r="Q26" s="43">
        <f t="shared" si="8"/>
        <v>0.12369246754103497</v>
      </c>
      <c r="R26" s="144" t="e">
        <f t="shared" si="9"/>
        <v>#N/A</v>
      </c>
      <c r="S26" s="147" t="e">
        <f t="shared" si="10"/>
        <v>#N/A</v>
      </c>
    </row>
    <row r="27" spans="1:19">
      <c r="A27" s="144">
        <v>12.2</v>
      </c>
      <c r="B27" s="43">
        <v>8.6599999999999993E-3</v>
      </c>
      <c r="C27" s="43">
        <v>1.3919299999999999</v>
      </c>
      <c r="D27" s="43">
        <v>9.7014800000000001</v>
      </c>
      <c r="E27" s="147">
        <v>1.2</v>
      </c>
      <c r="F27" s="150"/>
      <c r="G27" s="39"/>
      <c r="H27" s="144">
        <f t="shared" si="0"/>
        <v>12.2</v>
      </c>
      <c r="I27" s="43">
        <f t="shared" si="1"/>
        <v>1.5637092731829574E-2</v>
      </c>
      <c r="J27" s="43">
        <f t="shared" si="2"/>
        <v>1.3919299999999999</v>
      </c>
      <c r="K27" s="43">
        <f t="shared" si="3"/>
        <v>3.812377415311391E-4</v>
      </c>
      <c r="L27" s="43">
        <f t="shared" ca="1" si="11"/>
        <v>0</v>
      </c>
      <c r="M27" s="43">
        <f t="shared" ca="1" si="4"/>
        <v>97.781126261923788</v>
      </c>
      <c r="N27" s="43">
        <f t="shared" ca="1" si="5"/>
        <v>1.0419298513089797E-3</v>
      </c>
      <c r="O27" s="43">
        <f t="shared" si="6"/>
        <v>97.679298245614021</v>
      </c>
      <c r="P27" s="43">
        <f t="shared" si="7"/>
        <v>1.0424728487886383E-3</v>
      </c>
      <c r="Q27" s="43">
        <f t="shared" si="8"/>
        <v>0.12369246754103497</v>
      </c>
      <c r="R27" s="144" t="e">
        <f t="shared" si="9"/>
        <v>#N/A</v>
      </c>
      <c r="S27" s="147" t="e">
        <f t="shared" si="10"/>
        <v>#N/A</v>
      </c>
    </row>
    <row r="28" spans="1:19">
      <c r="A28" s="144">
        <v>12.2</v>
      </c>
      <c r="B28" s="43">
        <v>8.6599999999999993E-3</v>
      </c>
      <c r="C28" s="43">
        <v>1.3919299999999999</v>
      </c>
      <c r="D28" s="43">
        <v>9.7014800000000001</v>
      </c>
      <c r="E28" s="147">
        <v>1.2</v>
      </c>
      <c r="F28" s="150"/>
      <c r="G28" s="39"/>
      <c r="H28" s="144">
        <f t="shared" si="0"/>
        <v>12.2</v>
      </c>
      <c r="I28" s="43">
        <f t="shared" si="1"/>
        <v>1.5637092731829574E-2</v>
      </c>
      <c r="J28" s="43">
        <f t="shared" si="2"/>
        <v>1.3919299999999999</v>
      </c>
      <c r="K28" s="43">
        <f t="shared" si="3"/>
        <v>3.812377415311391E-4</v>
      </c>
      <c r="L28" s="43">
        <f t="shared" ca="1" si="11"/>
        <v>0</v>
      </c>
      <c r="M28" s="43">
        <f t="shared" ca="1" si="4"/>
        <v>97.781126261923788</v>
      </c>
      <c r="N28" s="43">
        <f t="shared" ca="1" si="5"/>
        <v>1.0419298513089797E-3</v>
      </c>
      <c r="O28" s="43">
        <f t="shared" si="6"/>
        <v>97.679298245614021</v>
      </c>
      <c r="P28" s="43">
        <f t="shared" si="7"/>
        <v>1.0424728487886383E-3</v>
      </c>
      <c r="Q28" s="43">
        <f t="shared" si="8"/>
        <v>0.12369246754103497</v>
      </c>
      <c r="R28" s="144" t="e">
        <f t="shared" si="9"/>
        <v>#N/A</v>
      </c>
      <c r="S28" s="147" t="e">
        <f t="shared" si="10"/>
        <v>#N/A</v>
      </c>
    </row>
    <row r="29" spans="1:19">
      <c r="A29" s="144">
        <v>12.2</v>
      </c>
      <c r="B29" s="43">
        <v>8.6599999999999993E-3</v>
      </c>
      <c r="C29" s="43">
        <v>1.3919299999999999</v>
      </c>
      <c r="D29" s="43">
        <v>9.7014800000000001</v>
      </c>
      <c r="E29" s="147">
        <v>1.2</v>
      </c>
      <c r="F29" s="150"/>
      <c r="G29" s="39"/>
      <c r="H29" s="144">
        <f t="shared" si="0"/>
        <v>12.2</v>
      </c>
      <c r="I29" s="43">
        <f t="shared" si="1"/>
        <v>1.5637092731829574E-2</v>
      </c>
      <c r="J29" s="43">
        <f t="shared" si="2"/>
        <v>1.3919299999999999</v>
      </c>
      <c r="K29" s="43">
        <f t="shared" si="3"/>
        <v>3.812377415311391E-4</v>
      </c>
      <c r="L29" s="43">
        <f t="shared" ca="1" si="11"/>
        <v>0</v>
      </c>
      <c r="M29" s="43">
        <f t="shared" ca="1" si="4"/>
        <v>97.781126261923788</v>
      </c>
      <c r="N29" s="43">
        <f t="shared" ca="1" si="5"/>
        <v>1.0419298513089797E-3</v>
      </c>
      <c r="O29" s="43">
        <f t="shared" si="6"/>
        <v>97.679298245614021</v>
      </c>
      <c r="P29" s="43">
        <f t="shared" si="7"/>
        <v>1.0424728487886383E-3</v>
      </c>
      <c r="Q29" s="43">
        <f t="shared" si="8"/>
        <v>0.12369246754103497</v>
      </c>
      <c r="R29" s="144" t="e">
        <f t="shared" si="9"/>
        <v>#N/A</v>
      </c>
      <c r="S29" s="147" t="e">
        <f t="shared" si="10"/>
        <v>#N/A</v>
      </c>
    </row>
    <row r="30" spans="1:19">
      <c r="A30" s="144">
        <v>12.2</v>
      </c>
      <c r="B30" s="43">
        <v>8.6599999999999993E-3</v>
      </c>
      <c r="C30" s="43">
        <v>1.3919299999999999</v>
      </c>
      <c r="D30" s="43">
        <v>9.7014800000000001</v>
      </c>
      <c r="E30" s="147">
        <v>1.2</v>
      </c>
      <c r="F30" s="150"/>
      <c r="G30" s="39"/>
      <c r="H30" s="144">
        <f t="shared" si="0"/>
        <v>12.2</v>
      </c>
      <c r="I30" s="43">
        <f t="shared" si="1"/>
        <v>1.5637092731829574E-2</v>
      </c>
      <c r="J30" s="43">
        <f t="shared" si="2"/>
        <v>1.3919299999999999</v>
      </c>
      <c r="K30" s="43">
        <f t="shared" si="3"/>
        <v>3.812377415311391E-4</v>
      </c>
      <c r="L30" s="43">
        <f t="shared" ca="1" si="11"/>
        <v>0</v>
      </c>
      <c r="M30" s="43">
        <f t="shared" ca="1" si="4"/>
        <v>97.781126261923788</v>
      </c>
      <c r="N30" s="43">
        <f t="shared" ca="1" si="5"/>
        <v>1.0419298513089797E-3</v>
      </c>
      <c r="O30" s="43">
        <f t="shared" si="6"/>
        <v>97.679298245614021</v>
      </c>
      <c r="P30" s="43">
        <f t="shared" si="7"/>
        <v>1.0424728487886383E-3</v>
      </c>
      <c r="Q30" s="43">
        <f t="shared" si="8"/>
        <v>0.12369246754103497</v>
      </c>
      <c r="R30" s="144" t="e">
        <f t="shared" si="9"/>
        <v>#N/A</v>
      </c>
      <c r="S30" s="147" t="e">
        <f t="shared" si="10"/>
        <v>#N/A</v>
      </c>
    </row>
    <row r="31" spans="1:19">
      <c r="A31" s="144">
        <v>12.2</v>
      </c>
      <c r="B31" s="43">
        <v>8.6599999999999993E-3</v>
      </c>
      <c r="C31" s="43">
        <v>1.3919299999999999</v>
      </c>
      <c r="D31" s="43">
        <v>9.7014800000000001</v>
      </c>
      <c r="E31" s="147">
        <v>1.2</v>
      </c>
      <c r="F31" s="150"/>
      <c r="G31" s="39"/>
      <c r="H31" s="144">
        <f t="shared" si="0"/>
        <v>12.2</v>
      </c>
      <c r="I31" s="43">
        <f t="shared" si="1"/>
        <v>1.5637092731829574E-2</v>
      </c>
      <c r="J31" s="43">
        <f t="shared" si="2"/>
        <v>1.3919299999999999</v>
      </c>
      <c r="K31" s="43">
        <f t="shared" si="3"/>
        <v>3.812377415311391E-4</v>
      </c>
      <c r="L31" s="43">
        <f t="shared" ca="1" si="11"/>
        <v>0</v>
      </c>
      <c r="M31" s="43">
        <f t="shared" ca="1" si="4"/>
        <v>97.781126261923788</v>
      </c>
      <c r="N31" s="43">
        <f t="shared" ca="1" si="5"/>
        <v>1.0419298513089797E-3</v>
      </c>
      <c r="O31" s="43">
        <f t="shared" si="6"/>
        <v>97.679298245614021</v>
      </c>
      <c r="P31" s="43">
        <f t="shared" si="7"/>
        <v>1.0424728487886383E-3</v>
      </c>
      <c r="Q31" s="43">
        <f t="shared" si="8"/>
        <v>0.12369246754103497</v>
      </c>
      <c r="R31" s="144" t="e">
        <f t="shared" si="9"/>
        <v>#N/A</v>
      </c>
      <c r="S31" s="147" t="e">
        <f t="shared" si="10"/>
        <v>#N/A</v>
      </c>
    </row>
    <row r="32" spans="1:19">
      <c r="A32" s="144">
        <v>12.2</v>
      </c>
      <c r="B32" s="43">
        <v>8.6599999999999993E-3</v>
      </c>
      <c r="C32" s="43">
        <v>1.3919299999999999</v>
      </c>
      <c r="D32" s="43">
        <v>9.7014800000000001</v>
      </c>
      <c r="E32" s="147">
        <v>1.2</v>
      </c>
      <c r="F32" s="150"/>
      <c r="G32" s="39"/>
      <c r="H32" s="144">
        <f t="shared" si="0"/>
        <v>12.2</v>
      </c>
      <c r="I32" s="43">
        <f t="shared" si="1"/>
        <v>1.5637092731829574E-2</v>
      </c>
      <c r="J32" s="43">
        <f t="shared" si="2"/>
        <v>1.3919299999999999</v>
      </c>
      <c r="K32" s="43">
        <f t="shared" si="3"/>
        <v>3.812377415311391E-4</v>
      </c>
      <c r="L32" s="43">
        <f t="shared" ca="1" si="11"/>
        <v>0</v>
      </c>
      <c r="M32" s="43">
        <f t="shared" ca="1" si="4"/>
        <v>97.781126261923788</v>
      </c>
      <c r="N32" s="43">
        <f t="shared" ca="1" si="5"/>
        <v>1.0419298513089797E-3</v>
      </c>
      <c r="O32" s="43">
        <f t="shared" si="6"/>
        <v>97.679298245614021</v>
      </c>
      <c r="P32" s="43">
        <f t="shared" si="7"/>
        <v>1.0424728487886383E-3</v>
      </c>
      <c r="Q32" s="43">
        <f t="shared" si="8"/>
        <v>0.12369246754103497</v>
      </c>
      <c r="R32" s="144" t="e">
        <f t="shared" si="9"/>
        <v>#N/A</v>
      </c>
      <c r="S32" s="147" t="e">
        <f t="shared" si="10"/>
        <v>#N/A</v>
      </c>
    </row>
    <row r="33" spans="1:19">
      <c r="A33" s="144">
        <v>12.2</v>
      </c>
      <c r="B33" s="43">
        <v>8.6599999999999993E-3</v>
      </c>
      <c r="C33" s="43">
        <v>1.3919299999999999</v>
      </c>
      <c r="D33" s="43">
        <v>9.7014800000000001</v>
      </c>
      <c r="E33" s="147">
        <v>1.2</v>
      </c>
      <c r="F33" s="150"/>
      <c r="G33" s="39"/>
      <c r="H33" s="144">
        <f t="shared" si="0"/>
        <v>12.2</v>
      </c>
      <c r="I33" s="43">
        <f t="shared" si="1"/>
        <v>1.5637092731829574E-2</v>
      </c>
      <c r="J33" s="43">
        <f t="shared" si="2"/>
        <v>1.3919299999999999</v>
      </c>
      <c r="K33" s="43">
        <f t="shared" si="3"/>
        <v>3.812377415311391E-4</v>
      </c>
      <c r="L33" s="43">
        <f t="shared" ca="1" si="11"/>
        <v>0</v>
      </c>
      <c r="M33" s="43">
        <f t="shared" ca="1" si="4"/>
        <v>97.781126261923788</v>
      </c>
      <c r="N33" s="43">
        <f t="shared" ca="1" si="5"/>
        <v>1.0419298513089797E-3</v>
      </c>
      <c r="O33" s="43">
        <f t="shared" si="6"/>
        <v>97.679298245614021</v>
      </c>
      <c r="P33" s="43">
        <f t="shared" si="7"/>
        <v>1.0424728487886383E-3</v>
      </c>
      <c r="Q33" s="43">
        <f t="shared" si="8"/>
        <v>0.12369246754103497</v>
      </c>
      <c r="R33" s="144" t="e">
        <f t="shared" si="9"/>
        <v>#N/A</v>
      </c>
      <c r="S33" s="147" t="e">
        <f t="shared" si="10"/>
        <v>#N/A</v>
      </c>
    </row>
    <row r="34" spans="1:19">
      <c r="A34" s="144">
        <v>12.2</v>
      </c>
      <c r="B34" s="43">
        <v>8.6599999999999993E-3</v>
      </c>
      <c r="C34" s="43">
        <v>1.3919299999999999</v>
      </c>
      <c r="D34" s="43">
        <v>9.7014800000000001</v>
      </c>
      <c r="E34" s="147">
        <v>1.2</v>
      </c>
      <c r="F34" s="150"/>
      <c r="G34" s="39"/>
      <c r="H34" s="144">
        <f t="shared" si="0"/>
        <v>12.2</v>
      </c>
      <c r="I34" s="43">
        <f t="shared" si="1"/>
        <v>1.5637092731829574E-2</v>
      </c>
      <c r="J34" s="43">
        <f t="shared" si="2"/>
        <v>1.3919299999999999</v>
      </c>
      <c r="K34" s="43">
        <f t="shared" si="3"/>
        <v>3.812377415311391E-4</v>
      </c>
      <c r="L34" s="43">
        <f t="shared" ca="1" si="11"/>
        <v>0</v>
      </c>
      <c r="M34" s="43">
        <f t="shared" ca="1" si="4"/>
        <v>97.781126261923788</v>
      </c>
      <c r="N34" s="43">
        <f t="shared" ca="1" si="5"/>
        <v>1.0419298513089797E-3</v>
      </c>
      <c r="O34" s="43">
        <f t="shared" si="6"/>
        <v>97.679298245614021</v>
      </c>
      <c r="P34" s="43">
        <f t="shared" si="7"/>
        <v>1.0424728487886383E-3</v>
      </c>
      <c r="Q34" s="43">
        <f t="shared" si="8"/>
        <v>0.12369246754103497</v>
      </c>
      <c r="R34" s="144" t="e">
        <f t="shared" si="9"/>
        <v>#N/A</v>
      </c>
      <c r="S34" s="147" t="e">
        <f t="shared" si="10"/>
        <v>#N/A</v>
      </c>
    </row>
    <row r="35" spans="1:19">
      <c r="A35" s="144">
        <v>12.2</v>
      </c>
      <c r="B35" s="43">
        <v>8.6599999999999993E-3</v>
      </c>
      <c r="C35" s="43">
        <v>1.3919299999999999</v>
      </c>
      <c r="D35" s="43">
        <v>9.7014800000000001</v>
      </c>
      <c r="E35" s="147">
        <v>1.2</v>
      </c>
      <c r="F35" s="150"/>
      <c r="G35" s="39"/>
      <c r="H35" s="144">
        <f t="shared" si="0"/>
        <v>12.2</v>
      </c>
      <c r="I35" s="43">
        <f t="shared" si="1"/>
        <v>1.5637092731829574E-2</v>
      </c>
      <c r="J35" s="43">
        <f t="shared" si="2"/>
        <v>1.3919299999999999</v>
      </c>
      <c r="K35" s="43">
        <f t="shared" si="3"/>
        <v>3.812377415311391E-4</v>
      </c>
      <c r="L35" s="43">
        <f t="shared" ca="1" si="11"/>
        <v>0</v>
      </c>
      <c r="M35" s="43">
        <f t="shared" ca="1" si="4"/>
        <v>97.781126261923788</v>
      </c>
      <c r="N35" s="43">
        <f t="shared" ca="1" si="5"/>
        <v>1.0419298513089797E-3</v>
      </c>
      <c r="O35" s="43">
        <f t="shared" si="6"/>
        <v>97.679298245614021</v>
      </c>
      <c r="P35" s="43">
        <f t="shared" si="7"/>
        <v>1.0424728487886383E-3</v>
      </c>
      <c r="Q35" s="43">
        <f t="shared" si="8"/>
        <v>0.12369246754103497</v>
      </c>
      <c r="R35" s="144" t="e">
        <f t="shared" si="9"/>
        <v>#N/A</v>
      </c>
      <c r="S35" s="147" t="e">
        <f t="shared" si="10"/>
        <v>#N/A</v>
      </c>
    </row>
    <row r="36" spans="1:19">
      <c r="A36" s="144">
        <v>12.2</v>
      </c>
      <c r="B36" s="43">
        <v>8.6599999999999993E-3</v>
      </c>
      <c r="C36" s="43">
        <v>1.3919299999999999</v>
      </c>
      <c r="D36" s="43">
        <v>9.7014800000000001</v>
      </c>
      <c r="E36" s="147">
        <v>1.2</v>
      </c>
      <c r="F36" s="150"/>
      <c r="G36" s="39"/>
      <c r="H36" s="144">
        <f t="shared" si="0"/>
        <v>12.2</v>
      </c>
      <c r="I36" s="43">
        <f t="shared" si="1"/>
        <v>1.5637092731829574E-2</v>
      </c>
      <c r="J36" s="43">
        <f t="shared" si="2"/>
        <v>1.3919299999999999</v>
      </c>
      <c r="K36" s="43">
        <f t="shared" si="3"/>
        <v>3.812377415311391E-4</v>
      </c>
      <c r="L36" s="43">
        <f t="shared" ca="1" si="11"/>
        <v>0</v>
      </c>
      <c r="M36" s="43">
        <f t="shared" ca="1" si="4"/>
        <v>97.781126261923788</v>
      </c>
      <c r="N36" s="43">
        <f t="shared" ca="1" si="5"/>
        <v>1.0419298513089797E-3</v>
      </c>
      <c r="O36" s="43">
        <f t="shared" si="6"/>
        <v>97.679298245614021</v>
      </c>
      <c r="P36" s="43">
        <f t="shared" si="7"/>
        <v>1.0424728487886383E-3</v>
      </c>
      <c r="Q36" s="43">
        <f t="shared" si="8"/>
        <v>0.12369246754103497</v>
      </c>
      <c r="R36" s="144" t="e">
        <f t="shared" si="9"/>
        <v>#N/A</v>
      </c>
      <c r="S36" s="147" t="e">
        <f t="shared" si="10"/>
        <v>#N/A</v>
      </c>
    </row>
    <row r="37" spans="1:19">
      <c r="A37" s="144">
        <v>12.2</v>
      </c>
      <c r="B37" s="43">
        <v>8.6599999999999993E-3</v>
      </c>
      <c r="C37" s="43">
        <v>1.3919299999999999</v>
      </c>
      <c r="D37" s="43">
        <v>9.7014800000000001</v>
      </c>
      <c r="E37" s="147">
        <v>1.2</v>
      </c>
      <c r="F37" s="150"/>
      <c r="G37" s="39"/>
      <c r="H37" s="144">
        <f t="shared" si="0"/>
        <v>12.2</v>
      </c>
      <c r="I37" s="43">
        <f t="shared" si="1"/>
        <v>1.5637092731829574E-2</v>
      </c>
      <c r="J37" s="43">
        <f t="shared" si="2"/>
        <v>1.3919299999999999</v>
      </c>
      <c r="K37" s="43">
        <f t="shared" si="3"/>
        <v>3.812377415311391E-4</v>
      </c>
      <c r="L37" s="43">
        <f t="shared" ca="1" si="11"/>
        <v>0</v>
      </c>
      <c r="M37" s="43">
        <f t="shared" ca="1" si="4"/>
        <v>97.781126261923788</v>
      </c>
      <c r="N37" s="43">
        <f t="shared" ca="1" si="5"/>
        <v>1.0419298513089797E-3</v>
      </c>
      <c r="O37" s="43">
        <f t="shared" si="6"/>
        <v>97.679298245614021</v>
      </c>
      <c r="P37" s="43">
        <f t="shared" si="7"/>
        <v>1.0424728487886383E-3</v>
      </c>
      <c r="Q37" s="43">
        <f t="shared" si="8"/>
        <v>0.12369246754103497</v>
      </c>
      <c r="R37" s="144" t="e">
        <f t="shared" si="9"/>
        <v>#N/A</v>
      </c>
      <c r="S37" s="147" t="e">
        <f t="shared" si="10"/>
        <v>#N/A</v>
      </c>
    </row>
    <row r="38" spans="1:19">
      <c r="A38" s="144">
        <v>12.2</v>
      </c>
      <c r="B38" s="43">
        <v>8.6599999999999993E-3</v>
      </c>
      <c r="C38" s="43">
        <v>1.3919299999999999</v>
      </c>
      <c r="D38" s="43">
        <v>9.7014800000000001</v>
      </c>
      <c r="E38" s="147">
        <v>1.2</v>
      </c>
      <c r="F38" s="150"/>
      <c r="G38" s="39"/>
      <c r="H38" s="144">
        <f t="shared" si="0"/>
        <v>12.2</v>
      </c>
      <c r="I38" s="43">
        <f t="shared" si="1"/>
        <v>1.5637092731829574E-2</v>
      </c>
      <c r="J38" s="43">
        <f t="shared" si="2"/>
        <v>1.3919299999999999</v>
      </c>
      <c r="K38" s="43">
        <f t="shared" si="3"/>
        <v>3.812377415311391E-4</v>
      </c>
      <c r="L38" s="43">
        <f t="shared" ca="1" si="11"/>
        <v>0</v>
      </c>
      <c r="M38" s="43">
        <f t="shared" ca="1" si="4"/>
        <v>97.781126261923788</v>
      </c>
      <c r="N38" s="43">
        <f t="shared" ca="1" si="5"/>
        <v>1.0419298513089797E-3</v>
      </c>
      <c r="O38" s="43">
        <f t="shared" si="6"/>
        <v>97.679298245614021</v>
      </c>
      <c r="P38" s="43">
        <f t="shared" si="7"/>
        <v>1.0424728487886383E-3</v>
      </c>
      <c r="Q38" s="43">
        <f t="shared" si="8"/>
        <v>0.12369246754103497</v>
      </c>
      <c r="R38" s="144" t="e">
        <f t="shared" si="9"/>
        <v>#N/A</v>
      </c>
      <c r="S38" s="147" t="e">
        <f t="shared" si="10"/>
        <v>#N/A</v>
      </c>
    </row>
    <row r="39" spans="1:19">
      <c r="A39" s="144">
        <v>12.2</v>
      </c>
      <c r="B39" s="43">
        <v>8.6599999999999993E-3</v>
      </c>
      <c r="C39" s="43">
        <v>1.3919299999999999</v>
      </c>
      <c r="D39" s="43">
        <v>9.7014800000000001</v>
      </c>
      <c r="E39" s="147">
        <v>1.2</v>
      </c>
      <c r="F39" s="150"/>
      <c r="G39" s="39"/>
      <c r="H39" s="144">
        <f t="shared" si="0"/>
        <v>12.2</v>
      </c>
      <c r="I39" s="43">
        <f t="shared" si="1"/>
        <v>1.5637092731829574E-2</v>
      </c>
      <c r="J39" s="43">
        <f t="shared" si="2"/>
        <v>1.3919299999999999</v>
      </c>
      <c r="K39" s="43">
        <f t="shared" si="3"/>
        <v>3.812377415311391E-4</v>
      </c>
      <c r="L39" s="43">
        <f t="shared" ca="1" si="11"/>
        <v>0</v>
      </c>
      <c r="M39" s="43">
        <f t="shared" ca="1" si="4"/>
        <v>97.781126261923788</v>
      </c>
      <c r="N39" s="43">
        <f t="shared" ca="1" si="5"/>
        <v>1.0419298513089797E-3</v>
      </c>
      <c r="O39" s="43">
        <f t="shared" si="6"/>
        <v>97.679298245614021</v>
      </c>
      <c r="P39" s="43">
        <f t="shared" si="7"/>
        <v>1.0424728487886383E-3</v>
      </c>
      <c r="Q39" s="43">
        <f t="shared" si="8"/>
        <v>0.12369246754103497</v>
      </c>
      <c r="R39" s="144" t="e">
        <f t="shared" si="9"/>
        <v>#N/A</v>
      </c>
      <c r="S39" s="147" t="e">
        <f t="shared" si="10"/>
        <v>#N/A</v>
      </c>
    </row>
    <row r="40" spans="1:19">
      <c r="A40" s="144">
        <v>12.2</v>
      </c>
      <c r="B40" s="43">
        <v>8.6599999999999993E-3</v>
      </c>
      <c r="C40" s="43">
        <v>1.3919299999999999</v>
      </c>
      <c r="D40" s="43">
        <v>9.7014800000000001</v>
      </c>
      <c r="E40" s="147">
        <v>1.2</v>
      </c>
      <c r="F40" s="150"/>
      <c r="G40" s="39"/>
      <c r="H40" s="144">
        <f t="shared" si="0"/>
        <v>12.2</v>
      </c>
      <c r="I40" s="43">
        <f t="shared" si="1"/>
        <v>1.5637092731829574E-2</v>
      </c>
      <c r="J40" s="43">
        <f t="shared" si="2"/>
        <v>1.3919299999999999</v>
      </c>
      <c r="K40" s="43">
        <f t="shared" si="3"/>
        <v>3.812377415311391E-4</v>
      </c>
      <c r="L40" s="43">
        <f t="shared" ca="1" si="11"/>
        <v>0</v>
      </c>
      <c r="M40" s="43">
        <f t="shared" ca="1" si="4"/>
        <v>97.781126261923788</v>
      </c>
      <c r="N40" s="43">
        <f t="shared" ca="1" si="5"/>
        <v>1.0419298513089797E-3</v>
      </c>
      <c r="O40" s="43">
        <f t="shared" si="6"/>
        <v>97.679298245614021</v>
      </c>
      <c r="P40" s="43">
        <f t="shared" si="7"/>
        <v>1.0424728487886383E-3</v>
      </c>
      <c r="Q40" s="43">
        <f t="shared" si="8"/>
        <v>0.12369246754103497</v>
      </c>
      <c r="R40" s="144" t="e">
        <f t="shared" si="9"/>
        <v>#N/A</v>
      </c>
      <c r="S40" s="147" t="e">
        <f t="shared" si="10"/>
        <v>#N/A</v>
      </c>
    </row>
    <row r="41" spans="1:19">
      <c r="A41" s="144">
        <v>12.2</v>
      </c>
      <c r="B41" s="43">
        <v>8.6599999999999993E-3</v>
      </c>
      <c r="C41" s="43">
        <v>1.3919299999999999</v>
      </c>
      <c r="D41" s="43">
        <v>9.7014800000000001</v>
      </c>
      <c r="E41" s="147">
        <v>1.2</v>
      </c>
      <c r="F41" s="150"/>
      <c r="G41" s="39"/>
      <c r="H41" s="144">
        <f t="shared" si="0"/>
        <v>12.2</v>
      </c>
      <c r="I41" s="43">
        <f t="shared" si="1"/>
        <v>1.5637092731829574E-2</v>
      </c>
      <c r="J41" s="43">
        <f t="shared" si="2"/>
        <v>1.3919299999999999</v>
      </c>
      <c r="K41" s="43">
        <f t="shared" si="3"/>
        <v>3.812377415311391E-4</v>
      </c>
      <c r="L41" s="43">
        <f t="shared" ca="1" si="11"/>
        <v>0</v>
      </c>
      <c r="M41" s="43">
        <f t="shared" ca="1" si="4"/>
        <v>97.781126261923788</v>
      </c>
      <c r="N41" s="43">
        <f t="shared" ca="1" si="5"/>
        <v>1.0419298513089797E-3</v>
      </c>
      <c r="O41" s="43">
        <f t="shared" si="6"/>
        <v>97.679298245614021</v>
      </c>
      <c r="P41" s="43">
        <f t="shared" si="7"/>
        <v>1.0424728487886383E-3</v>
      </c>
      <c r="Q41" s="43">
        <f t="shared" si="8"/>
        <v>0.12369246754103497</v>
      </c>
      <c r="R41" s="144" t="e">
        <f t="shared" si="9"/>
        <v>#N/A</v>
      </c>
      <c r="S41" s="147" t="e">
        <f t="shared" si="10"/>
        <v>#N/A</v>
      </c>
    </row>
    <row r="42" spans="1:19">
      <c r="A42" s="144">
        <v>12.2</v>
      </c>
      <c r="B42" s="43">
        <v>8.6599999999999993E-3</v>
      </c>
      <c r="C42" s="43">
        <v>1.3919299999999999</v>
      </c>
      <c r="D42" s="43">
        <v>9.7014800000000001</v>
      </c>
      <c r="E42" s="147">
        <v>1.2</v>
      </c>
      <c r="F42" s="150"/>
      <c r="G42" s="39"/>
      <c r="H42" s="144">
        <f t="shared" si="0"/>
        <v>12.2</v>
      </c>
      <c r="I42" s="43">
        <f t="shared" si="1"/>
        <v>1.5637092731829574E-2</v>
      </c>
      <c r="J42" s="43">
        <f t="shared" si="2"/>
        <v>1.3919299999999999</v>
      </c>
      <c r="K42" s="43">
        <f t="shared" si="3"/>
        <v>3.812377415311391E-4</v>
      </c>
      <c r="L42" s="43">
        <f t="shared" ca="1" si="11"/>
        <v>0</v>
      </c>
      <c r="M42" s="43">
        <f t="shared" ca="1" si="4"/>
        <v>97.781126261923788</v>
      </c>
      <c r="N42" s="43">
        <f t="shared" ca="1" si="5"/>
        <v>1.0419298513089797E-3</v>
      </c>
      <c r="O42" s="43">
        <f t="shared" si="6"/>
        <v>97.679298245614021</v>
      </c>
      <c r="P42" s="43">
        <f t="shared" si="7"/>
        <v>1.0424728487886383E-3</v>
      </c>
      <c r="Q42" s="43">
        <f t="shared" si="8"/>
        <v>0.12369246754103497</v>
      </c>
      <c r="R42" s="144" t="e">
        <f t="shared" si="9"/>
        <v>#N/A</v>
      </c>
      <c r="S42" s="147" t="e">
        <f t="shared" si="10"/>
        <v>#N/A</v>
      </c>
    </row>
    <row r="43" spans="1:19">
      <c r="A43" s="144">
        <v>12.2</v>
      </c>
      <c r="B43" s="43">
        <v>8.6599999999999993E-3</v>
      </c>
      <c r="C43" s="43">
        <v>1.3919299999999999</v>
      </c>
      <c r="D43" s="43">
        <v>9.7014800000000001</v>
      </c>
      <c r="E43" s="147">
        <v>1.2</v>
      </c>
      <c r="F43" s="150"/>
      <c r="G43" s="39"/>
      <c r="H43" s="144">
        <f t="shared" si="0"/>
        <v>12.2</v>
      </c>
      <c r="I43" s="43">
        <f t="shared" si="1"/>
        <v>1.5637092731829574E-2</v>
      </c>
      <c r="J43" s="43">
        <f t="shared" si="2"/>
        <v>1.3919299999999999</v>
      </c>
      <c r="K43" s="43">
        <f t="shared" si="3"/>
        <v>3.812377415311391E-4</v>
      </c>
      <c r="L43" s="43">
        <f t="shared" ca="1" si="11"/>
        <v>0</v>
      </c>
      <c r="M43" s="43">
        <f t="shared" ca="1" si="4"/>
        <v>97.781126261923788</v>
      </c>
      <c r="N43" s="43">
        <f t="shared" ca="1" si="5"/>
        <v>1.0419298513089797E-3</v>
      </c>
      <c r="O43" s="43">
        <f t="shared" si="6"/>
        <v>97.679298245614021</v>
      </c>
      <c r="P43" s="43">
        <f t="shared" si="7"/>
        <v>1.0424728487886383E-3</v>
      </c>
      <c r="Q43" s="43">
        <f t="shared" si="8"/>
        <v>0.12369246754103497</v>
      </c>
      <c r="R43" s="144" t="e">
        <f t="shared" si="9"/>
        <v>#N/A</v>
      </c>
      <c r="S43" s="147" t="e">
        <f t="shared" si="10"/>
        <v>#N/A</v>
      </c>
    </row>
    <row r="44" spans="1:19">
      <c r="A44" s="144">
        <v>12.2</v>
      </c>
      <c r="B44" s="43">
        <v>8.6599999999999993E-3</v>
      </c>
      <c r="C44" s="43">
        <v>1.3919299999999999</v>
      </c>
      <c r="D44" s="43">
        <v>9.7014800000000001</v>
      </c>
      <c r="E44" s="147">
        <v>1.2</v>
      </c>
      <c r="F44" s="150"/>
      <c r="G44" s="39"/>
      <c r="H44" s="144">
        <f t="shared" si="0"/>
        <v>12.2</v>
      </c>
      <c r="I44" s="43">
        <f t="shared" si="1"/>
        <v>1.5637092731829574E-2</v>
      </c>
      <c r="J44" s="43">
        <f t="shared" si="2"/>
        <v>1.3919299999999999</v>
      </c>
      <c r="K44" s="43">
        <f t="shared" si="3"/>
        <v>3.812377415311391E-4</v>
      </c>
      <c r="L44" s="43">
        <f t="shared" ca="1" si="11"/>
        <v>0</v>
      </c>
      <c r="M44" s="43">
        <f t="shared" ca="1" si="4"/>
        <v>97.781126261923788</v>
      </c>
      <c r="N44" s="43">
        <f t="shared" ca="1" si="5"/>
        <v>1.0419298513089797E-3</v>
      </c>
      <c r="O44" s="43">
        <f t="shared" si="6"/>
        <v>97.679298245614021</v>
      </c>
      <c r="P44" s="43">
        <f t="shared" si="7"/>
        <v>1.0424728487886383E-3</v>
      </c>
      <c r="Q44" s="43">
        <f t="shared" si="8"/>
        <v>0.12369246754103497</v>
      </c>
      <c r="R44" s="144" t="e">
        <f t="shared" si="9"/>
        <v>#N/A</v>
      </c>
      <c r="S44" s="147" t="e">
        <f t="shared" si="10"/>
        <v>#N/A</v>
      </c>
    </row>
    <row r="45" spans="1:19">
      <c r="A45" s="144">
        <v>12.2</v>
      </c>
      <c r="B45" s="43">
        <v>8.6599999999999993E-3</v>
      </c>
      <c r="C45" s="43">
        <v>1.3919299999999999</v>
      </c>
      <c r="D45" s="43">
        <v>9.7014800000000001</v>
      </c>
      <c r="E45" s="147">
        <v>1.2</v>
      </c>
      <c r="F45" s="150"/>
      <c r="G45" s="39"/>
      <c r="H45" s="144">
        <f t="shared" si="0"/>
        <v>12.2</v>
      </c>
      <c r="I45" s="43">
        <f t="shared" si="1"/>
        <v>1.5637092731829574E-2</v>
      </c>
      <c r="J45" s="43">
        <f t="shared" si="2"/>
        <v>1.3919299999999999</v>
      </c>
      <c r="K45" s="43">
        <f t="shared" si="3"/>
        <v>3.812377415311391E-4</v>
      </c>
      <c r="L45" s="43">
        <f t="shared" ca="1" si="11"/>
        <v>0</v>
      </c>
      <c r="M45" s="43">
        <f t="shared" ca="1" si="4"/>
        <v>97.781126261923788</v>
      </c>
      <c r="N45" s="43">
        <f t="shared" ca="1" si="5"/>
        <v>1.0419298513089797E-3</v>
      </c>
      <c r="O45" s="43">
        <f t="shared" si="6"/>
        <v>97.679298245614021</v>
      </c>
      <c r="P45" s="43">
        <f t="shared" si="7"/>
        <v>1.0424728487886383E-3</v>
      </c>
      <c r="Q45" s="43">
        <f t="shared" si="8"/>
        <v>0.12369246754103497</v>
      </c>
      <c r="R45" s="144" t="e">
        <f t="shared" si="9"/>
        <v>#N/A</v>
      </c>
      <c r="S45" s="147" t="e">
        <f t="shared" si="10"/>
        <v>#N/A</v>
      </c>
    </row>
    <row r="46" spans="1:19">
      <c r="A46" s="144">
        <v>12.2</v>
      </c>
      <c r="B46" s="43">
        <v>8.6599999999999993E-3</v>
      </c>
      <c r="C46" s="43">
        <v>1.3919299999999999</v>
      </c>
      <c r="D46" s="43">
        <v>9.7014800000000001</v>
      </c>
      <c r="E46" s="147">
        <v>1.2</v>
      </c>
      <c r="F46" s="150"/>
      <c r="G46" s="39"/>
      <c r="H46" s="144">
        <f t="shared" si="0"/>
        <v>12.2</v>
      </c>
      <c r="I46" s="43">
        <f t="shared" si="1"/>
        <v>1.5637092731829574E-2</v>
      </c>
      <c r="J46" s="43">
        <f t="shared" si="2"/>
        <v>1.3919299999999999</v>
      </c>
      <c r="K46" s="43">
        <f t="shared" si="3"/>
        <v>3.812377415311391E-4</v>
      </c>
      <c r="L46" s="43">
        <f t="shared" ca="1" si="11"/>
        <v>0</v>
      </c>
      <c r="M46" s="43">
        <f t="shared" ca="1" si="4"/>
        <v>97.781126261923788</v>
      </c>
      <c r="N46" s="43">
        <f t="shared" ca="1" si="5"/>
        <v>1.0419298513089797E-3</v>
      </c>
      <c r="O46" s="43">
        <f t="shared" si="6"/>
        <v>97.679298245614021</v>
      </c>
      <c r="P46" s="43">
        <f t="shared" si="7"/>
        <v>1.0424728487886383E-3</v>
      </c>
      <c r="Q46" s="43">
        <f t="shared" si="8"/>
        <v>0.12369246754103497</v>
      </c>
      <c r="R46" s="144" t="e">
        <f t="shared" si="9"/>
        <v>#N/A</v>
      </c>
      <c r="S46" s="147" t="e">
        <f t="shared" si="10"/>
        <v>#N/A</v>
      </c>
    </row>
    <row r="47" spans="1:19">
      <c r="A47" s="144">
        <v>12.2</v>
      </c>
      <c r="B47" s="43">
        <v>8.6599999999999993E-3</v>
      </c>
      <c r="C47" s="43">
        <v>1.3919299999999999</v>
      </c>
      <c r="D47" s="43">
        <v>9.7014800000000001</v>
      </c>
      <c r="E47" s="147">
        <v>1.2</v>
      </c>
      <c r="F47" s="150"/>
      <c r="G47" s="39"/>
      <c r="H47" s="144">
        <f t="shared" si="0"/>
        <v>12.2</v>
      </c>
      <c r="I47" s="43">
        <f t="shared" si="1"/>
        <v>1.5637092731829574E-2</v>
      </c>
      <c r="J47" s="43">
        <f t="shared" si="2"/>
        <v>1.3919299999999999</v>
      </c>
      <c r="K47" s="43">
        <f t="shared" si="3"/>
        <v>3.812377415311391E-4</v>
      </c>
      <c r="L47" s="43">
        <f t="shared" ca="1" si="11"/>
        <v>0</v>
      </c>
      <c r="M47" s="43">
        <f t="shared" ca="1" si="4"/>
        <v>97.781126261923788</v>
      </c>
      <c r="N47" s="43">
        <f t="shared" ca="1" si="5"/>
        <v>1.0419298513089797E-3</v>
      </c>
      <c r="O47" s="43">
        <f t="shared" si="6"/>
        <v>97.679298245614021</v>
      </c>
      <c r="P47" s="43">
        <f t="shared" si="7"/>
        <v>1.0424728487886383E-3</v>
      </c>
      <c r="Q47" s="43">
        <f t="shared" si="8"/>
        <v>0.12369246754103497</v>
      </c>
      <c r="R47" s="144" t="e">
        <f t="shared" si="9"/>
        <v>#N/A</v>
      </c>
      <c r="S47" s="147" t="e">
        <f t="shared" si="10"/>
        <v>#N/A</v>
      </c>
    </row>
    <row r="48" spans="1:19">
      <c r="A48" s="144">
        <v>12.2</v>
      </c>
      <c r="B48" s="43">
        <v>8.6599999999999993E-3</v>
      </c>
      <c r="C48" s="43">
        <v>1.3919299999999999</v>
      </c>
      <c r="D48" s="43">
        <v>9.7014800000000001</v>
      </c>
      <c r="E48" s="147">
        <v>1.2</v>
      </c>
      <c r="F48" s="150"/>
      <c r="G48" s="39"/>
      <c r="H48" s="144">
        <f t="shared" si="0"/>
        <v>12.2</v>
      </c>
      <c r="I48" s="43">
        <f t="shared" si="1"/>
        <v>1.5637092731829574E-2</v>
      </c>
      <c r="J48" s="43">
        <f t="shared" si="2"/>
        <v>1.3919299999999999</v>
      </c>
      <c r="K48" s="43">
        <f t="shared" si="3"/>
        <v>3.812377415311391E-4</v>
      </c>
      <c r="L48" s="43">
        <f t="shared" ca="1" si="11"/>
        <v>0</v>
      </c>
      <c r="M48" s="43">
        <f t="shared" ca="1" si="4"/>
        <v>97.781126261923788</v>
      </c>
      <c r="N48" s="43">
        <f t="shared" ca="1" si="5"/>
        <v>1.0419298513089797E-3</v>
      </c>
      <c r="O48" s="43">
        <f t="shared" si="6"/>
        <v>97.679298245614021</v>
      </c>
      <c r="P48" s="43">
        <f t="shared" si="7"/>
        <v>1.0424728487886383E-3</v>
      </c>
      <c r="Q48" s="43">
        <f t="shared" si="8"/>
        <v>0.12369246754103497</v>
      </c>
      <c r="R48" s="144" t="e">
        <f t="shared" si="9"/>
        <v>#N/A</v>
      </c>
      <c r="S48" s="147" t="e">
        <f t="shared" si="10"/>
        <v>#N/A</v>
      </c>
    </row>
    <row r="49" spans="1:19">
      <c r="A49" s="144">
        <v>12.2</v>
      </c>
      <c r="B49" s="43">
        <v>8.6599999999999993E-3</v>
      </c>
      <c r="C49" s="43">
        <v>1.3919299999999999</v>
      </c>
      <c r="D49" s="43">
        <v>9.7014800000000001</v>
      </c>
      <c r="E49" s="147">
        <v>1.2</v>
      </c>
      <c r="F49" s="150"/>
      <c r="G49" s="39"/>
      <c r="H49" s="144">
        <f t="shared" si="0"/>
        <v>12.2</v>
      </c>
      <c r="I49" s="43">
        <f t="shared" si="1"/>
        <v>1.5637092731829574E-2</v>
      </c>
      <c r="J49" s="43">
        <f t="shared" si="2"/>
        <v>1.3919299999999999</v>
      </c>
      <c r="K49" s="43">
        <f t="shared" si="3"/>
        <v>3.812377415311391E-4</v>
      </c>
      <c r="L49" s="43">
        <f t="shared" ca="1" si="11"/>
        <v>0</v>
      </c>
      <c r="M49" s="43">
        <f t="shared" ca="1" si="4"/>
        <v>97.781126261923788</v>
      </c>
      <c r="N49" s="43">
        <f t="shared" ca="1" si="5"/>
        <v>1.0419298513089797E-3</v>
      </c>
      <c r="O49" s="43">
        <f t="shared" si="6"/>
        <v>97.679298245614021</v>
      </c>
      <c r="P49" s="43">
        <f t="shared" si="7"/>
        <v>1.0424728487886383E-3</v>
      </c>
      <c r="Q49" s="43">
        <f t="shared" si="8"/>
        <v>0.12369246754103497</v>
      </c>
      <c r="R49" s="144" t="e">
        <f t="shared" si="9"/>
        <v>#N/A</v>
      </c>
      <c r="S49" s="147" t="e">
        <f t="shared" si="10"/>
        <v>#N/A</v>
      </c>
    </row>
    <row r="50" spans="1:19">
      <c r="A50" s="144">
        <v>12.2</v>
      </c>
      <c r="B50" s="43">
        <v>8.6599999999999993E-3</v>
      </c>
      <c r="C50" s="43">
        <v>1.3919299999999999</v>
      </c>
      <c r="D50" s="43">
        <v>9.7014800000000001</v>
      </c>
      <c r="E50" s="147">
        <v>1.2</v>
      </c>
      <c r="F50" s="43"/>
      <c r="G50" s="39"/>
      <c r="H50" s="144">
        <f t="shared" si="0"/>
        <v>12.2</v>
      </c>
      <c r="I50" s="43">
        <f t="shared" si="1"/>
        <v>1.5637092731829574E-2</v>
      </c>
      <c r="J50" s="43">
        <f t="shared" si="2"/>
        <v>1.3919299999999999</v>
      </c>
      <c r="K50" s="43">
        <f t="shared" si="3"/>
        <v>3.812377415311391E-4</v>
      </c>
      <c r="L50" s="43">
        <f t="shared" ca="1" si="11"/>
        <v>0</v>
      </c>
      <c r="M50" s="43">
        <f t="shared" ca="1" si="4"/>
        <v>97.781126261923788</v>
      </c>
      <c r="N50" s="43">
        <f t="shared" ca="1" si="5"/>
        <v>1.0419298513089797E-3</v>
      </c>
      <c r="O50" s="43">
        <f t="shared" si="6"/>
        <v>97.679298245614021</v>
      </c>
      <c r="P50" s="43">
        <f t="shared" si="7"/>
        <v>1.0424728487886383E-3</v>
      </c>
      <c r="Q50" s="43">
        <f t="shared" si="8"/>
        <v>0.12369246754103497</v>
      </c>
      <c r="R50" s="144" t="e">
        <f t="shared" si="9"/>
        <v>#N/A</v>
      </c>
      <c r="S50" s="147" t="e">
        <f t="shared" si="10"/>
        <v>#N/A</v>
      </c>
    </row>
    <row r="51" spans="1:19">
      <c r="A51" s="144">
        <v>12.2</v>
      </c>
      <c r="B51" s="43">
        <v>8.6599999999999993E-3</v>
      </c>
      <c r="C51" s="43">
        <v>1.3919299999999999</v>
      </c>
      <c r="D51" s="43">
        <v>9.7014800000000001</v>
      </c>
      <c r="E51" s="147">
        <v>1.2</v>
      </c>
      <c r="F51" s="43"/>
      <c r="G51" s="39"/>
      <c r="H51" s="144">
        <f t="shared" si="0"/>
        <v>12.2</v>
      </c>
      <c r="I51" s="43">
        <f t="shared" si="1"/>
        <v>1.5637092731829574E-2</v>
      </c>
      <c r="J51" s="43">
        <f t="shared" si="2"/>
        <v>1.3919299999999999</v>
      </c>
      <c r="K51" s="43">
        <f t="shared" si="3"/>
        <v>3.812377415311391E-4</v>
      </c>
      <c r="L51" s="43">
        <f t="shared" ca="1" si="11"/>
        <v>0</v>
      </c>
      <c r="M51" s="43">
        <f t="shared" ca="1" si="4"/>
        <v>97.781126261923788</v>
      </c>
      <c r="N51" s="43">
        <f t="shared" ca="1" si="5"/>
        <v>1.0419298513089797E-3</v>
      </c>
      <c r="O51" s="43">
        <f t="shared" si="6"/>
        <v>97.679298245614021</v>
      </c>
      <c r="P51" s="43">
        <f t="shared" si="7"/>
        <v>1.0424728487886383E-3</v>
      </c>
      <c r="Q51" s="43">
        <f t="shared" si="8"/>
        <v>0.12369246754103497</v>
      </c>
      <c r="R51" s="144" t="e">
        <f t="shared" si="9"/>
        <v>#N/A</v>
      </c>
      <c r="S51" s="147" t="e">
        <f t="shared" si="10"/>
        <v>#N/A</v>
      </c>
    </row>
    <row r="52" spans="1:19">
      <c r="A52" s="144">
        <v>12.2</v>
      </c>
      <c r="B52" s="43">
        <v>8.6599999999999993E-3</v>
      </c>
      <c r="C52" s="43">
        <v>1.3919299999999999</v>
      </c>
      <c r="D52" s="43">
        <v>9.7014800000000001</v>
      </c>
      <c r="E52" s="147">
        <v>1.2</v>
      </c>
      <c r="F52" s="43"/>
      <c r="G52" s="39"/>
      <c r="H52" s="144">
        <f t="shared" si="0"/>
        <v>12.2</v>
      </c>
      <c r="I52" s="43">
        <f t="shared" si="1"/>
        <v>1.5637092731829574E-2</v>
      </c>
      <c r="J52" s="43">
        <f t="shared" si="2"/>
        <v>1.3919299999999999</v>
      </c>
      <c r="K52" s="43">
        <f t="shared" si="3"/>
        <v>3.812377415311391E-4</v>
      </c>
      <c r="L52" s="43">
        <f t="shared" ca="1" si="11"/>
        <v>0</v>
      </c>
      <c r="M52" s="43">
        <f t="shared" ca="1" si="4"/>
        <v>97.781126261923788</v>
      </c>
      <c r="N52" s="43">
        <f t="shared" ca="1" si="5"/>
        <v>1.0419298513089797E-3</v>
      </c>
      <c r="O52" s="43">
        <f t="shared" si="6"/>
        <v>97.679298245614021</v>
      </c>
      <c r="P52" s="43">
        <f t="shared" si="7"/>
        <v>1.0424728487886383E-3</v>
      </c>
      <c r="Q52" s="43">
        <f t="shared" si="8"/>
        <v>0.12369246754103497</v>
      </c>
      <c r="R52" s="144" t="e">
        <f t="shared" si="9"/>
        <v>#N/A</v>
      </c>
      <c r="S52" s="147" t="e">
        <f t="shared" si="10"/>
        <v>#N/A</v>
      </c>
    </row>
    <row r="53" spans="1:19">
      <c r="A53" s="144">
        <v>12.2</v>
      </c>
      <c r="B53" s="43">
        <v>8.6599999999999993E-3</v>
      </c>
      <c r="C53" s="43">
        <v>1.3919299999999999</v>
      </c>
      <c r="D53" s="43">
        <v>9.7014800000000001</v>
      </c>
      <c r="E53" s="147">
        <v>1.2</v>
      </c>
      <c r="F53" s="43"/>
      <c r="G53" s="39"/>
      <c r="H53" s="144">
        <f t="shared" si="0"/>
        <v>12.2</v>
      </c>
      <c r="I53" s="43">
        <f t="shared" si="1"/>
        <v>1.5637092731829574E-2</v>
      </c>
      <c r="J53" s="43">
        <f t="shared" si="2"/>
        <v>1.3919299999999999</v>
      </c>
      <c r="K53" s="43">
        <f t="shared" si="3"/>
        <v>3.812377415311391E-4</v>
      </c>
      <c r="L53" s="43">
        <f t="shared" ca="1" si="11"/>
        <v>0</v>
      </c>
      <c r="M53" s="43">
        <f t="shared" ca="1" si="4"/>
        <v>97.781126261923788</v>
      </c>
      <c r="N53" s="43">
        <f t="shared" ca="1" si="5"/>
        <v>1.0419298513089797E-3</v>
      </c>
      <c r="O53" s="43">
        <f t="shared" si="6"/>
        <v>97.679298245614021</v>
      </c>
      <c r="P53" s="43">
        <f t="shared" si="7"/>
        <v>1.0424728487886383E-3</v>
      </c>
      <c r="Q53" s="43">
        <f t="shared" si="8"/>
        <v>0.12369246754103497</v>
      </c>
      <c r="R53" s="144" t="e">
        <f t="shared" si="9"/>
        <v>#N/A</v>
      </c>
      <c r="S53" s="147" t="e">
        <f t="shared" si="10"/>
        <v>#N/A</v>
      </c>
    </row>
    <row r="54" spans="1:19">
      <c r="A54" s="144">
        <v>12.2</v>
      </c>
      <c r="B54" s="43">
        <v>8.6599999999999993E-3</v>
      </c>
      <c r="C54" s="43">
        <v>1.3919299999999999</v>
      </c>
      <c r="D54" s="43">
        <v>9.7014800000000001</v>
      </c>
      <c r="E54" s="147">
        <v>1.2</v>
      </c>
      <c r="F54" s="43"/>
      <c r="G54" s="39"/>
      <c r="H54" s="144">
        <f t="shared" si="0"/>
        <v>12.2</v>
      </c>
      <c r="I54" s="43">
        <f t="shared" si="1"/>
        <v>1.5637092731829574E-2</v>
      </c>
      <c r="J54" s="43">
        <f t="shared" si="2"/>
        <v>1.3919299999999999</v>
      </c>
      <c r="K54" s="43">
        <f t="shared" si="3"/>
        <v>3.812377415311391E-4</v>
      </c>
      <c r="L54" s="43">
        <f t="shared" ca="1" si="11"/>
        <v>0</v>
      </c>
      <c r="M54" s="43">
        <f t="shared" ca="1" si="4"/>
        <v>97.781126261923788</v>
      </c>
      <c r="N54" s="43">
        <f t="shared" ca="1" si="5"/>
        <v>1.0419298513089797E-3</v>
      </c>
      <c r="O54" s="43">
        <f t="shared" si="6"/>
        <v>97.679298245614021</v>
      </c>
      <c r="P54" s="43">
        <f t="shared" si="7"/>
        <v>1.0424728487886383E-3</v>
      </c>
      <c r="Q54" s="43">
        <f t="shared" si="8"/>
        <v>0.12369246754103497</v>
      </c>
      <c r="R54" s="144" t="e">
        <f t="shared" si="9"/>
        <v>#N/A</v>
      </c>
      <c r="S54" s="147" t="e">
        <f t="shared" si="10"/>
        <v>#N/A</v>
      </c>
    </row>
    <row r="55" spans="1:19">
      <c r="A55" s="144">
        <v>12.2</v>
      </c>
      <c r="B55" s="43">
        <v>8.6599999999999993E-3</v>
      </c>
      <c r="C55" s="43">
        <v>1.3919299999999999</v>
      </c>
      <c r="D55" s="43">
        <v>9.7014800000000001</v>
      </c>
      <c r="E55" s="147">
        <v>1.2</v>
      </c>
      <c r="F55" s="43"/>
      <c r="G55" s="39"/>
      <c r="H55" s="144">
        <f t="shared" si="0"/>
        <v>12.2</v>
      </c>
      <c r="I55" s="43">
        <f t="shared" si="1"/>
        <v>1.5637092731829574E-2</v>
      </c>
      <c r="J55" s="43">
        <f t="shared" si="2"/>
        <v>1.3919299999999999</v>
      </c>
      <c r="K55" s="43">
        <f t="shared" si="3"/>
        <v>3.812377415311391E-4</v>
      </c>
      <c r="L55" s="43">
        <f t="shared" ca="1" si="11"/>
        <v>0</v>
      </c>
      <c r="M55" s="43">
        <f t="shared" ca="1" si="4"/>
        <v>97.781126261923788</v>
      </c>
      <c r="N55" s="43">
        <f t="shared" ca="1" si="5"/>
        <v>1.0419298513089797E-3</v>
      </c>
      <c r="O55" s="43">
        <f t="shared" si="6"/>
        <v>97.679298245614021</v>
      </c>
      <c r="P55" s="43">
        <f t="shared" si="7"/>
        <v>1.0424728487886383E-3</v>
      </c>
      <c r="Q55" s="43">
        <f t="shared" si="8"/>
        <v>0.12369246754103497</v>
      </c>
      <c r="R55" s="144" t="e">
        <f t="shared" si="9"/>
        <v>#N/A</v>
      </c>
      <c r="S55" s="147" t="e">
        <f t="shared" si="10"/>
        <v>#N/A</v>
      </c>
    </row>
    <row r="56" spans="1:19">
      <c r="A56" s="144">
        <v>12.2</v>
      </c>
      <c r="B56" s="43">
        <v>8.6599999999999993E-3</v>
      </c>
      <c r="C56" s="43">
        <v>1.3919299999999999</v>
      </c>
      <c r="D56" s="43">
        <v>9.7014800000000001</v>
      </c>
      <c r="E56" s="147">
        <v>1.2</v>
      </c>
      <c r="F56" s="43"/>
      <c r="G56" s="39"/>
      <c r="H56" s="144">
        <f t="shared" si="0"/>
        <v>12.2</v>
      </c>
      <c r="I56" s="43">
        <f t="shared" si="1"/>
        <v>1.5637092731829574E-2</v>
      </c>
      <c r="J56" s="43">
        <f t="shared" si="2"/>
        <v>1.3919299999999999</v>
      </c>
      <c r="K56" s="43">
        <f t="shared" si="3"/>
        <v>3.812377415311391E-4</v>
      </c>
      <c r="L56" s="43">
        <f t="shared" ca="1" si="11"/>
        <v>0</v>
      </c>
      <c r="M56" s="43">
        <f t="shared" ca="1" si="4"/>
        <v>97.781126261923788</v>
      </c>
      <c r="N56" s="43">
        <f t="shared" ca="1" si="5"/>
        <v>1.0419298513089797E-3</v>
      </c>
      <c r="O56" s="43">
        <f t="shared" si="6"/>
        <v>97.679298245614021</v>
      </c>
      <c r="P56" s="43">
        <f t="shared" si="7"/>
        <v>1.0424728487886383E-3</v>
      </c>
      <c r="Q56" s="43">
        <f t="shared" si="8"/>
        <v>0.12369246754103497</v>
      </c>
      <c r="R56" s="144" t="e">
        <f t="shared" si="9"/>
        <v>#N/A</v>
      </c>
      <c r="S56" s="147" t="e">
        <f t="shared" si="10"/>
        <v>#N/A</v>
      </c>
    </row>
    <row r="57" spans="1:19">
      <c r="A57" s="144">
        <v>12.2</v>
      </c>
      <c r="B57" s="43">
        <v>8.6599999999999993E-3</v>
      </c>
      <c r="C57" s="43">
        <v>1.3919299999999999</v>
      </c>
      <c r="D57" s="43">
        <v>9.7014800000000001</v>
      </c>
      <c r="E57" s="147">
        <v>1.2</v>
      </c>
      <c r="F57" s="43"/>
      <c r="G57" s="39"/>
      <c r="H57" s="144">
        <f t="shared" si="0"/>
        <v>12.2</v>
      </c>
      <c r="I57" s="43">
        <f t="shared" si="1"/>
        <v>1.5637092731829574E-2</v>
      </c>
      <c r="J57" s="43">
        <f t="shared" si="2"/>
        <v>1.3919299999999999</v>
      </c>
      <c r="K57" s="43">
        <f t="shared" si="3"/>
        <v>3.812377415311391E-4</v>
      </c>
      <c r="L57" s="43">
        <f t="shared" ca="1" si="11"/>
        <v>0</v>
      </c>
      <c r="M57" s="43">
        <f t="shared" ca="1" si="4"/>
        <v>97.781126261923788</v>
      </c>
      <c r="N57" s="43">
        <f t="shared" ca="1" si="5"/>
        <v>1.0419298513089797E-3</v>
      </c>
      <c r="O57" s="43">
        <f t="shared" si="6"/>
        <v>97.679298245614021</v>
      </c>
      <c r="P57" s="43">
        <f t="shared" si="7"/>
        <v>1.0424728487886383E-3</v>
      </c>
      <c r="Q57" s="43">
        <f t="shared" si="8"/>
        <v>0.12369246754103497</v>
      </c>
      <c r="R57" s="144" t="e">
        <f t="shared" si="9"/>
        <v>#N/A</v>
      </c>
      <c r="S57" s="147" t="e">
        <f t="shared" si="10"/>
        <v>#N/A</v>
      </c>
    </row>
    <row r="58" spans="1:19">
      <c r="A58" s="144">
        <v>12.2</v>
      </c>
      <c r="B58" s="43">
        <v>8.6599999999999993E-3</v>
      </c>
      <c r="C58" s="43">
        <v>1.3919299999999999</v>
      </c>
      <c r="D58" s="43">
        <v>9.7014800000000001</v>
      </c>
      <c r="E58" s="147">
        <v>1.2</v>
      </c>
      <c r="F58" s="43"/>
      <c r="G58" s="39"/>
      <c r="H58" s="144">
        <f t="shared" si="0"/>
        <v>12.2</v>
      </c>
      <c r="I58" s="43">
        <f t="shared" si="1"/>
        <v>1.5637092731829574E-2</v>
      </c>
      <c r="J58" s="43">
        <f t="shared" si="2"/>
        <v>1.3919299999999999</v>
      </c>
      <c r="K58" s="43">
        <f t="shared" si="3"/>
        <v>3.812377415311391E-4</v>
      </c>
      <c r="L58" s="43">
        <f t="shared" ca="1" si="11"/>
        <v>0</v>
      </c>
      <c r="M58" s="43">
        <f t="shared" ca="1" si="4"/>
        <v>97.781126261923788</v>
      </c>
      <c r="N58" s="43">
        <f t="shared" ca="1" si="5"/>
        <v>1.0419298513089797E-3</v>
      </c>
      <c r="O58" s="43">
        <f t="shared" si="6"/>
        <v>97.679298245614021</v>
      </c>
      <c r="P58" s="43">
        <f t="shared" si="7"/>
        <v>1.0424728487886383E-3</v>
      </c>
      <c r="Q58" s="43">
        <f t="shared" si="8"/>
        <v>0.12369246754103497</v>
      </c>
      <c r="R58" s="144" t="e">
        <f t="shared" si="9"/>
        <v>#N/A</v>
      </c>
      <c r="S58" s="147" t="e">
        <f t="shared" si="10"/>
        <v>#N/A</v>
      </c>
    </row>
    <row r="59" spans="1:19">
      <c r="A59" s="144">
        <v>12.2</v>
      </c>
      <c r="B59" s="43">
        <v>8.6599999999999993E-3</v>
      </c>
      <c r="C59" s="43">
        <v>1.3919299999999999</v>
      </c>
      <c r="D59" s="43">
        <v>9.7014800000000001</v>
      </c>
      <c r="E59" s="147">
        <v>1.2</v>
      </c>
      <c r="F59" s="43"/>
      <c r="G59" s="39"/>
      <c r="H59" s="144">
        <f t="shared" si="0"/>
        <v>12.2</v>
      </c>
      <c r="I59" s="43">
        <f t="shared" si="1"/>
        <v>1.5637092731829574E-2</v>
      </c>
      <c r="J59" s="43">
        <f t="shared" si="2"/>
        <v>1.3919299999999999</v>
      </c>
      <c r="K59" s="43">
        <f t="shared" si="3"/>
        <v>3.812377415311391E-4</v>
      </c>
      <c r="L59" s="43">
        <f t="shared" ca="1" si="11"/>
        <v>0</v>
      </c>
      <c r="M59" s="43">
        <f t="shared" ca="1" si="4"/>
        <v>97.781126261923788</v>
      </c>
      <c r="N59" s="43">
        <f t="shared" ca="1" si="5"/>
        <v>1.0419298513089797E-3</v>
      </c>
      <c r="O59" s="43">
        <f t="shared" si="6"/>
        <v>97.679298245614021</v>
      </c>
      <c r="P59" s="43">
        <f t="shared" si="7"/>
        <v>1.0424728487886383E-3</v>
      </c>
      <c r="Q59" s="43">
        <f t="shared" si="8"/>
        <v>0.12369246754103497</v>
      </c>
      <c r="R59" s="144" t="e">
        <f t="shared" si="9"/>
        <v>#N/A</v>
      </c>
      <c r="S59" s="147" t="e">
        <f t="shared" si="10"/>
        <v>#N/A</v>
      </c>
    </row>
    <row r="60" spans="1:19">
      <c r="A60" s="144">
        <v>12.2</v>
      </c>
      <c r="B60" s="43">
        <v>8.6599999999999993E-3</v>
      </c>
      <c r="C60" s="43">
        <v>1.3919299999999999</v>
      </c>
      <c r="D60" s="43">
        <v>9.7014800000000001</v>
      </c>
      <c r="E60" s="147">
        <v>1.2</v>
      </c>
      <c r="F60" s="43"/>
      <c r="G60" s="39"/>
      <c r="H60" s="144">
        <f t="shared" si="0"/>
        <v>12.2</v>
      </c>
      <c r="I60" s="43">
        <f t="shared" si="1"/>
        <v>1.5637092731829574E-2</v>
      </c>
      <c r="J60" s="43">
        <f t="shared" si="2"/>
        <v>1.3919299999999999</v>
      </c>
      <c r="K60" s="43">
        <f t="shared" si="3"/>
        <v>3.812377415311391E-4</v>
      </c>
      <c r="L60" s="43">
        <f t="shared" ca="1" si="11"/>
        <v>0</v>
      </c>
      <c r="M60" s="43">
        <f t="shared" ca="1" si="4"/>
        <v>97.781126261923788</v>
      </c>
      <c r="N60" s="43">
        <f t="shared" ca="1" si="5"/>
        <v>1.0419298513089797E-3</v>
      </c>
      <c r="O60" s="43">
        <f t="shared" si="6"/>
        <v>97.679298245614021</v>
      </c>
      <c r="P60" s="43">
        <f t="shared" si="7"/>
        <v>1.0424728487886383E-3</v>
      </c>
      <c r="Q60" s="43">
        <f t="shared" si="8"/>
        <v>0.12369246754103497</v>
      </c>
      <c r="R60" s="144" t="e">
        <f t="shared" si="9"/>
        <v>#N/A</v>
      </c>
      <c r="S60" s="147" t="e">
        <f t="shared" si="10"/>
        <v>#N/A</v>
      </c>
    </row>
    <row r="61" spans="1:19">
      <c r="A61" s="144">
        <v>12.2</v>
      </c>
      <c r="B61" s="43">
        <v>8.6599999999999993E-3</v>
      </c>
      <c r="C61" s="43">
        <v>1.3919299999999999</v>
      </c>
      <c r="D61" s="43">
        <v>9.7014800000000001</v>
      </c>
      <c r="E61" s="147">
        <v>1.2</v>
      </c>
      <c r="F61" s="43"/>
      <c r="G61" s="39"/>
      <c r="H61" s="144">
        <f t="shared" si="0"/>
        <v>12.2</v>
      </c>
      <c r="I61" s="43">
        <f t="shared" si="1"/>
        <v>1.5637092731829574E-2</v>
      </c>
      <c r="J61" s="43">
        <f t="shared" si="2"/>
        <v>1.3919299999999999</v>
      </c>
      <c r="K61" s="43">
        <f t="shared" si="3"/>
        <v>3.812377415311391E-4</v>
      </c>
      <c r="L61" s="43">
        <f t="shared" ca="1" si="11"/>
        <v>0</v>
      </c>
      <c r="M61" s="43">
        <f t="shared" ca="1" si="4"/>
        <v>97.781126261923788</v>
      </c>
      <c r="N61" s="43">
        <f t="shared" ca="1" si="5"/>
        <v>1.0419298513089797E-3</v>
      </c>
      <c r="O61" s="43">
        <f t="shared" si="6"/>
        <v>97.679298245614021</v>
      </c>
      <c r="P61" s="43">
        <f t="shared" si="7"/>
        <v>1.0424728487886383E-3</v>
      </c>
      <c r="Q61" s="43">
        <f t="shared" si="8"/>
        <v>0.12369246754103497</v>
      </c>
      <c r="R61" s="144" t="e">
        <f t="shared" si="9"/>
        <v>#N/A</v>
      </c>
      <c r="S61" s="147" t="e">
        <f t="shared" si="10"/>
        <v>#N/A</v>
      </c>
    </row>
    <row r="62" spans="1:19">
      <c r="A62" s="144">
        <v>12.2</v>
      </c>
      <c r="B62" s="43">
        <v>8.6599999999999993E-3</v>
      </c>
      <c r="C62" s="43">
        <v>1.3919299999999999</v>
      </c>
      <c r="D62" s="43">
        <v>9.7014800000000001</v>
      </c>
      <c r="E62" s="147">
        <v>1.2</v>
      </c>
      <c r="F62" s="43"/>
      <c r="G62" s="39"/>
      <c r="H62" s="144">
        <f t="shared" si="0"/>
        <v>12.2</v>
      </c>
      <c r="I62" s="43">
        <f t="shared" si="1"/>
        <v>1.5637092731829574E-2</v>
      </c>
      <c r="J62" s="43">
        <f t="shared" si="2"/>
        <v>1.3919299999999999</v>
      </c>
      <c r="K62" s="43">
        <f t="shared" si="3"/>
        <v>3.812377415311391E-4</v>
      </c>
      <c r="L62" s="43">
        <f t="shared" ca="1" si="11"/>
        <v>0</v>
      </c>
      <c r="M62" s="43">
        <f t="shared" ca="1" si="4"/>
        <v>97.781126261923788</v>
      </c>
      <c r="N62" s="43">
        <f t="shared" ca="1" si="5"/>
        <v>1.0419298513089797E-3</v>
      </c>
      <c r="O62" s="43">
        <f t="shared" si="6"/>
        <v>97.679298245614021</v>
      </c>
      <c r="P62" s="43">
        <f t="shared" si="7"/>
        <v>1.0424728487886383E-3</v>
      </c>
      <c r="Q62" s="43">
        <f t="shared" si="8"/>
        <v>0.12369246754103497</v>
      </c>
      <c r="R62" s="144" t="e">
        <f t="shared" si="9"/>
        <v>#N/A</v>
      </c>
      <c r="S62" s="147" t="e">
        <f t="shared" si="10"/>
        <v>#N/A</v>
      </c>
    </row>
    <row r="63" spans="1:19">
      <c r="A63" s="144">
        <v>12.2</v>
      </c>
      <c r="B63" s="43">
        <v>8.6599999999999993E-3</v>
      </c>
      <c r="C63" s="43">
        <v>1.3919299999999999</v>
      </c>
      <c r="D63" s="43">
        <v>9.7014800000000001</v>
      </c>
      <c r="E63" s="147">
        <v>1.2</v>
      </c>
      <c r="F63" s="43"/>
      <c r="G63" s="39"/>
      <c r="H63" s="144">
        <f t="shared" si="0"/>
        <v>12.2</v>
      </c>
      <c r="I63" s="43">
        <f t="shared" si="1"/>
        <v>1.5637092731829574E-2</v>
      </c>
      <c r="J63" s="43">
        <f t="shared" si="2"/>
        <v>1.3919299999999999</v>
      </c>
      <c r="K63" s="43">
        <f t="shared" si="3"/>
        <v>3.812377415311391E-4</v>
      </c>
      <c r="L63" s="43">
        <f t="shared" ca="1" si="11"/>
        <v>0</v>
      </c>
      <c r="M63" s="43">
        <f t="shared" ca="1" si="4"/>
        <v>97.781126261923788</v>
      </c>
      <c r="N63" s="43">
        <f t="shared" ca="1" si="5"/>
        <v>1.0419298513089797E-3</v>
      </c>
      <c r="O63" s="43">
        <f t="shared" si="6"/>
        <v>97.679298245614021</v>
      </c>
      <c r="P63" s="43">
        <f t="shared" si="7"/>
        <v>1.0424728487886383E-3</v>
      </c>
      <c r="Q63" s="43">
        <f t="shared" si="8"/>
        <v>0.12369246754103497</v>
      </c>
      <c r="R63" s="144" t="e">
        <f t="shared" si="9"/>
        <v>#N/A</v>
      </c>
      <c r="S63" s="147" t="e">
        <f t="shared" si="10"/>
        <v>#N/A</v>
      </c>
    </row>
    <row r="64" spans="1:19">
      <c r="A64" s="144">
        <v>12.2</v>
      </c>
      <c r="B64" s="43">
        <v>8.6599999999999993E-3</v>
      </c>
      <c r="C64" s="43">
        <v>1.3919299999999999</v>
      </c>
      <c r="D64" s="43">
        <v>9.7014800000000001</v>
      </c>
      <c r="E64" s="147">
        <v>1.2</v>
      </c>
      <c r="F64" s="43"/>
      <c r="G64" s="39"/>
      <c r="H64" s="144">
        <f t="shared" si="0"/>
        <v>12.2</v>
      </c>
      <c r="I64" s="43">
        <f t="shared" si="1"/>
        <v>1.5637092731829574E-2</v>
      </c>
      <c r="J64" s="43">
        <f t="shared" si="2"/>
        <v>1.3919299999999999</v>
      </c>
      <c r="K64" s="43">
        <f t="shared" si="3"/>
        <v>3.812377415311391E-4</v>
      </c>
      <c r="L64" s="43">
        <f t="shared" ca="1" si="11"/>
        <v>0</v>
      </c>
      <c r="M64" s="43">
        <f t="shared" ca="1" si="4"/>
        <v>97.781126261923788</v>
      </c>
      <c r="N64" s="43">
        <f t="shared" ca="1" si="5"/>
        <v>1.0419298513089797E-3</v>
      </c>
      <c r="O64" s="43">
        <f t="shared" si="6"/>
        <v>97.679298245614021</v>
      </c>
      <c r="P64" s="43">
        <f t="shared" si="7"/>
        <v>1.0424728487886383E-3</v>
      </c>
      <c r="Q64" s="43">
        <f t="shared" si="8"/>
        <v>0.12369246754103497</v>
      </c>
      <c r="R64" s="144" t="e">
        <f t="shared" si="9"/>
        <v>#N/A</v>
      </c>
      <c r="S64" s="147" t="e">
        <f t="shared" si="10"/>
        <v>#N/A</v>
      </c>
    </row>
    <row r="65" spans="1:19">
      <c r="A65" s="144">
        <v>12.2</v>
      </c>
      <c r="B65" s="43">
        <v>8.6599999999999993E-3</v>
      </c>
      <c r="C65" s="43">
        <v>1.3919299999999999</v>
      </c>
      <c r="D65" s="43">
        <v>9.7014800000000001</v>
      </c>
      <c r="E65" s="147">
        <v>1.2</v>
      </c>
      <c r="F65" s="43"/>
      <c r="G65" s="39"/>
      <c r="H65" s="144">
        <f t="shared" si="0"/>
        <v>12.2</v>
      </c>
      <c r="I65" s="43">
        <f t="shared" si="1"/>
        <v>1.5637092731829574E-2</v>
      </c>
      <c r="J65" s="43">
        <f t="shared" si="2"/>
        <v>1.3919299999999999</v>
      </c>
      <c r="K65" s="43">
        <f t="shared" si="3"/>
        <v>3.812377415311391E-4</v>
      </c>
      <c r="L65" s="43">
        <f t="shared" ca="1" si="11"/>
        <v>0</v>
      </c>
      <c r="M65" s="43">
        <f t="shared" ca="1" si="4"/>
        <v>97.781126261923788</v>
      </c>
      <c r="N65" s="43">
        <f t="shared" ca="1" si="5"/>
        <v>1.0419298513089797E-3</v>
      </c>
      <c r="O65" s="43">
        <f t="shared" si="6"/>
        <v>97.679298245614021</v>
      </c>
      <c r="P65" s="43">
        <f t="shared" si="7"/>
        <v>1.0424728487886383E-3</v>
      </c>
      <c r="Q65" s="43">
        <f t="shared" si="8"/>
        <v>0.12369246754103497</v>
      </c>
      <c r="R65" s="144" t="e">
        <f t="shared" si="9"/>
        <v>#N/A</v>
      </c>
      <c r="S65" s="147" t="e">
        <f t="shared" si="10"/>
        <v>#N/A</v>
      </c>
    </row>
    <row r="66" spans="1:19">
      <c r="A66" s="144">
        <v>12.2</v>
      </c>
      <c r="B66" s="43">
        <v>8.6599999999999993E-3</v>
      </c>
      <c r="C66" s="43">
        <v>1.3919299999999999</v>
      </c>
      <c r="D66" s="43">
        <v>9.7014800000000001</v>
      </c>
      <c r="E66" s="147">
        <v>1.2</v>
      </c>
      <c r="F66" s="43"/>
      <c r="G66" s="39"/>
      <c r="H66" s="144">
        <f t="shared" si="0"/>
        <v>12.2</v>
      </c>
      <c r="I66" s="43">
        <f t="shared" si="1"/>
        <v>1.5637092731829574E-2</v>
      </c>
      <c r="J66" s="43">
        <f t="shared" si="2"/>
        <v>1.3919299999999999</v>
      </c>
      <c r="K66" s="43">
        <f t="shared" si="3"/>
        <v>3.812377415311391E-4</v>
      </c>
      <c r="L66" s="43">
        <f t="shared" ca="1" si="11"/>
        <v>0</v>
      </c>
      <c r="M66" s="43">
        <f t="shared" ca="1" si="4"/>
        <v>97.781126261923788</v>
      </c>
      <c r="N66" s="43">
        <f t="shared" ca="1" si="5"/>
        <v>1.0419298513089797E-3</v>
      </c>
      <c r="O66" s="43">
        <f t="shared" si="6"/>
        <v>97.679298245614021</v>
      </c>
      <c r="P66" s="43">
        <f t="shared" si="7"/>
        <v>1.0424728487886383E-3</v>
      </c>
      <c r="Q66" s="43">
        <f t="shared" si="8"/>
        <v>0.12369246754103497</v>
      </c>
      <c r="R66" s="144" t="e">
        <f t="shared" si="9"/>
        <v>#N/A</v>
      </c>
      <c r="S66" s="147" t="e">
        <f t="shared" si="10"/>
        <v>#N/A</v>
      </c>
    </row>
    <row r="67" spans="1:19">
      <c r="A67" s="144">
        <v>12.2</v>
      </c>
      <c r="B67" s="43">
        <v>8.6599999999999993E-3</v>
      </c>
      <c r="C67" s="43">
        <v>1.3919299999999999</v>
      </c>
      <c r="D67" s="43">
        <v>9.7014800000000001</v>
      </c>
      <c r="E67" s="147">
        <v>1.2</v>
      </c>
      <c r="F67" s="43"/>
      <c r="G67" s="39"/>
      <c r="H67" s="144">
        <f t="shared" si="0"/>
        <v>12.2</v>
      </c>
      <c r="I67" s="43">
        <f t="shared" si="1"/>
        <v>1.5637092731829574E-2</v>
      </c>
      <c r="J67" s="43">
        <f t="shared" si="2"/>
        <v>1.3919299999999999</v>
      </c>
      <c r="K67" s="43">
        <f t="shared" si="3"/>
        <v>3.812377415311391E-4</v>
      </c>
      <c r="L67" s="43">
        <f t="shared" ca="1" si="11"/>
        <v>0</v>
      </c>
      <c r="M67" s="43">
        <f t="shared" ca="1" si="4"/>
        <v>97.781126261923788</v>
      </c>
      <c r="N67" s="43">
        <f t="shared" ca="1" si="5"/>
        <v>1.0419298513089797E-3</v>
      </c>
      <c r="O67" s="43">
        <f t="shared" si="6"/>
        <v>97.679298245614021</v>
      </c>
      <c r="P67" s="43">
        <f t="shared" si="7"/>
        <v>1.0424728487886383E-3</v>
      </c>
      <c r="Q67" s="43">
        <f t="shared" si="8"/>
        <v>0.12369246754103497</v>
      </c>
      <c r="R67" s="144" t="e">
        <f t="shared" si="9"/>
        <v>#N/A</v>
      </c>
      <c r="S67" s="147" t="e">
        <f t="shared" si="10"/>
        <v>#N/A</v>
      </c>
    </row>
    <row r="68" spans="1:19">
      <c r="A68" s="144">
        <v>12.2</v>
      </c>
      <c r="B68" s="43">
        <v>8.6599999999999993E-3</v>
      </c>
      <c r="C68" s="43">
        <v>1.3919299999999999</v>
      </c>
      <c r="D68" s="43">
        <v>9.7014800000000001</v>
      </c>
      <c r="E68" s="147">
        <v>1.2</v>
      </c>
      <c r="F68" s="43"/>
      <c r="G68" s="39"/>
      <c r="H68" s="144">
        <f t="shared" si="0"/>
        <v>12.2</v>
      </c>
      <c r="I68" s="43">
        <f t="shared" si="1"/>
        <v>1.5637092731829574E-2</v>
      </c>
      <c r="J68" s="43">
        <f t="shared" si="2"/>
        <v>1.3919299999999999</v>
      </c>
      <c r="K68" s="43">
        <f t="shared" si="3"/>
        <v>3.812377415311391E-4</v>
      </c>
      <c r="L68" s="43">
        <f t="shared" ca="1" si="11"/>
        <v>0</v>
      </c>
      <c r="M68" s="43">
        <f t="shared" ca="1" si="4"/>
        <v>97.781126261923788</v>
      </c>
      <c r="N68" s="43">
        <f t="shared" ca="1" si="5"/>
        <v>1.0419298513089797E-3</v>
      </c>
      <c r="O68" s="43">
        <f t="shared" si="6"/>
        <v>97.679298245614021</v>
      </c>
      <c r="P68" s="43">
        <f t="shared" si="7"/>
        <v>1.0424728487886383E-3</v>
      </c>
      <c r="Q68" s="43">
        <f t="shared" si="8"/>
        <v>0.12369246754103497</v>
      </c>
      <c r="R68" s="144" t="e">
        <f t="shared" si="9"/>
        <v>#N/A</v>
      </c>
      <c r="S68" s="147" t="e">
        <f t="shared" si="10"/>
        <v>#N/A</v>
      </c>
    </row>
    <row r="69" spans="1:19">
      <c r="A69" s="144">
        <v>12.2</v>
      </c>
      <c r="B69" s="43">
        <v>8.6599999999999993E-3</v>
      </c>
      <c r="C69" s="43">
        <v>1.3919299999999999</v>
      </c>
      <c r="D69" s="43">
        <v>9.7014800000000001</v>
      </c>
      <c r="E69" s="147">
        <v>1.2</v>
      </c>
      <c r="F69" s="43"/>
      <c r="G69" s="39"/>
      <c r="H69" s="144">
        <f t="shared" si="0"/>
        <v>12.2</v>
      </c>
      <c r="I69" s="43">
        <f t="shared" si="1"/>
        <v>1.5637092731829574E-2</v>
      </c>
      <c r="J69" s="43">
        <f t="shared" si="2"/>
        <v>1.3919299999999999</v>
      </c>
      <c r="K69" s="43">
        <f t="shared" si="3"/>
        <v>3.812377415311391E-4</v>
      </c>
      <c r="L69" s="43">
        <f t="shared" ca="1" si="11"/>
        <v>0</v>
      </c>
      <c r="M69" s="43">
        <f t="shared" ca="1" si="4"/>
        <v>97.781126261923788</v>
      </c>
      <c r="N69" s="43">
        <f t="shared" ca="1" si="5"/>
        <v>1.0419298513089797E-3</v>
      </c>
      <c r="O69" s="43">
        <f t="shared" si="6"/>
        <v>97.679298245614021</v>
      </c>
      <c r="P69" s="43">
        <f t="shared" si="7"/>
        <v>1.0424728487886383E-3</v>
      </c>
      <c r="Q69" s="43">
        <f t="shared" si="8"/>
        <v>0.12369246754103497</v>
      </c>
      <c r="R69" s="144" t="e">
        <f t="shared" si="9"/>
        <v>#N/A</v>
      </c>
      <c r="S69" s="147" t="e">
        <f t="shared" si="10"/>
        <v>#N/A</v>
      </c>
    </row>
    <row r="70" spans="1:19">
      <c r="A70" s="144">
        <v>12.2</v>
      </c>
      <c r="B70" s="43">
        <v>8.6599999999999993E-3</v>
      </c>
      <c r="C70" s="43">
        <v>1.3919299999999999</v>
      </c>
      <c r="D70" s="43">
        <v>9.7014800000000001</v>
      </c>
      <c r="E70" s="147">
        <v>1.2</v>
      </c>
      <c r="F70" s="43"/>
      <c r="G70" s="39"/>
      <c r="H70" s="144">
        <f t="shared" si="0"/>
        <v>12.2</v>
      </c>
      <c r="I70" s="43">
        <f t="shared" si="1"/>
        <v>1.5637092731829574E-2</v>
      </c>
      <c r="J70" s="43">
        <f t="shared" si="2"/>
        <v>1.3919299999999999</v>
      </c>
      <c r="K70" s="43">
        <f t="shared" si="3"/>
        <v>3.812377415311391E-4</v>
      </c>
      <c r="L70" s="43">
        <f t="shared" ca="1" si="11"/>
        <v>0</v>
      </c>
      <c r="M70" s="43">
        <f t="shared" ca="1" si="4"/>
        <v>97.781126261923788</v>
      </c>
      <c r="N70" s="43">
        <f t="shared" ca="1" si="5"/>
        <v>1.0419298513089797E-3</v>
      </c>
      <c r="O70" s="43">
        <f t="shared" si="6"/>
        <v>97.679298245614021</v>
      </c>
      <c r="P70" s="43">
        <f t="shared" si="7"/>
        <v>1.0424728487886383E-3</v>
      </c>
      <c r="Q70" s="43">
        <f t="shared" si="8"/>
        <v>0.12369246754103497</v>
      </c>
      <c r="R70" s="144" t="e">
        <f t="shared" si="9"/>
        <v>#N/A</v>
      </c>
      <c r="S70" s="147" t="e">
        <f t="shared" si="10"/>
        <v>#N/A</v>
      </c>
    </row>
    <row r="71" spans="1:19">
      <c r="A71" s="144">
        <v>12.2</v>
      </c>
      <c r="B71" s="43">
        <v>8.6599999999999993E-3</v>
      </c>
      <c r="C71" s="43">
        <v>1.3919299999999999</v>
      </c>
      <c r="D71" s="43">
        <v>9.7014800000000001</v>
      </c>
      <c r="E71" s="147">
        <v>1.2</v>
      </c>
      <c r="F71" s="43"/>
      <c r="G71" s="39"/>
      <c r="H71" s="144">
        <f t="shared" si="0"/>
        <v>12.2</v>
      </c>
      <c r="I71" s="43">
        <f t="shared" si="1"/>
        <v>1.5637092731829574E-2</v>
      </c>
      <c r="J71" s="43">
        <f t="shared" si="2"/>
        <v>1.3919299999999999</v>
      </c>
      <c r="K71" s="43">
        <f t="shared" si="3"/>
        <v>3.812377415311391E-4</v>
      </c>
      <c r="L71" s="43">
        <f t="shared" ca="1" si="11"/>
        <v>0</v>
      </c>
      <c r="M71" s="43">
        <f t="shared" ca="1" si="4"/>
        <v>97.781126261923788</v>
      </c>
      <c r="N71" s="43">
        <f t="shared" ca="1" si="5"/>
        <v>1.0419298513089797E-3</v>
      </c>
      <c r="O71" s="43">
        <f t="shared" si="6"/>
        <v>97.679298245614021</v>
      </c>
      <c r="P71" s="43">
        <f t="shared" si="7"/>
        <v>1.0424728487886383E-3</v>
      </c>
      <c r="Q71" s="43">
        <f t="shared" si="8"/>
        <v>0.12369246754103497</v>
      </c>
      <c r="R71" s="144" t="e">
        <f t="shared" si="9"/>
        <v>#N/A</v>
      </c>
      <c r="S71" s="147" t="e">
        <f t="shared" si="10"/>
        <v>#N/A</v>
      </c>
    </row>
    <row r="72" spans="1:19">
      <c r="A72" s="144">
        <v>12.2</v>
      </c>
      <c r="B72" s="43">
        <v>8.6599999999999993E-3</v>
      </c>
      <c r="C72" s="43">
        <v>1.3919299999999999</v>
      </c>
      <c r="D72" s="43">
        <v>9.7014800000000001</v>
      </c>
      <c r="E72" s="147">
        <v>1.2</v>
      </c>
      <c r="F72" s="43"/>
      <c r="G72" s="39"/>
      <c r="H72" s="144">
        <f t="shared" si="0"/>
        <v>12.2</v>
      </c>
      <c r="I72" s="43">
        <f t="shared" si="1"/>
        <v>1.5637092731829574E-2</v>
      </c>
      <c r="J72" s="43">
        <f t="shared" si="2"/>
        <v>1.3919299999999999</v>
      </c>
      <c r="K72" s="43">
        <f t="shared" si="3"/>
        <v>3.812377415311391E-4</v>
      </c>
      <c r="L72" s="43">
        <f t="shared" ca="1" si="11"/>
        <v>0</v>
      </c>
      <c r="M72" s="43">
        <f t="shared" ca="1" si="4"/>
        <v>97.781126261923788</v>
      </c>
      <c r="N72" s="43">
        <f t="shared" ca="1" si="5"/>
        <v>1.0419298513089797E-3</v>
      </c>
      <c r="O72" s="43">
        <f t="shared" si="6"/>
        <v>97.679298245614021</v>
      </c>
      <c r="P72" s="43">
        <f t="shared" si="7"/>
        <v>1.0424728487886383E-3</v>
      </c>
      <c r="Q72" s="43">
        <f t="shared" si="8"/>
        <v>0.12369246754103497</v>
      </c>
      <c r="R72" s="144" t="e">
        <f t="shared" si="9"/>
        <v>#N/A</v>
      </c>
      <c r="S72" s="147" t="e">
        <f t="shared" si="10"/>
        <v>#N/A</v>
      </c>
    </row>
    <row r="73" spans="1:19">
      <c r="A73" s="144">
        <v>12.2</v>
      </c>
      <c r="B73" s="43">
        <v>8.6599999999999993E-3</v>
      </c>
      <c r="C73" s="43">
        <v>1.3919299999999999</v>
      </c>
      <c r="D73" s="43">
        <v>9.7014800000000001</v>
      </c>
      <c r="E73" s="147">
        <v>1.2</v>
      </c>
      <c r="F73" s="43"/>
      <c r="G73" s="39"/>
      <c r="H73" s="144">
        <f t="shared" si="0"/>
        <v>12.2</v>
      </c>
      <c r="I73" s="43">
        <f t="shared" si="1"/>
        <v>1.5637092731829574E-2</v>
      </c>
      <c r="J73" s="43">
        <f t="shared" si="2"/>
        <v>1.3919299999999999</v>
      </c>
      <c r="K73" s="43">
        <f t="shared" si="3"/>
        <v>3.812377415311391E-4</v>
      </c>
      <c r="L73" s="43">
        <f t="shared" ca="1" si="11"/>
        <v>0</v>
      </c>
      <c r="M73" s="43">
        <f t="shared" ca="1" si="4"/>
        <v>97.781126261923788</v>
      </c>
      <c r="N73" s="43">
        <f t="shared" ca="1" si="5"/>
        <v>1.0419298513089797E-3</v>
      </c>
      <c r="O73" s="43">
        <f t="shared" si="6"/>
        <v>97.679298245614021</v>
      </c>
      <c r="P73" s="43">
        <f t="shared" si="7"/>
        <v>1.0424728487886383E-3</v>
      </c>
      <c r="Q73" s="43">
        <f t="shared" si="8"/>
        <v>0.12369246754103497</v>
      </c>
      <c r="R73" s="144" t="e">
        <f t="shared" si="9"/>
        <v>#N/A</v>
      </c>
      <c r="S73" s="147" t="e">
        <f t="shared" si="10"/>
        <v>#N/A</v>
      </c>
    </row>
    <row r="74" spans="1:19">
      <c r="A74" s="144">
        <v>12.2</v>
      </c>
      <c r="B74" s="43">
        <v>8.6599999999999993E-3</v>
      </c>
      <c r="C74" s="43">
        <v>1.3919299999999999</v>
      </c>
      <c r="D74" s="43">
        <v>9.7014800000000001</v>
      </c>
      <c r="E74" s="147">
        <v>1.2</v>
      </c>
      <c r="F74" s="43"/>
      <c r="G74" s="39"/>
      <c r="H74" s="144">
        <f t="shared" si="0"/>
        <v>12.2</v>
      </c>
      <c r="I74" s="43">
        <f t="shared" si="1"/>
        <v>1.5637092731829574E-2</v>
      </c>
      <c r="J74" s="43">
        <f t="shared" si="2"/>
        <v>1.3919299999999999</v>
      </c>
      <c r="K74" s="43">
        <f t="shared" si="3"/>
        <v>3.812377415311391E-4</v>
      </c>
      <c r="L74" s="43">
        <f t="shared" ca="1" si="11"/>
        <v>0</v>
      </c>
      <c r="M74" s="43">
        <f t="shared" ca="1" si="4"/>
        <v>97.781126261923788</v>
      </c>
      <c r="N74" s="43">
        <f t="shared" ca="1" si="5"/>
        <v>1.0419298513089797E-3</v>
      </c>
      <c r="O74" s="43">
        <f t="shared" si="6"/>
        <v>97.679298245614021</v>
      </c>
      <c r="P74" s="43">
        <f t="shared" si="7"/>
        <v>1.0424728487886383E-3</v>
      </c>
      <c r="Q74" s="43">
        <f t="shared" si="8"/>
        <v>0.12369246754103497</v>
      </c>
      <c r="R74" s="144" t="e">
        <f t="shared" si="9"/>
        <v>#N/A</v>
      </c>
      <c r="S74" s="147" t="e">
        <f t="shared" si="10"/>
        <v>#N/A</v>
      </c>
    </row>
    <row r="75" spans="1:19">
      <c r="A75" s="144">
        <v>12.2</v>
      </c>
      <c r="B75" s="43">
        <v>8.6599999999999993E-3</v>
      </c>
      <c r="C75" s="43">
        <v>1.3919299999999999</v>
      </c>
      <c r="D75" s="43">
        <v>9.7014800000000001</v>
      </c>
      <c r="E75" s="147">
        <v>1.2</v>
      </c>
      <c r="F75" s="43"/>
      <c r="G75" s="39"/>
      <c r="H75" s="144">
        <f t="shared" si="0"/>
        <v>12.2</v>
      </c>
      <c r="I75" s="43">
        <f t="shared" si="1"/>
        <v>1.5637092731829574E-2</v>
      </c>
      <c r="J75" s="43">
        <f t="shared" si="2"/>
        <v>1.3919299999999999</v>
      </c>
      <c r="K75" s="43">
        <f t="shared" si="3"/>
        <v>3.812377415311391E-4</v>
      </c>
      <c r="L75" s="43">
        <f t="shared" ca="1" si="11"/>
        <v>0</v>
      </c>
      <c r="M75" s="43">
        <f t="shared" ca="1" si="4"/>
        <v>97.781126261923788</v>
      </c>
      <c r="N75" s="43">
        <f t="shared" ca="1" si="5"/>
        <v>1.0419298513089797E-3</v>
      </c>
      <c r="O75" s="43">
        <f t="shared" si="6"/>
        <v>97.679298245614021</v>
      </c>
      <c r="P75" s="43">
        <f t="shared" si="7"/>
        <v>1.0424728487886383E-3</v>
      </c>
      <c r="Q75" s="43">
        <f t="shared" si="8"/>
        <v>0.12369246754103497</v>
      </c>
      <c r="R75" s="144" t="e">
        <f t="shared" si="9"/>
        <v>#N/A</v>
      </c>
      <c r="S75" s="147" t="e">
        <f t="shared" si="10"/>
        <v>#N/A</v>
      </c>
    </row>
    <row r="76" spans="1:19">
      <c r="A76" s="144">
        <v>12.2</v>
      </c>
      <c r="B76" s="43">
        <v>8.6599999999999993E-3</v>
      </c>
      <c r="C76" s="43">
        <v>1.3919299999999999</v>
      </c>
      <c r="D76" s="43">
        <v>9.7014800000000001</v>
      </c>
      <c r="E76" s="147">
        <v>1.2</v>
      </c>
      <c r="F76" s="43"/>
      <c r="G76" s="39"/>
      <c r="H76" s="144">
        <f t="shared" si="0"/>
        <v>12.2</v>
      </c>
      <c r="I76" s="43">
        <f t="shared" si="1"/>
        <v>1.5637092731829574E-2</v>
      </c>
      <c r="J76" s="43">
        <f t="shared" si="2"/>
        <v>1.3919299999999999</v>
      </c>
      <c r="K76" s="43">
        <f t="shared" si="3"/>
        <v>3.812377415311391E-4</v>
      </c>
      <c r="L76" s="43">
        <f t="shared" ca="1" si="11"/>
        <v>0</v>
      </c>
      <c r="M76" s="43">
        <f t="shared" ca="1" si="4"/>
        <v>97.781126261923788</v>
      </c>
      <c r="N76" s="43">
        <f t="shared" ca="1" si="5"/>
        <v>1.0419298513089797E-3</v>
      </c>
      <c r="O76" s="43">
        <f t="shared" si="6"/>
        <v>97.679298245614021</v>
      </c>
      <c r="P76" s="43">
        <f t="shared" si="7"/>
        <v>1.0424728487886383E-3</v>
      </c>
      <c r="Q76" s="43">
        <f t="shared" si="8"/>
        <v>0.12369246754103497</v>
      </c>
      <c r="R76" s="144" t="e">
        <f t="shared" si="9"/>
        <v>#N/A</v>
      </c>
      <c r="S76" s="147" t="e">
        <f t="shared" si="10"/>
        <v>#N/A</v>
      </c>
    </row>
    <row r="77" spans="1:19">
      <c r="A77" s="144">
        <v>12.2</v>
      </c>
      <c r="B77" s="43">
        <v>8.6599999999999993E-3</v>
      </c>
      <c r="C77" s="43">
        <v>1.3919299999999999</v>
      </c>
      <c r="D77" s="43">
        <v>9.7014800000000001</v>
      </c>
      <c r="E77" s="147">
        <v>1.2</v>
      </c>
      <c r="F77" s="43"/>
      <c r="G77" s="39"/>
      <c r="H77" s="144">
        <f t="shared" si="0"/>
        <v>12.2</v>
      </c>
      <c r="I77" s="43">
        <f t="shared" si="1"/>
        <v>1.5637092731829574E-2</v>
      </c>
      <c r="J77" s="43">
        <f t="shared" si="2"/>
        <v>1.3919299999999999</v>
      </c>
      <c r="K77" s="43">
        <f t="shared" si="3"/>
        <v>3.812377415311391E-4</v>
      </c>
      <c r="L77" s="43">
        <f t="shared" ca="1" si="11"/>
        <v>0</v>
      </c>
      <c r="M77" s="43">
        <f t="shared" ca="1" si="4"/>
        <v>97.781126261923788</v>
      </c>
      <c r="N77" s="43">
        <f t="shared" ca="1" si="5"/>
        <v>1.0419298513089797E-3</v>
      </c>
      <c r="O77" s="43">
        <f t="shared" si="6"/>
        <v>97.679298245614021</v>
      </c>
      <c r="P77" s="43">
        <f t="shared" si="7"/>
        <v>1.0424728487886383E-3</v>
      </c>
      <c r="Q77" s="43">
        <f t="shared" si="8"/>
        <v>0.12369246754103497</v>
      </c>
      <c r="R77" s="144" t="e">
        <f t="shared" si="9"/>
        <v>#N/A</v>
      </c>
      <c r="S77" s="147" t="e">
        <f t="shared" si="10"/>
        <v>#N/A</v>
      </c>
    </row>
    <row r="78" spans="1:19">
      <c r="A78" s="144">
        <v>12.2</v>
      </c>
      <c r="B78" s="43">
        <v>8.6599999999999993E-3</v>
      </c>
      <c r="C78" s="43">
        <v>1.3919299999999999</v>
      </c>
      <c r="D78" s="43">
        <v>9.7014800000000001</v>
      </c>
      <c r="E78" s="147">
        <v>1.2</v>
      </c>
      <c r="F78" s="43"/>
      <c r="G78" s="39"/>
      <c r="H78" s="144">
        <f t="shared" si="0"/>
        <v>12.2</v>
      </c>
      <c r="I78" s="43">
        <f t="shared" si="1"/>
        <v>1.5637092731829574E-2</v>
      </c>
      <c r="J78" s="43">
        <f t="shared" si="2"/>
        <v>1.3919299999999999</v>
      </c>
      <c r="K78" s="43">
        <f t="shared" si="3"/>
        <v>3.812377415311391E-4</v>
      </c>
      <c r="L78" s="43">
        <f t="shared" ca="1" si="11"/>
        <v>0</v>
      </c>
      <c r="M78" s="43">
        <f t="shared" ca="1" si="4"/>
        <v>97.781126261923788</v>
      </c>
      <c r="N78" s="43">
        <f t="shared" ca="1" si="5"/>
        <v>1.0419298513089797E-3</v>
      </c>
      <c r="O78" s="43">
        <f t="shared" si="6"/>
        <v>97.679298245614021</v>
      </c>
      <c r="P78" s="43">
        <f t="shared" si="7"/>
        <v>1.0424728487886383E-3</v>
      </c>
      <c r="Q78" s="43">
        <f t="shared" si="8"/>
        <v>0.12369246754103497</v>
      </c>
      <c r="R78" s="144" t="e">
        <f t="shared" si="9"/>
        <v>#N/A</v>
      </c>
      <c r="S78" s="147" t="e">
        <f t="shared" si="10"/>
        <v>#N/A</v>
      </c>
    </row>
    <row r="79" spans="1:19">
      <c r="A79" s="144">
        <v>12.2</v>
      </c>
      <c r="B79" s="43">
        <v>8.6599999999999993E-3</v>
      </c>
      <c r="C79" s="43">
        <v>1.3919299999999999</v>
      </c>
      <c r="D79" s="43">
        <v>9.7014800000000001</v>
      </c>
      <c r="E79" s="147">
        <v>1.2</v>
      </c>
      <c r="F79" s="43"/>
      <c r="G79" s="39"/>
      <c r="H79" s="144">
        <f t="shared" si="0"/>
        <v>12.2</v>
      </c>
      <c r="I79" s="43">
        <f t="shared" si="1"/>
        <v>1.5637092731829574E-2</v>
      </c>
      <c r="J79" s="43">
        <f t="shared" si="2"/>
        <v>1.3919299999999999</v>
      </c>
      <c r="K79" s="43">
        <f t="shared" si="3"/>
        <v>3.812377415311391E-4</v>
      </c>
      <c r="L79" s="43">
        <f t="shared" ca="1" si="11"/>
        <v>0</v>
      </c>
      <c r="M79" s="43">
        <f t="shared" ca="1" si="4"/>
        <v>97.781126261923788</v>
      </c>
      <c r="N79" s="43">
        <f t="shared" ca="1" si="5"/>
        <v>1.0419298513089797E-3</v>
      </c>
      <c r="O79" s="43">
        <f t="shared" si="6"/>
        <v>97.679298245614021</v>
      </c>
      <c r="P79" s="43">
        <f t="shared" si="7"/>
        <v>1.0424728487886383E-3</v>
      </c>
      <c r="Q79" s="43">
        <f t="shared" si="8"/>
        <v>0.12369246754103497</v>
      </c>
      <c r="R79" s="144" t="e">
        <f t="shared" si="9"/>
        <v>#N/A</v>
      </c>
      <c r="S79" s="147" t="e">
        <f t="shared" si="10"/>
        <v>#N/A</v>
      </c>
    </row>
    <row r="80" spans="1:19">
      <c r="A80" s="144">
        <v>12.2</v>
      </c>
      <c r="B80" s="43">
        <v>8.6599999999999993E-3</v>
      </c>
      <c r="C80" s="43">
        <v>1.3919299999999999</v>
      </c>
      <c r="D80" s="43">
        <v>9.7014800000000001</v>
      </c>
      <c r="E80" s="147">
        <v>1.2</v>
      </c>
      <c r="F80" s="43"/>
      <c r="G80" s="39"/>
      <c r="H80" s="144">
        <f t="shared" ref="H80:H143" si="12">A80</f>
        <v>12.2</v>
      </c>
      <c r="I80" s="43">
        <f t="shared" ref="I80:I143" si="13">B80+$G$7</f>
        <v>1.5637092731829574E-2</v>
      </c>
      <c r="J80" s="43">
        <f t="shared" ref="J80:J143" si="14">C80</f>
        <v>1.3919299999999999</v>
      </c>
      <c r="K80" s="43">
        <f t="shared" ref="K80:K143" si="15">(P80-(O80/$I$9))</f>
        <v>3.812377415311391E-4</v>
      </c>
      <c r="L80" s="43">
        <f t="shared" ref="L80:L143" ca="1" si="16">IF(I80&lt;$I$5,(LN(D80/$D$15))/LN(($I$10*$D$15)/((B80+$I$10)*D80)),#N/A)</f>
        <v>0</v>
      </c>
      <c r="M80" s="43">
        <f t="shared" ref="M80:M143" ca="1" si="17">IF(I80&lt;$I$5,O80*(1+P80),#N/A)</f>
        <v>97.781126261923788</v>
      </c>
      <c r="N80" s="43">
        <f t="shared" ref="N80:N143" ca="1" si="18">IF(I80&lt;$I$5,LN(1+P80),#N/A)</f>
        <v>1.0419298513089797E-3</v>
      </c>
      <c r="O80" s="43">
        <f t="shared" ref="O80:O143" si="19">(C80*1000)/$I$7</f>
        <v>97.679298245614021</v>
      </c>
      <c r="P80" s="43">
        <f t="shared" ref="P80:P143" si="20">I80/$I$10</f>
        <v>1.0424728487886383E-3</v>
      </c>
      <c r="Q80" s="43">
        <f t="shared" ref="Q80:Q143" si="21">E80/$D$15</f>
        <v>0.12369246754103497</v>
      </c>
      <c r="R80" s="144" t="e">
        <f t="shared" ref="R80:R143" si="22">IF(AND(($N$8/100)&lt;K80,($N$9/100)&gt;K80),LN(1-Q80),#N/A)</f>
        <v>#N/A</v>
      </c>
      <c r="S80" s="147" t="e">
        <f t="shared" ref="S80:S143" si="23">IF(AND(($N$8/100)&lt;K80,($N$9/100)&gt;K80),LN(1+P80),#N/A)</f>
        <v>#N/A</v>
      </c>
    </row>
    <row r="81" spans="1:19">
      <c r="A81" s="144">
        <v>12.2</v>
      </c>
      <c r="B81" s="43">
        <v>8.6599999999999993E-3</v>
      </c>
      <c r="C81" s="43">
        <v>1.3919299999999999</v>
      </c>
      <c r="D81" s="43">
        <v>9.7014800000000001</v>
      </c>
      <c r="E81" s="147">
        <v>1.2</v>
      </c>
      <c r="F81" s="43"/>
      <c r="G81" s="39"/>
      <c r="H81" s="144">
        <f t="shared" si="12"/>
        <v>12.2</v>
      </c>
      <c r="I81" s="43">
        <f t="shared" si="13"/>
        <v>1.5637092731829574E-2</v>
      </c>
      <c r="J81" s="43">
        <f t="shared" si="14"/>
        <v>1.3919299999999999</v>
      </c>
      <c r="K81" s="43">
        <f t="shared" si="15"/>
        <v>3.812377415311391E-4</v>
      </c>
      <c r="L81" s="43">
        <f t="shared" ca="1" si="16"/>
        <v>0</v>
      </c>
      <c r="M81" s="43">
        <f t="shared" ca="1" si="17"/>
        <v>97.781126261923788</v>
      </c>
      <c r="N81" s="43">
        <f t="shared" ca="1" si="18"/>
        <v>1.0419298513089797E-3</v>
      </c>
      <c r="O81" s="43">
        <f t="shared" si="19"/>
        <v>97.679298245614021</v>
      </c>
      <c r="P81" s="43">
        <f t="shared" si="20"/>
        <v>1.0424728487886383E-3</v>
      </c>
      <c r="Q81" s="43">
        <f t="shared" si="21"/>
        <v>0.12369246754103497</v>
      </c>
      <c r="R81" s="144" t="e">
        <f t="shared" si="22"/>
        <v>#N/A</v>
      </c>
      <c r="S81" s="147" t="e">
        <f t="shared" si="23"/>
        <v>#N/A</v>
      </c>
    </row>
    <row r="82" spans="1:19">
      <c r="A82" s="144">
        <v>12.2</v>
      </c>
      <c r="B82" s="43">
        <v>8.6599999999999993E-3</v>
      </c>
      <c r="C82" s="43">
        <v>1.3919299999999999</v>
      </c>
      <c r="D82" s="43">
        <v>9.7014800000000001</v>
      </c>
      <c r="E82" s="147">
        <v>1.2</v>
      </c>
      <c r="F82" s="43"/>
      <c r="G82" s="39"/>
      <c r="H82" s="144">
        <f t="shared" si="12"/>
        <v>12.2</v>
      </c>
      <c r="I82" s="43">
        <f t="shared" si="13"/>
        <v>1.5637092731829574E-2</v>
      </c>
      <c r="J82" s="43">
        <f t="shared" si="14"/>
        <v>1.3919299999999999</v>
      </c>
      <c r="K82" s="43">
        <f t="shared" si="15"/>
        <v>3.812377415311391E-4</v>
      </c>
      <c r="L82" s="43">
        <f t="shared" ca="1" si="16"/>
        <v>0</v>
      </c>
      <c r="M82" s="43">
        <f t="shared" ca="1" si="17"/>
        <v>97.781126261923788</v>
      </c>
      <c r="N82" s="43">
        <f t="shared" ca="1" si="18"/>
        <v>1.0419298513089797E-3</v>
      </c>
      <c r="O82" s="43">
        <f t="shared" si="19"/>
        <v>97.679298245614021</v>
      </c>
      <c r="P82" s="43">
        <f t="shared" si="20"/>
        <v>1.0424728487886383E-3</v>
      </c>
      <c r="Q82" s="43">
        <f t="shared" si="21"/>
        <v>0.12369246754103497</v>
      </c>
      <c r="R82" s="144" t="e">
        <f t="shared" si="22"/>
        <v>#N/A</v>
      </c>
      <c r="S82" s="147" t="e">
        <f t="shared" si="23"/>
        <v>#N/A</v>
      </c>
    </row>
    <row r="83" spans="1:19">
      <c r="A83" s="144">
        <v>12.2</v>
      </c>
      <c r="B83" s="43">
        <v>8.6599999999999993E-3</v>
      </c>
      <c r="C83" s="43">
        <v>1.3919299999999999</v>
      </c>
      <c r="D83" s="43">
        <v>9.7014800000000001</v>
      </c>
      <c r="E83" s="147">
        <v>1.2</v>
      </c>
      <c r="F83" s="43"/>
      <c r="G83" s="39"/>
      <c r="H83" s="144">
        <f t="shared" si="12"/>
        <v>12.2</v>
      </c>
      <c r="I83" s="43">
        <f t="shared" si="13"/>
        <v>1.5637092731829574E-2</v>
      </c>
      <c r="J83" s="43">
        <f t="shared" si="14"/>
        <v>1.3919299999999999</v>
      </c>
      <c r="K83" s="43">
        <f t="shared" si="15"/>
        <v>3.812377415311391E-4</v>
      </c>
      <c r="L83" s="43">
        <f t="shared" ca="1" si="16"/>
        <v>0</v>
      </c>
      <c r="M83" s="43">
        <f t="shared" ca="1" si="17"/>
        <v>97.781126261923788</v>
      </c>
      <c r="N83" s="43">
        <f t="shared" ca="1" si="18"/>
        <v>1.0419298513089797E-3</v>
      </c>
      <c r="O83" s="43">
        <f t="shared" si="19"/>
        <v>97.679298245614021</v>
      </c>
      <c r="P83" s="43">
        <f t="shared" si="20"/>
        <v>1.0424728487886383E-3</v>
      </c>
      <c r="Q83" s="43">
        <f t="shared" si="21"/>
        <v>0.12369246754103497</v>
      </c>
      <c r="R83" s="144" t="e">
        <f t="shared" si="22"/>
        <v>#N/A</v>
      </c>
      <c r="S83" s="147" t="e">
        <f t="shared" si="23"/>
        <v>#N/A</v>
      </c>
    </row>
    <row r="84" spans="1:19">
      <c r="A84" s="144">
        <v>12.2</v>
      </c>
      <c r="B84" s="43">
        <v>8.6599999999999993E-3</v>
      </c>
      <c r="C84" s="43">
        <v>1.3919299999999999</v>
      </c>
      <c r="D84" s="43">
        <v>9.7014800000000001</v>
      </c>
      <c r="E84" s="147">
        <v>1.2</v>
      </c>
      <c r="F84" s="43"/>
      <c r="G84" s="39"/>
      <c r="H84" s="144">
        <f t="shared" si="12"/>
        <v>12.2</v>
      </c>
      <c r="I84" s="43">
        <f t="shared" si="13"/>
        <v>1.5637092731829574E-2</v>
      </c>
      <c r="J84" s="43">
        <f t="shared" si="14"/>
        <v>1.3919299999999999</v>
      </c>
      <c r="K84" s="43">
        <f t="shared" si="15"/>
        <v>3.812377415311391E-4</v>
      </c>
      <c r="L84" s="43">
        <f t="shared" ca="1" si="16"/>
        <v>0</v>
      </c>
      <c r="M84" s="43">
        <f t="shared" ca="1" si="17"/>
        <v>97.781126261923788</v>
      </c>
      <c r="N84" s="43">
        <f t="shared" ca="1" si="18"/>
        <v>1.0419298513089797E-3</v>
      </c>
      <c r="O84" s="43">
        <f t="shared" si="19"/>
        <v>97.679298245614021</v>
      </c>
      <c r="P84" s="43">
        <f t="shared" si="20"/>
        <v>1.0424728487886383E-3</v>
      </c>
      <c r="Q84" s="43">
        <f t="shared" si="21"/>
        <v>0.12369246754103497</v>
      </c>
      <c r="R84" s="144" t="e">
        <f t="shared" si="22"/>
        <v>#N/A</v>
      </c>
      <c r="S84" s="147" t="e">
        <f t="shared" si="23"/>
        <v>#N/A</v>
      </c>
    </row>
    <row r="85" spans="1:19">
      <c r="A85" s="144">
        <v>12.2</v>
      </c>
      <c r="B85" s="43">
        <v>8.6599999999999993E-3</v>
      </c>
      <c r="C85" s="43">
        <v>1.3919299999999999</v>
      </c>
      <c r="D85" s="43">
        <v>9.7014800000000001</v>
      </c>
      <c r="E85" s="147">
        <v>1.2</v>
      </c>
      <c r="F85" s="43"/>
      <c r="G85" s="39"/>
      <c r="H85" s="144">
        <f t="shared" si="12"/>
        <v>12.2</v>
      </c>
      <c r="I85" s="43">
        <f t="shared" si="13"/>
        <v>1.5637092731829574E-2</v>
      </c>
      <c r="J85" s="43">
        <f t="shared" si="14"/>
        <v>1.3919299999999999</v>
      </c>
      <c r="K85" s="43">
        <f t="shared" si="15"/>
        <v>3.812377415311391E-4</v>
      </c>
      <c r="L85" s="43">
        <f t="shared" ca="1" si="16"/>
        <v>0</v>
      </c>
      <c r="M85" s="43">
        <f t="shared" ca="1" si="17"/>
        <v>97.781126261923788</v>
      </c>
      <c r="N85" s="43">
        <f t="shared" ca="1" si="18"/>
        <v>1.0419298513089797E-3</v>
      </c>
      <c r="O85" s="43">
        <f t="shared" si="19"/>
        <v>97.679298245614021</v>
      </c>
      <c r="P85" s="43">
        <f t="shared" si="20"/>
        <v>1.0424728487886383E-3</v>
      </c>
      <c r="Q85" s="43">
        <f t="shared" si="21"/>
        <v>0.12369246754103497</v>
      </c>
      <c r="R85" s="144" t="e">
        <f t="shared" si="22"/>
        <v>#N/A</v>
      </c>
      <c r="S85" s="147" t="e">
        <f t="shared" si="23"/>
        <v>#N/A</v>
      </c>
    </row>
    <row r="86" spans="1:19">
      <c r="A86" s="144">
        <v>12.2</v>
      </c>
      <c r="B86" s="43">
        <v>8.6599999999999993E-3</v>
      </c>
      <c r="C86" s="43">
        <v>1.3919299999999999</v>
      </c>
      <c r="D86" s="43">
        <v>9.7014800000000001</v>
      </c>
      <c r="E86" s="147">
        <v>1.2</v>
      </c>
      <c r="F86" s="43"/>
      <c r="G86" s="39"/>
      <c r="H86" s="144">
        <f t="shared" si="12"/>
        <v>12.2</v>
      </c>
      <c r="I86" s="43">
        <f t="shared" si="13"/>
        <v>1.5637092731829574E-2</v>
      </c>
      <c r="J86" s="43">
        <f t="shared" si="14"/>
        <v>1.3919299999999999</v>
      </c>
      <c r="K86" s="43">
        <f t="shared" si="15"/>
        <v>3.812377415311391E-4</v>
      </c>
      <c r="L86" s="43">
        <f t="shared" ca="1" si="16"/>
        <v>0</v>
      </c>
      <c r="M86" s="43">
        <f t="shared" ca="1" si="17"/>
        <v>97.781126261923788</v>
      </c>
      <c r="N86" s="43">
        <f t="shared" ca="1" si="18"/>
        <v>1.0419298513089797E-3</v>
      </c>
      <c r="O86" s="43">
        <f t="shared" si="19"/>
        <v>97.679298245614021</v>
      </c>
      <c r="P86" s="43">
        <f t="shared" si="20"/>
        <v>1.0424728487886383E-3</v>
      </c>
      <c r="Q86" s="43">
        <f t="shared" si="21"/>
        <v>0.12369246754103497</v>
      </c>
      <c r="R86" s="144" t="e">
        <f t="shared" si="22"/>
        <v>#N/A</v>
      </c>
      <c r="S86" s="147" t="e">
        <f t="shared" si="23"/>
        <v>#N/A</v>
      </c>
    </row>
    <row r="87" spans="1:19">
      <c r="A87" s="144">
        <v>12.2</v>
      </c>
      <c r="B87" s="43">
        <v>8.6599999999999993E-3</v>
      </c>
      <c r="C87" s="43">
        <v>1.3919299999999999</v>
      </c>
      <c r="D87" s="43">
        <v>9.7014800000000001</v>
      </c>
      <c r="E87" s="147">
        <v>1.2</v>
      </c>
      <c r="F87" s="43"/>
      <c r="G87" s="39"/>
      <c r="H87" s="144">
        <f t="shared" si="12"/>
        <v>12.2</v>
      </c>
      <c r="I87" s="43">
        <f t="shared" si="13"/>
        <v>1.5637092731829574E-2</v>
      </c>
      <c r="J87" s="43">
        <f t="shared" si="14"/>
        <v>1.3919299999999999</v>
      </c>
      <c r="K87" s="43">
        <f t="shared" si="15"/>
        <v>3.812377415311391E-4</v>
      </c>
      <c r="L87" s="43">
        <f t="shared" ca="1" si="16"/>
        <v>0</v>
      </c>
      <c r="M87" s="43">
        <f t="shared" ca="1" si="17"/>
        <v>97.781126261923788</v>
      </c>
      <c r="N87" s="43">
        <f t="shared" ca="1" si="18"/>
        <v>1.0419298513089797E-3</v>
      </c>
      <c r="O87" s="43">
        <f t="shared" si="19"/>
        <v>97.679298245614021</v>
      </c>
      <c r="P87" s="43">
        <f t="shared" si="20"/>
        <v>1.0424728487886383E-3</v>
      </c>
      <c r="Q87" s="43">
        <f t="shared" si="21"/>
        <v>0.12369246754103497</v>
      </c>
      <c r="R87" s="144" t="e">
        <f t="shared" si="22"/>
        <v>#N/A</v>
      </c>
      <c r="S87" s="147" t="e">
        <f t="shared" si="23"/>
        <v>#N/A</v>
      </c>
    </row>
    <row r="88" spans="1:19">
      <c r="A88" s="144">
        <v>12.2</v>
      </c>
      <c r="B88" s="43">
        <v>8.6599999999999993E-3</v>
      </c>
      <c r="C88" s="43">
        <v>1.3919299999999999</v>
      </c>
      <c r="D88" s="43">
        <v>9.7014800000000001</v>
      </c>
      <c r="E88" s="147">
        <v>1.2</v>
      </c>
      <c r="F88" s="43"/>
      <c r="G88" s="39"/>
      <c r="H88" s="144">
        <f t="shared" si="12"/>
        <v>12.2</v>
      </c>
      <c r="I88" s="43">
        <f t="shared" si="13"/>
        <v>1.5637092731829574E-2</v>
      </c>
      <c r="J88" s="43">
        <f t="shared" si="14"/>
        <v>1.3919299999999999</v>
      </c>
      <c r="K88" s="43">
        <f t="shared" si="15"/>
        <v>3.812377415311391E-4</v>
      </c>
      <c r="L88" s="43">
        <f t="shared" ca="1" si="16"/>
        <v>0</v>
      </c>
      <c r="M88" s="43">
        <f t="shared" ca="1" si="17"/>
        <v>97.781126261923788</v>
      </c>
      <c r="N88" s="43">
        <f t="shared" ca="1" si="18"/>
        <v>1.0419298513089797E-3</v>
      </c>
      <c r="O88" s="43">
        <f t="shared" si="19"/>
        <v>97.679298245614021</v>
      </c>
      <c r="P88" s="43">
        <f t="shared" si="20"/>
        <v>1.0424728487886383E-3</v>
      </c>
      <c r="Q88" s="43">
        <f t="shared" si="21"/>
        <v>0.12369246754103497</v>
      </c>
      <c r="R88" s="144" t="e">
        <f t="shared" si="22"/>
        <v>#N/A</v>
      </c>
      <c r="S88" s="147" t="e">
        <f t="shared" si="23"/>
        <v>#N/A</v>
      </c>
    </row>
    <row r="89" spans="1:19">
      <c r="A89" s="144">
        <v>12.2</v>
      </c>
      <c r="B89" s="43">
        <v>8.6599999999999993E-3</v>
      </c>
      <c r="C89" s="43">
        <v>1.3919299999999999</v>
      </c>
      <c r="D89" s="43">
        <v>9.7014800000000001</v>
      </c>
      <c r="E89" s="147">
        <v>1.2</v>
      </c>
      <c r="F89" s="43"/>
      <c r="G89" s="39"/>
      <c r="H89" s="144">
        <f t="shared" si="12"/>
        <v>12.2</v>
      </c>
      <c r="I89" s="43">
        <f t="shared" si="13"/>
        <v>1.5637092731829574E-2</v>
      </c>
      <c r="J89" s="43">
        <f t="shared" si="14"/>
        <v>1.3919299999999999</v>
      </c>
      <c r="K89" s="43">
        <f t="shared" si="15"/>
        <v>3.812377415311391E-4</v>
      </c>
      <c r="L89" s="43">
        <f t="shared" ca="1" si="16"/>
        <v>0</v>
      </c>
      <c r="M89" s="43">
        <f t="shared" ca="1" si="17"/>
        <v>97.781126261923788</v>
      </c>
      <c r="N89" s="43">
        <f t="shared" ca="1" si="18"/>
        <v>1.0419298513089797E-3</v>
      </c>
      <c r="O89" s="43">
        <f t="shared" si="19"/>
        <v>97.679298245614021</v>
      </c>
      <c r="P89" s="43">
        <f t="shared" si="20"/>
        <v>1.0424728487886383E-3</v>
      </c>
      <c r="Q89" s="43">
        <f t="shared" si="21"/>
        <v>0.12369246754103497</v>
      </c>
      <c r="R89" s="144" t="e">
        <f t="shared" si="22"/>
        <v>#N/A</v>
      </c>
      <c r="S89" s="147" t="e">
        <f t="shared" si="23"/>
        <v>#N/A</v>
      </c>
    </row>
    <row r="90" spans="1:19">
      <c r="A90" s="144">
        <v>12.2</v>
      </c>
      <c r="B90" s="43">
        <v>8.6599999999999993E-3</v>
      </c>
      <c r="C90" s="43">
        <v>1.3919299999999999</v>
      </c>
      <c r="D90" s="43">
        <v>9.7014800000000001</v>
      </c>
      <c r="E90" s="147">
        <v>1.2</v>
      </c>
      <c r="F90" s="43"/>
      <c r="G90" s="39"/>
      <c r="H90" s="144">
        <f t="shared" si="12"/>
        <v>12.2</v>
      </c>
      <c r="I90" s="43">
        <f t="shared" si="13"/>
        <v>1.5637092731829574E-2</v>
      </c>
      <c r="J90" s="43">
        <f t="shared" si="14"/>
        <v>1.3919299999999999</v>
      </c>
      <c r="K90" s="43">
        <f t="shared" si="15"/>
        <v>3.812377415311391E-4</v>
      </c>
      <c r="L90" s="43">
        <f t="shared" ca="1" si="16"/>
        <v>0</v>
      </c>
      <c r="M90" s="43">
        <f t="shared" ca="1" si="17"/>
        <v>97.781126261923788</v>
      </c>
      <c r="N90" s="43">
        <f t="shared" ca="1" si="18"/>
        <v>1.0419298513089797E-3</v>
      </c>
      <c r="O90" s="43">
        <f t="shared" si="19"/>
        <v>97.679298245614021</v>
      </c>
      <c r="P90" s="43">
        <f t="shared" si="20"/>
        <v>1.0424728487886383E-3</v>
      </c>
      <c r="Q90" s="43">
        <f t="shared" si="21"/>
        <v>0.12369246754103497</v>
      </c>
      <c r="R90" s="144" t="e">
        <f t="shared" si="22"/>
        <v>#N/A</v>
      </c>
      <c r="S90" s="147" t="e">
        <f t="shared" si="23"/>
        <v>#N/A</v>
      </c>
    </row>
    <row r="91" spans="1:19">
      <c r="A91" s="144">
        <v>12.2</v>
      </c>
      <c r="B91" s="43">
        <v>8.6599999999999993E-3</v>
      </c>
      <c r="C91" s="43">
        <v>1.3919299999999999</v>
      </c>
      <c r="D91" s="43">
        <v>9.7014800000000001</v>
      </c>
      <c r="E91" s="147">
        <v>1.2</v>
      </c>
      <c r="F91" s="43"/>
      <c r="G91" s="39"/>
      <c r="H91" s="144">
        <f t="shared" si="12"/>
        <v>12.2</v>
      </c>
      <c r="I91" s="43">
        <f t="shared" si="13"/>
        <v>1.5637092731829574E-2</v>
      </c>
      <c r="J91" s="43">
        <f t="shared" si="14"/>
        <v>1.3919299999999999</v>
      </c>
      <c r="K91" s="43">
        <f t="shared" si="15"/>
        <v>3.812377415311391E-4</v>
      </c>
      <c r="L91" s="43">
        <f t="shared" ca="1" si="16"/>
        <v>0</v>
      </c>
      <c r="M91" s="43">
        <f t="shared" ca="1" si="17"/>
        <v>97.781126261923788</v>
      </c>
      <c r="N91" s="43">
        <f t="shared" ca="1" si="18"/>
        <v>1.0419298513089797E-3</v>
      </c>
      <c r="O91" s="43">
        <f t="shared" si="19"/>
        <v>97.679298245614021</v>
      </c>
      <c r="P91" s="43">
        <f t="shared" si="20"/>
        <v>1.0424728487886383E-3</v>
      </c>
      <c r="Q91" s="43">
        <f t="shared" si="21"/>
        <v>0.12369246754103497</v>
      </c>
      <c r="R91" s="144" t="e">
        <f t="shared" si="22"/>
        <v>#N/A</v>
      </c>
      <c r="S91" s="147" t="e">
        <f t="shared" si="23"/>
        <v>#N/A</v>
      </c>
    </row>
    <row r="92" spans="1:19">
      <c r="A92" s="144">
        <v>12.2</v>
      </c>
      <c r="B92" s="43">
        <v>8.6599999999999993E-3</v>
      </c>
      <c r="C92" s="43">
        <v>1.3919299999999999</v>
      </c>
      <c r="D92" s="43">
        <v>9.7014800000000001</v>
      </c>
      <c r="E92" s="147">
        <v>1.2</v>
      </c>
      <c r="F92" s="43"/>
      <c r="G92" s="39"/>
      <c r="H92" s="144">
        <f t="shared" si="12"/>
        <v>12.2</v>
      </c>
      <c r="I92" s="43">
        <f t="shared" si="13"/>
        <v>1.5637092731829574E-2</v>
      </c>
      <c r="J92" s="43">
        <f t="shared" si="14"/>
        <v>1.3919299999999999</v>
      </c>
      <c r="K92" s="43">
        <f t="shared" si="15"/>
        <v>3.812377415311391E-4</v>
      </c>
      <c r="L92" s="43">
        <f t="shared" ca="1" si="16"/>
        <v>0</v>
      </c>
      <c r="M92" s="43">
        <f t="shared" ca="1" si="17"/>
        <v>97.781126261923788</v>
      </c>
      <c r="N92" s="43">
        <f t="shared" ca="1" si="18"/>
        <v>1.0419298513089797E-3</v>
      </c>
      <c r="O92" s="43">
        <f t="shared" si="19"/>
        <v>97.679298245614021</v>
      </c>
      <c r="P92" s="43">
        <f t="shared" si="20"/>
        <v>1.0424728487886383E-3</v>
      </c>
      <c r="Q92" s="43">
        <f t="shared" si="21"/>
        <v>0.12369246754103497</v>
      </c>
      <c r="R92" s="144" t="e">
        <f t="shared" si="22"/>
        <v>#N/A</v>
      </c>
      <c r="S92" s="147" t="e">
        <f t="shared" si="23"/>
        <v>#N/A</v>
      </c>
    </row>
    <row r="93" spans="1:19">
      <c r="A93" s="144">
        <v>12.2</v>
      </c>
      <c r="B93" s="43">
        <v>8.6599999999999993E-3</v>
      </c>
      <c r="C93" s="43">
        <v>1.3919299999999999</v>
      </c>
      <c r="D93" s="43">
        <v>9.7014800000000001</v>
      </c>
      <c r="E93" s="147">
        <v>1.2</v>
      </c>
      <c r="F93" s="43"/>
      <c r="G93" s="39"/>
      <c r="H93" s="144">
        <f t="shared" si="12"/>
        <v>12.2</v>
      </c>
      <c r="I93" s="43">
        <f t="shared" si="13"/>
        <v>1.5637092731829574E-2</v>
      </c>
      <c r="J93" s="43">
        <f t="shared" si="14"/>
        <v>1.3919299999999999</v>
      </c>
      <c r="K93" s="43">
        <f t="shared" si="15"/>
        <v>3.812377415311391E-4</v>
      </c>
      <c r="L93" s="43">
        <f t="shared" ca="1" si="16"/>
        <v>0</v>
      </c>
      <c r="M93" s="43">
        <f t="shared" ca="1" si="17"/>
        <v>97.781126261923788</v>
      </c>
      <c r="N93" s="43">
        <f t="shared" ca="1" si="18"/>
        <v>1.0419298513089797E-3</v>
      </c>
      <c r="O93" s="43">
        <f t="shared" si="19"/>
        <v>97.679298245614021</v>
      </c>
      <c r="P93" s="43">
        <f t="shared" si="20"/>
        <v>1.0424728487886383E-3</v>
      </c>
      <c r="Q93" s="43">
        <f t="shared" si="21"/>
        <v>0.12369246754103497</v>
      </c>
      <c r="R93" s="144" t="e">
        <f t="shared" si="22"/>
        <v>#N/A</v>
      </c>
      <c r="S93" s="147" t="e">
        <f t="shared" si="23"/>
        <v>#N/A</v>
      </c>
    </row>
    <row r="94" spans="1:19">
      <c r="A94" s="144">
        <v>12.2</v>
      </c>
      <c r="B94" s="43">
        <v>8.6599999999999993E-3</v>
      </c>
      <c r="C94" s="43">
        <v>1.3919299999999999</v>
      </c>
      <c r="D94" s="43">
        <v>9.7014800000000001</v>
      </c>
      <c r="E94" s="147">
        <v>1.2</v>
      </c>
      <c r="F94" s="43"/>
      <c r="G94" s="39"/>
      <c r="H94" s="144">
        <f t="shared" si="12"/>
        <v>12.2</v>
      </c>
      <c r="I94" s="43">
        <f t="shared" si="13"/>
        <v>1.5637092731829574E-2</v>
      </c>
      <c r="J94" s="43">
        <f t="shared" si="14"/>
        <v>1.3919299999999999</v>
      </c>
      <c r="K94" s="43">
        <f t="shared" si="15"/>
        <v>3.812377415311391E-4</v>
      </c>
      <c r="L94" s="43">
        <f t="shared" ca="1" si="16"/>
        <v>0</v>
      </c>
      <c r="M94" s="43">
        <f t="shared" ca="1" si="17"/>
        <v>97.781126261923788</v>
      </c>
      <c r="N94" s="43">
        <f t="shared" ca="1" si="18"/>
        <v>1.0419298513089797E-3</v>
      </c>
      <c r="O94" s="43">
        <f t="shared" si="19"/>
        <v>97.679298245614021</v>
      </c>
      <c r="P94" s="43">
        <f t="shared" si="20"/>
        <v>1.0424728487886383E-3</v>
      </c>
      <c r="Q94" s="43">
        <f t="shared" si="21"/>
        <v>0.12369246754103497</v>
      </c>
      <c r="R94" s="144" t="e">
        <f t="shared" si="22"/>
        <v>#N/A</v>
      </c>
      <c r="S94" s="147" t="e">
        <f t="shared" si="23"/>
        <v>#N/A</v>
      </c>
    </row>
    <row r="95" spans="1:19">
      <c r="A95" s="144">
        <v>12.2</v>
      </c>
      <c r="B95" s="43">
        <v>8.6599999999999993E-3</v>
      </c>
      <c r="C95" s="43">
        <v>1.3919299999999999</v>
      </c>
      <c r="D95" s="43">
        <v>9.7014800000000001</v>
      </c>
      <c r="E95" s="147">
        <v>1.2</v>
      </c>
      <c r="F95" s="43"/>
      <c r="G95" s="39"/>
      <c r="H95" s="144">
        <f t="shared" si="12"/>
        <v>12.2</v>
      </c>
      <c r="I95" s="43">
        <f t="shared" si="13"/>
        <v>1.5637092731829574E-2</v>
      </c>
      <c r="J95" s="43">
        <f t="shared" si="14"/>
        <v>1.3919299999999999</v>
      </c>
      <c r="K95" s="43">
        <f t="shared" si="15"/>
        <v>3.812377415311391E-4</v>
      </c>
      <c r="L95" s="43">
        <f t="shared" ca="1" si="16"/>
        <v>0</v>
      </c>
      <c r="M95" s="43">
        <f t="shared" ca="1" si="17"/>
        <v>97.781126261923788</v>
      </c>
      <c r="N95" s="43">
        <f t="shared" ca="1" si="18"/>
        <v>1.0419298513089797E-3</v>
      </c>
      <c r="O95" s="43">
        <f t="shared" si="19"/>
        <v>97.679298245614021</v>
      </c>
      <c r="P95" s="43">
        <f t="shared" si="20"/>
        <v>1.0424728487886383E-3</v>
      </c>
      <c r="Q95" s="43">
        <f t="shared" si="21"/>
        <v>0.12369246754103497</v>
      </c>
      <c r="R95" s="144" t="e">
        <f t="shared" si="22"/>
        <v>#N/A</v>
      </c>
      <c r="S95" s="147" t="e">
        <f t="shared" si="23"/>
        <v>#N/A</v>
      </c>
    </row>
    <row r="96" spans="1:19">
      <c r="A96" s="144">
        <v>12.2</v>
      </c>
      <c r="B96" s="43">
        <v>8.6599999999999993E-3</v>
      </c>
      <c r="C96" s="43">
        <v>1.3919299999999999</v>
      </c>
      <c r="D96" s="43">
        <v>9.7014800000000001</v>
      </c>
      <c r="E96" s="147">
        <v>1.2</v>
      </c>
      <c r="F96" s="43"/>
      <c r="G96" s="39"/>
      <c r="H96" s="144">
        <f t="shared" si="12"/>
        <v>12.2</v>
      </c>
      <c r="I96" s="43">
        <f t="shared" si="13"/>
        <v>1.5637092731829574E-2</v>
      </c>
      <c r="J96" s="43">
        <f t="shared" si="14"/>
        <v>1.3919299999999999</v>
      </c>
      <c r="K96" s="43">
        <f t="shared" si="15"/>
        <v>3.812377415311391E-4</v>
      </c>
      <c r="L96" s="43">
        <f t="shared" ca="1" si="16"/>
        <v>0</v>
      </c>
      <c r="M96" s="43">
        <f t="shared" ca="1" si="17"/>
        <v>97.781126261923788</v>
      </c>
      <c r="N96" s="43">
        <f t="shared" ca="1" si="18"/>
        <v>1.0419298513089797E-3</v>
      </c>
      <c r="O96" s="43">
        <f t="shared" si="19"/>
        <v>97.679298245614021</v>
      </c>
      <c r="P96" s="43">
        <f t="shared" si="20"/>
        <v>1.0424728487886383E-3</v>
      </c>
      <c r="Q96" s="43">
        <f t="shared" si="21"/>
        <v>0.12369246754103497</v>
      </c>
      <c r="R96" s="144" t="e">
        <f t="shared" si="22"/>
        <v>#N/A</v>
      </c>
      <c r="S96" s="147" t="e">
        <f t="shared" si="23"/>
        <v>#N/A</v>
      </c>
    </row>
    <row r="97" spans="1:19">
      <c r="A97" s="144">
        <v>12.2</v>
      </c>
      <c r="B97" s="43">
        <v>8.6599999999999993E-3</v>
      </c>
      <c r="C97" s="43">
        <v>1.3919299999999999</v>
      </c>
      <c r="D97" s="43">
        <v>9.7014800000000001</v>
      </c>
      <c r="E97" s="147">
        <v>1.2</v>
      </c>
      <c r="F97" s="43"/>
      <c r="G97" s="39"/>
      <c r="H97" s="144">
        <f t="shared" si="12"/>
        <v>12.2</v>
      </c>
      <c r="I97" s="43">
        <f t="shared" si="13"/>
        <v>1.5637092731829574E-2</v>
      </c>
      <c r="J97" s="43">
        <f t="shared" si="14"/>
        <v>1.3919299999999999</v>
      </c>
      <c r="K97" s="43">
        <f t="shared" si="15"/>
        <v>3.812377415311391E-4</v>
      </c>
      <c r="L97" s="43">
        <f t="shared" ca="1" si="16"/>
        <v>0</v>
      </c>
      <c r="M97" s="43">
        <f t="shared" ca="1" si="17"/>
        <v>97.781126261923788</v>
      </c>
      <c r="N97" s="43">
        <f t="shared" ca="1" si="18"/>
        <v>1.0419298513089797E-3</v>
      </c>
      <c r="O97" s="43">
        <f t="shared" si="19"/>
        <v>97.679298245614021</v>
      </c>
      <c r="P97" s="43">
        <f t="shared" si="20"/>
        <v>1.0424728487886383E-3</v>
      </c>
      <c r="Q97" s="43">
        <f t="shared" si="21"/>
        <v>0.12369246754103497</v>
      </c>
      <c r="R97" s="144" t="e">
        <f t="shared" si="22"/>
        <v>#N/A</v>
      </c>
      <c r="S97" s="147" t="e">
        <f t="shared" si="23"/>
        <v>#N/A</v>
      </c>
    </row>
    <row r="98" spans="1:19">
      <c r="A98" s="144">
        <v>12.2</v>
      </c>
      <c r="B98" s="43">
        <v>8.6599999999999993E-3</v>
      </c>
      <c r="C98" s="43">
        <v>1.3919299999999999</v>
      </c>
      <c r="D98" s="43">
        <v>9.7014800000000001</v>
      </c>
      <c r="E98" s="147">
        <v>1.2</v>
      </c>
      <c r="F98" s="43"/>
      <c r="G98" s="39"/>
      <c r="H98" s="144">
        <f t="shared" si="12"/>
        <v>12.2</v>
      </c>
      <c r="I98" s="43">
        <f t="shared" si="13"/>
        <v>1.5637092731829574E-2</v>
      </c>
      <c r="J98" s="43">
        <f t="shared" si="14"/>
        <v>1.3919299999999999</v>
      </c>
      <c r="K98" s="43">
        <f t="shared" si="15"/>
        <v>3.812377415311391E-4</v>
      </c>
      <c r="L98" s="43">
        <f t="shared" ca="1" si="16"/>
        <v>0</v>
      </c>
      <c r="M98" s="43">
        <f t="shared" ca="1" si="17"/>
        <v>97.781126261923788</v>
      </c>
      <c r="N98" s="43">
        <f t="shared" ca="1" si="18"/>
        <v>1.0419298513089797E-3</v>
      </c>
      <c r="O98" s="43">
        <f t="shared" si="19"/>
        <v>97.679298245614021</v>
      </c>
      <c r="P98" s="43">
        <f t="shared" si="20"/>
        <v>1.0424728487886383E-3</v>
      </c>
      <c r="Q98" s="43">
        <f t="shared" si="21"/>
        <v>0.12369246754103497</v>
      </c>
      <c r="R98" s="144" t="e">
        <f t="shared" si="22"/>
        <v>#N/A</v>
      </c>
      <c r="S98" s="147" t="e">
        <f t="shared" si="23"/>
        <v>#N/A</v>
      </c>
    </row>
    <row r="99" spans="1:19">
      <c r="A99" s="144">
        <v>12.2</v>
      </c>
      <c r="B99" s="43">
        <v>8.6599999999999993E-3</v>
      </c>
      <c r="C99" s="43">
        <v>1.3919299999999999</v>
      </c>
      <c r="D99" s="43">
        <v>9.7014800000000001</v>
      </c>
      <c r="E99" s="147">
        <v>1.2</v>
      </c>
      <c r="F99" s="43"/>
      <c r="G99" s="39"/>
      <c r="H99" s="144">
        <f t="shared" si="12"/>
        <v>12.2</v>
      </c>
      <c r="I99" s="43">
        <f t="shared" si="13"/>
        <v>1.5637092731829574E-2</v>
      </c>
      <c r="J99" s="43">
        <f t="shared" si="14"/>
        <v>1.3919299999999999</v>
      </c>
      <c r="K99" s="43">
        <f t="shared" si="15"/>
        <v>3.812377415311391E-4</v>
      </c>
      <c r="L99" s="43">
        <f t="shared" ca="1" si="16"/>
        <v>0</v>
      </c>
      <c r="M99" s="43">
        <f t="shared" ca="1" si="17"/>
        <v>97.781126261923788</v>
      </c>
      <c r="N99" s="43">
        <f t="shared" ca="1" si="18"/>
        <v>1.0419298513089797E-3</v>
      </c>
      <c r="O99" s="43">
        <f t="shared" si="19"/>
        <v>97.679298245614021</v>
      </c>
      <c r="P99" s="43">
        <f t="shared" si="20"/>
        <v>1.0424728487886383E-3</v>
      </c>
      <c r="Q99" s="43">
        <f t="shared" si="21"/>
        <v>0.12369246754103497</v>
      </c>
      <c r="R99" s="144" t="e">
        <f t="shared" si="22"/>
        <v>#N/A</v>
      </c>
      <c r="S99" s="147" t="e">
        <f t="shared" si="23"/>
        <v>#N/A</v>
      </c>
    </row>
    <row r="100" spans="1:19">
      <c r="A100" s="144">
        <v>12.2</v>
      </c>
      <c r="B100" s="43">
        <v>8.6599999999999993E-3</v>
      </c>
      <c r="C100" s="43">
        <v>1.3919299999999999</v>
      </c>
      <c r="D100" s="43">
        <v>9.7014800000000001</v>
      </c>
      <c r="E100" s="147">
        <v>1.2</v>
      </c>
      <c r="F100" s="43"/>
      <c r="G100" s="39"/>
      <c r="H100" s="144">
        <f t="shared" si="12"/>
        <v>12.2</v>
      </c>
      <c r="I100" s="43">
        <f t="shared" si="13"/>
        <v>1.5637092731829574E-2</v>
      </c>
      <c r="J100" s="43">
        <f t="shared" si="14"/>
        <v>1.3919299999999999</v>
      </c>
      <c r="K100" s="43">
        <f t="shared" si="15"/>
        <v>3.812377415311391E-4</v>
      </c>
      <c r="L100" s="43">
        <f t="shared" ca="1" si="16"/>
        <v>0</v>
      </c>
      <c r="M100" s="43">
        <f t="shared" ca="1" si="17"/>
        <v>97.781126261923788</v>
      </c>
      <c r="N100" s="43">
        <f t="shared" ca="1" si="18"/>
        <v>1.0419298513089797E-3</v>
      </c>
      <c r="O100" s="43">
        <f t="shared" si="19"/>
        <v>97.679298245614021</v>
      </c>
      <c r="P100" s="43">
        <f t="shared" si="20"/>
        <v>1.0424728487886383E-3</v>
      </c>
      <c r="Q100" s="43">
        <f t="shared" si="21"/>
        <v>0.12369246754103497</v>
      </c>
      <c r="R100" s="144" t="e">
        <f t="shared" si="22"/>
        <v>#N/A</v>
      </c>
      <c r="S100" s="147" t="e">
        <f t="shared" si="23"/>
        <v>#N/A</v>
      </c>
    </row>
    <row r="101" spans="1:19">
      <c r="A101" s="144">
        <v>12.2</v>
      </c>
      <c r="B101" s="43">
        <v>8.6599999999999993E-3</v>
      </c>
      <c r="C101" s="43">
        <v>1.3919299999999999</v>
      </c>
      <c r="D101" s="43">
        <v>9.7014800000000001</v>
      </c>
      <c r="E101" s="147">
        <v>1.2</v>
      </c>
      <c r="F101" s="43"/>
      <c r="G101" s="39"/>
      <c r="H101" s="144">
        <f t="shared" si="12"/>
        <v>12.2</v>
      </c>
      <c r="I101" s="43">
        <f t="shared" si="13"/>
        <v>1.5637092731829574E-2</v>
      </c>
      <c r="J101" s="43">
        <f t="shared" si="14"/>
        <v>1.3919299999999999</v>
      </c>
      <c r="K101" s="43">
        <f t="shared" si="15"/>
        <v>3.812377415311391E-4</v>
      </c>
      <c r="L101" s="43">
        <f t="shared" ca="1" si="16"/>
        <v>0</v>
      </c>
      <c r="M101" s="43">
        <f t="shared" ca="1" si="17"/>
        <v>97.781126261923788</v>
      </c>
      <c r="N101" s="43">
        <f t="shared" ca="1" si="18"/>
        <v>1.0419298513089797E-3</v>
      </c>
      <c r="O101" s="43">
        <f t="shared" si="19"/>
        <v>97.679298245614021</v>
      </c>
      <c r="P101" s="43">
        <f t="shared" si="20"/>
        <v>1.0424728487886383E-3</v>
      </c>
      <c r="Q101" s="43">
        <f t="shared" si="21"/>
        <v>0.12369246754103497</v>
      </c>
      <c r="R101" s="144" t="e">
        <f t="shared" si="22"/>
        <v>#N/A</v>
      </c>
      <c r="S101" s="147" t="e">
        <f t="shared" si="23"/>
        <v>#N/A</v>
      </c>
    </row>
    <row r="102" spans="1:19">
      <c r="A102" s="144">
        <v>12.2</v>
      </c>
      <c r="B102" s="43">
        <v>8.6599999999999993E-3</v>
      </c>
      <c r="C102" s="43">
        <v>1.3919299999999999</v>
      </c>
      <c r="D102" s="43">
        <v>9.7014800000000001</v>
      </c>
      <c r="E102" s="147">
        <v>1.2</v>
      </c>
      <c r="F102" s="43"/>
      <c r="G102" s="39"/>
      <c r="H102" s="144">
        <f t="shared" si="12"/>
        <v>12.2</v>
      </c>
      <c r="I102" s="43">
        <f t="shared" si="13"/>
        <v>1.5637092731829574E-2</v>
      </c>
      <c r="J102" s="43">
        <f t="shared" si="14"/>
        <v>1.3919299999999999</v>
      </c>
      <c r="K102" s="43">
        <f t="shared" si="15"/>
        <v>3.812377415311391E-4</v>
      </c>
      <c r="L102" s="43">
        <f t="shared" ca="1" si="16"/>
        <v>0</v>
      </c>
      <c r="M102" s="43">
        <f t="shared" ca="1" si="17"/>
        <v>97.781126261923788</v>
      </c>
      <c r="N102" s="43">
        <f t="shared" ca="1" si="18"/>
        <v>1.0419298513089797E-3</v>
      </c>
      <c r="O102" s="43">
        <f t="shared" si="19"/>
        <v>97.679298245614021</v>
      </c>
      <c r="P102" s="43">
        <f t="shared" si="20"/>
        <v>1.0424728487886383E-3</v>
      </c>
      <c r="Q102" s="43">
        <f t="shared" si="21"/>
        <v>0.12369246754103497</v>
      </c>
      <c r="R102" s="144" t="e">
        <f t="shared" si="22"/>
        <v>#N/A</v>
      </c>
      <c r="S102" s="147" t="e">
        <f t="shared" si="23"/>
        <v>#N/A</v>
      </c>
    </row>
    <row r="103" spans="1:19">
      <c r="A103" s="144">
        <v>12.2</v>
      </c>
      <c r="B103" s="43">
        <v>8.6599999999999993E-3</v>
      </c>
      <c r="C103" s="43">
        <v>1.3919299999999999</v>
      </c>
      <c r="D103" s="43">
        <v>9.7014800000000001</v>
      </c>
      <c r="E103" s="147">
        <v>1.2</v>
      </c>
      <c r="F103" s="43"/>
      <c r="G103" s="39"/>
      <c r="H103" s="144">
        <f t="shared" si="12"/>
        <v>12.2</v>
      </c>
      <c r="I103" s="43">
        <f t="shared" si="13"/>
        <v>1.5637092731829574E-2</v>
      </c>
      <c r="J103" s="43">
        <f t="shared" si="14"/>
        <v>1.3919299999999999</v>
      </c>
      <c r="K103" s="43">
        <f t="shared" si="15"/>
        <v>3.812377415311391E-4</v>
      </c>
      <c r="L103" s="43">
        <f t="shared" ca="1" si="16"/>
        <v>0</v>
      </c>
      <c r="M103" s="43">
        <f t="shared" ca="1" si="17"/>
        <v>97.781126261923788</v>
      </c>
      <c r="N103" s="43">
        <f t="shared" ca="1" si="18"/>
        <v>1.0419298513089797E-3</v>
      </c>
      <c r="O103" s="43">
        <f t="shared" si="19"/>
        <v>97.679298245614021</v>
      </c>
      <c r="P103" s="43">
        <f t="shared" si="20"/>
        <v>1.0424728487886383E-3</v>
      </c>
      <c r="Q103" s="43">
        <f t="shared" si="21"/>
        <v>0.12369246754103497</v>
      </c>
      <c r="R103" s="144" t="e">
        <f t="shared" si="22"/>
        <v>#N/A</v>
      </c>
      <c r="S103" s="147" t="e">
        <f t="shared" si="23"/>
        <v>#N/A</v>
      </c>
    </row>
    <row r="104" spans="1:19">
      <c r="A104" s="144">
        <v>12.2</v>
      </c>
      <c r="B104" s="43">
        <v>8.6599999999999993E-3</v>
      </c>
      <c r="C104" s="43">
        <v>1.3919299999999999</v>
      </c>
      <c r="D104" s="43">
        <v>9.7014800000000001</v>
      </c>
      <c r="E104" s="147">
        <v>1.2</v>
      </c>
      <c r="F104" s="43"/>
      <c r="G104" s="39"/>
      <c r="H104" s="144">
        <f t="shared" si="12"/>
        <v>12.2</v>
      </c>
      <c r="I104" s="43">
        <f t="shared" si="13"/>
        <v>1.5637092731829574E-2</v>
      </c>
      <c r="J104" s="43">
        <f t="shared" si="14"/>
        <v>1.3919299999999999</v>
      </c>
      <c r="K104" s="43">
        <f t="shared" si="15"/>
        <v>3.812377415311391E-4</v>
      </c>
      <c r="L104" s="43">
        <f t="shared" ca="1" si="16"/>
        <v>0</v>
      </c>
      <c r="M104" s="43">
        <f t="shared" ca="1" si="17"/>
        <v>97.781126261923788</v>
      </c>
      <c r="N104" s="43">
        <f t="shared" ca="1" si="18"/>
        <v>1.0419298513089797E-3</v>
      </c>
      <c r="O104" s="43">
        <f t="shared" si="19"/>
        <v>97.679298245614021</v>
      </c>
      <c r="P104" s="43">
        <f t="shared" si="20"/>
        <v>1.0424728487886383E-3</v>
      </c>
      <c r="Q104" s="43">
        <f t="shared" si="21"/>
        <v>0.12369246754103497</v>
      </c>
      <c r="R104" s="144" t="e">
        <f t="shared" si="22"/>
        <v>#N/A</v>
      </c>
      <c r="S104" s="147" t="e">
        <f t="shared" si="23"/>
        <v>#N/A</v>
      </c>
    </row>
    <row r="105" spans="1:19">
      <c r="A105" s="144">
        <v>12.2</v>
      </c>
      <c r="B105" s="43">
        <v>8.6599999999999993E-3</v>
      </c>
      <c r="C105" s="43">
        <v>1.3919299999999999</v>
      </c>
      <c r="D105" s="43">
        <v>9.7014800000000001</v>
      </c>
      <c r="E105" s="147">
        <v>1.2</v>
      </c>
      <c r="F105" s="43"/>
      <c r="G105" s="39"/>
      <c r="H105" s="144">
        <f t="shared" si="12"/>
        <v>12.2</v>
      </c>
      <c r="I105" s="43">
        <f t="shared" si="13"/>
        <v>1.5637092731829574E-2</v>
      </c>
      <c r="J105" s="43">
        <f t="shared" si="14"/>
        <v>1.3919299999999999</v>
      </c>
      <c r="K105" s="43">
        <f t="shared" si="15"/>
        <v>3.812377415311391E-4</v>
      </c>
      <c r="L105" s="43">
        <f t="shared" ca="1" si="16"/>
        <v>0</v>
      </c>
      <c r="M105" s="43">
        <f t="shared" ca="1" si="17"/>
        <v>97.781126261923788</v>
      </c>
      <c r="N105" s="43">
        <f t="shared" ca="1" si="18"/>
        <v>1.0419298513089797E-3</v>
      </c>
      <c r="O105" s="43">
        <f t="shared" si="19"/>
        <v>97.679298245614021</v>
      </c>
      <c r="P105" s="43">
        <f t="shared" si="20"/>
        <v>1.0424728487886383E-3</v>
      </c>
      <c r="Q105" s="43">
        <f t="shared" si="21"/>
        <v>0.12369246754103497</v>
      </c>
      <c r="R105" s="144" t="e">
        <f t="shared" si="22"/>
        <v>#N/A</v>
      </c>
      <c r="S105" s="147" t="e">
        <f t="shared" si="23"/>
        <v>#N/A</v>
      </c>
    </row>
    <row r="106" spans="1:19">
      <c r="A106" s="144">
        <v>12.2</v>
      </c>
      <c r="B106" s="43">
        <v>8.6599999999999993E-3</v>
      </c>
      <c r="C106" s="43">
        <v>1.3919299999999999</v>
      </c>
      <c r="D106" s="43">
        <v>9.7014800000000001</v>
      </c>
      <c r="E106" s="147">
        <v>1.2</v>
      </c>
      <c r="F106" s="43"/>
      <c r="G106" s="39"/>
      <c r="H106" s="144">
        <f t="shared" si="12"/>
        <v>12.2</v>
      </c>
      <c r="I106" s="43">
        <f t="shared" si="13"/>
        <v>1.5637092731829574E-2</v>
      </c>
      <c r="J106" s="43">
        <f t="shared" si="14"/>
        <v>1.3919299999999999</v>
      </c>
      <c r="K106" s="43">
        <f t="shared" si="15"/>
        <v>3.812377415311391E-4</v>
      </c>
      <c r="L106" s="43">
        <f t="shared" ca="1" si="16"/>
        <v>0</v>
      </c>
      <c r="M106" s="43">
        <f t="shared" ca="1" si="17"/>
        <v>97.781126261923788</v>
      </c>
      <c r="N106" s="43">
        <f t="shared" ca="1" si="18"/>
        <v>1.0419298513089797E-3</v>
      </c>
      <c r="O106" s="43">
        <f t="shared" si="19"/>
        <v>97.679298245614021</v>
      </c>
      <c r="P106" s="43">
        <f t="shared" si="20"/>
        <v>1.0424728487886383E-3</v>
      </c>
      <c r="Q106" s="43">
        <f t="shared" si="21"/>
        <v>0.12369246754103497</v>
      </c>
      <c r="R106" s="144" t="e">
        <f t="shared" si="22"/>
        <v>#N/A</v>
      </c>
      <c r="S106" s="147" t="e">
        <f t="shared" si="23"/>
        <v>#N/A</v>
      </c>
    </row>
    <row r="107" spans="1:19">
      <c r="A107" s="144">
        <v>12.2</v>
      </c>
      <c r="B107" s="43">
        <v>8.6599999999999993E-3</v>
      </c>
      <c r="C107" s="43">
        <v>1.3919299999999999</v>
      </c>
      <c r="D107" s="43">
        <v>9.7014800000000001</v>
      </c>
      <c r="E107" s="147">
        <v>1.2</v>
      </c>
      <c r="F107" s="43"/>
      <c r="G107" s="39"/>
      <c r="H107" s="144">
        <f t="shared" si="12"/>
        <v>12.2</v>
      </c>
      <c r="I107" s="43">
        <f t="shared" si="13"/>
        <v>1.5637092731829574E-2</v>
      </c>
      <c r="J107" s="43">
        <f t="shared" si="14"/>
        <v>1.3919299999999999</v>
      </c>
      <c r="K107" s="43">
        <f t="shared" si="15"/>
        <v>3.812377415311391E-4</v>
      </c>
      <c r="L107" s="43">
        <f t="shared" ca="1" si="16"/>
        <v>0</v>
      </c>
      <c r="M107" s="43">
        <f t="shared" ca="1" si="17"/>
        <v>97.781126261923788</v>
      </c>
      <c r="N107" s="43">
        <f t="shared" ca="1" si="18"/>
        <v>1.0419298513089797E-3</v>
      </c>
      <c r="O107" s="43">
        <f t="shared" si="19"/>
        <v>97.679298245614021</v>
      </c>
      <c r="P107" s="43">
        <f t="shared" si="20"/>
        <v>1.0424728487886383E-3</v>
      </c>
      <c r="Q107" s="43">
        <f t="shared" si="21"/>
        <v>0.12369246754103497</v>
      </c>
      <c r="R107" s="144" t="e">
        <f t="shared" si="22"/>
        <v>#N/A</v>
      </c>
      <c r="S107" s="147" t="e">
        <f t="shared" si="23"/>
        <v>#N/A</v>
      </c>
    </row>
    <row r="108" spans="1:19">
      <c r="A108" s="144">
        <v>12.2</v>
      </c>
      <c r="B108" s="43">
        <v>8.6599999999999993E-3</v>
      </c>
      <c r="C108" s="43">
        <v>1.3919299999999999</v>
      </c>
      <c r="D108" s="43">
        <v>9.7014800000000001</v>
      </c>
      <c r="E108" s="147">
        <v>1.2</v>
      </c>
      <c r="F108" s="43"/>
      <c r="G108" s="39"/>
      <c r="H108" s="144">
        <f t="shared" si="12"/>
        <v>12.2</v>
      </c>
      <c r="I108" s="43">
        <f t="shared" si="13"/>
        <v>1.5637092731829574E-2</v>
      </c>
      <c r="J108" s="43">
        <f t="shared" si="14"/>
        <v>1.3919299999999999</v>
      </c>
      <c r="K108" s="43">
        <f t="shared" si="15"/>
        <v>3.812377415311391E-4</v>
      </c>
      <c r="L108" s="43">
        <f t="shared" ca="1" si="16"/>
        <v>0</v>
      </c>
      <c r="M108" s="43">
        <f t="shared" ca="1" si="17"/>
        <v>97.781126261923788</v>
      </c>
      <c r="N108" s="43">
        <f t="shared" ca="1" si="18"/>
        <v>1.0419298513089797E-3</v>
      </c>
      <c r="O108" s="43">
        <f t="shared" si="19"/>
        <v>97.679298245614021</v>
      </c>
      <c r="P108" s="43">
        <f t="shared" si="20"/>
        <v>1.0424728487886383E-3</v>
      </c>
      <c r="Q108" s="43">
        <f t="shared" si="21"/>
        <v>0.12369246754103497</v>
      </c>
      <c r="R108" s="144" t="e">
        <f t="shared" si="22"/>
        <v>#N/A</v>
      </c>
      <c r="S108" s="147" t="e">
        <f t="shared" si="23"/>
        <v>#N/A</v>
      </c>
    </row>
    <row r="109" spans="1:19">
      <c r="A109" s="144">
        <v>12.2</v>
      </c>
      <c r="B109" s="43">
        <v>8.6599999999999993E-3</v>
      </c>
      <c r="C109" s="43">
        <v>1.3919299999999999</v>
      </c>
      <c r="D109" s="43">
        <v>9.7014800000000001</v>
      </c>
      <c r="E109" s="147">
        <v>1.2</v>
      </c>
      <c r="F109" s="43"/>
      <c r="G109" s="39"/>
      <c r="H109" s="144">
        <f t="shared" si="12"/>
        <v>12.2</v>
      </c>
      <c r="I109" s="43">
        <f t="shared" si="13"/>
        <v>1.5637092731829574E-2</v>
      </c>
      <c r="J109" s="43">
        <f t="shared" si="14"/>
        <v>1.3919299999999999</v>
      </c>
      <c r="K109" s="43">
        <f t="shared" si="15"/>
        <v>3.812377415311391E-4</v>
      </c>
      <c r="L109" s="43">
        <f t="shared" ca="1" si="16"/>
        <v>0</v>
      </c>
      <c r="M109" s="43">
        <f t="shared" ca="1" si="17"/>
        <v>97.781126261923788</v>
      </c>
      <c r="N109" s="43">
        <f t="shared" ca="1" si="18"/>
        <v>1.0419298513089797E-3</v>
      </c>
      <c r="O109" s="43">
        <f t="shared" si="19"/>
        <v>97.679298245614021</v>
      </c>
      <c r="P109" s="43">
        <f t="shared" si="20"/>
        <v>1.0424728487886383E-3</v>
      </c>
      <c r="Q109" s="43">
        <f t="shared" si="21"/>
        <v>0.12369246754103497</v>
      </c>
      <c r="R109" s="144" t="e">
        <f t="shared" si="22"/>
        <v>#N/A</v>
      </c>
      <c r="S109" s="147" t="e">
        <f t="shared" si="23"/>
        <v>#N/A</v>
      </c>
    </row>
    <row r="110" spans="1:19">
      <c r="A110" s="144">
        <v>12.2</v>
      </c>
      <c r="B110" s="43">
        <v>8.6599999999999993E-3</v>
      </c>
      <c r="C110" s="43">
        <v>1.3919299999999999</v>
      </c>
      <c r="D110" s="43">
        <v>9.7014800000000001</v>
      </c>
      <c r="E110" s="147">
        <v>1.2</v>
      </c>
      <c r="F110" s="43"/>
      <c r="G110" s="39"/>
      <c r="H110" s="144">
        <f t="shared" si="12"/>
        <v>12.2</v>
      </c>
      <c r="I110" s="43">
        <f t="shared" si="13"/>
        <v>1.5637092731829574E-2</v>
      </c>
      <c r="J110" s="43">
        <f t="shared" si="14"/>
        <v>1.3919299999999999</v>
      </c>
      <c r="K110" s="43">
        <f t="shared" si="15"/>
        <v>3.812377415311391E-4</v>
      </c>
      <c r="L110" s="43">
        <f t="shared" ca="1" si="16"/>
        <v>0</v>
      </c>
      <c r="M110" s="43">
        <f t="shared" ca="1" si="17"/>
        <v>97.781126261923788</v>
      </c>
      <c r="N110" s="43">
        <f t="shared" ca="1" si="18"/>
        <v>1.0419298513089797E-3</v>
      </c>
      <c r="O110" s="43">
        <f t="shared" si="19"/>
        <v>97.679298245614021</v>
      </c>
      <c r="P110" s="43">
        <f t="shared" si="20"/>
        <v>1.0424728487886383E-3</v>
      </c>
      <c r="Q110" s="43">
        <f t="shared" si="21"/>
        <v>0.12369246754103497</v>
      </c>
      <c r="R110" s="144" t="e">
        <f t="shared" si="22"/>
        <v>#N/A</v>
      </c>
      <c r="S110" s="147" t="e">
        <f t="shared" si="23"/>
        <v>#N/A</v>
      </c>
    </row>
    <row r="111" spans="1:19">
      <c r="A111" s="144">
        <v>12.2</v>
      </c>
      <c r="B111" s="43">
        <v>8.6599999999999993E-3</v>
      </c>
      <c r="C111" s="43">
        <v>1.3919299999999999</v>
      </c>
      <c r="D111" s="43">
        <v>9.7014800000000001</v>
      </c>
      <c r="E111" s="147">
        <v>1.2</v>
      </c>
      <c r="F111" s="43"/>
      <c r="G111" s="39"/>
      <c r="H111" s="144">
        <f t="shared" si="12"/>
        <v>12.2</v>
      </c>
      <c r="I111" s="43">
        <f t="shared" si="13"/>
        <v>1.5637092731829574E-2</v>
      </c>
      <c r="J111" s="43">
        <f t="shared" si="14"/>
        <v>1.3919299999999999</v>
      </c>
      <c r="K111" s="43">
        <f t="shared" si="15"/>
        <v>3.812377415311391E-4</v>
      </c>
      <c r="L111" s="43">
        <f t="shared" ca="1" si="16"/>
        <v>0</v>
      </c>
      <c r="M111" s="43">
        <f t="shared" ca="1" si="17"/>
        <v>97.781126261923788</v>
      </c>
      <c r="N111" s="43">
        <f t="shared" ca="1" si="18"/>
        <v>1.0419298513089797E-3</v>
      </c>
      <c r="O111" s="43">
        <f t="shared" si="19"/>
        <v>97.679298245614021</v>
      </c>
      <c r="P111" s="43">
        <f t="shared" si="20"/>
        <v>1.0424728487886383E-3</v>
      </c>
      <c r="Q111" s="43">
        <f t="shared" si="21"/>
        <v>0.12369246754103497</v>
      </c>
      <c r="R111" s="144" t="e">
        <f t="shared" si="22"/>
        <v>#N/A</v>
      </c>
      <c r="S111" s="147" t="e">
        <f t="shared" si="23"/>
        <v>#N/A</v>
      </c>
    </row>
    <row r="112" spans="1:19">
      <c r="A112" s="144">
        <v>12.2</v>
      </c>
      <c r="B112" s="43">
        <v>8.6599999999999993E-3</v>
      </c>
      <c r="C112" s="43">
        <v>1.3919299999999999</v>
      </c>
      <c r="D112" s="43">
        <v>9.7014800000000001</v>
      </c>
      <c r="E112" s="147">
        <v>1.2</v>
      </c>
      <c r="F112" s="43"/>
      <c r="G112" s="39"/>
      <c r="H112" s="144">
        <f t="shared" si="12"/>
        <v>12.2</v>
      </c>
      <c r="I112" s="43">
        <f t="shared" si="13"/>
        <v>1.5637092731829574E-2</v>
      </c>
      <c r="J112" s="43">
        <f t="shared" si="14"/>
        <v>1.3919299999999999</v>
      </c>
      <c r="K112" s="43">
        <f t="shared" si="15"/>
        <v>3.812377415311391E-4</v>
      </c>
      <c r="L112" s="43">
        <f t="shared" ca="1" si="16"/>
        <v>0</v>
      </c>
      <c r="M112" s="43">
        <f t="shared" ca="1" si="17"/>
        <v>97.781126261923788</v>
      </c>
      <c r="N112" s="43">
        <f t="shared" ca="1" si="18"/>
        <v>1.0419298513089797E-3</v>
      </c>
      <c r="O112" s="43">
        <f t="shared" si="19"/>
        <v>97.679298245614021</v>
      </c>
      <c r="P112" s="43">
        <f t="shared" si="20"/>
        <v>1.0424728487886383E-3</v>
      </c>
      <c r="Q112" s="43">
        <f t="shared" si="21"/>
        <v>0.12369246754103497</v>
      </c>
      <c r="R112" s="144" t="e">
        <f t="shared" si="22"/>
        <v>#N/A</v>
      </c>
      <c r="S112" s="147" t="e">
        <f t="shared" si="23"/>
        <v>#N/A</v>
      </c>
    </row>
    <row r="113" spans="1:19">
      <c r="A113" s="144">
        <v>12.2</v>
      </c>
      <c r="B113" s="43">
        <v>8.6599999999999993E-3</v>
      </c>
      <c r="C113" s="43">
        <v>1.3919299999999999</v>
      </c>
      <c r="D113" s="43">
        <v>9.7014800000000001</v>
      </c>
      <c r="E113" s="147">
        <v>1.2</v>
      </c>
      <c r="F113" s="43"/>
      <c r="G113" s="39"/>
      <c r="H113" s="144">
        <f t="shared" si="12"/>
        <v>12.2</v>
      </c>
      <c r="I113" s="43">
        <f t="shared" si="13"/>
        <v>1.5637092731829574E-2</v>
      </c>
      <c r="J113" s="43">
        <f t="shared" si="14"/>
        <v>1.3919299999999999</v>
      </c>
      <c r="K113" s="43">
        <f t="shared" si="15"/>
        <v>3.812377415311391E-4</v>
      </c>
      <c r="L113" s="43">
        <f t="shared" ca="1" si="16"/>
        <v>0</v>
      </c>
      <c r="M113" s="43">
        <f t="shared" ca="1" si="17"/>
        <v>97.781126261923788</v>
      </c>
      <c r="N113" s="43">
        <f t="shared" ca="1" si="18"/>
        <v>1.0419298513089797E-3</v>
      </c>
      <c r="O113" s="43">
        <f t="shared" si="19"/>
        <v>97.679298245614021</v>
      </c>
      <c r="P113" s="43">
        <f t="shared" si="20"/>
        <v>1.0424728487886383E-3</v>
      </c>
      <c r="Q113" s="43">
        <f t="shared" si="21"/>
        <v>0.12369246754103497</v>
      </c>
      <c r="R113" s="144" t="e">
        <f t="shared" si="22"/>
        <v>#N/A</v>
      </c>
      <c r="S113" s="147" t="e">
        <f t="shared" si="23"/>
        <v>#N/A</v>
      </c>
    </row>
    <row r="114" spans="1:19">
      <c r="A114" s="144">
        <v>12.2</v>
      </c>
      <c r="B114" s="43">
        <v>8.6599999999999993E-3</v>
      </c>
      <c r="C114" s="43">
        <v>1.3919299999999999</v>
      </c>
      <c r="D114" s="43">
        <v>9.7014800000000001</v>
      </c>
      <c r="E114" s="147">
        <v>1.2</v>
      </c>
      <c r="F114" s="43"/>
      <c r="G114" s="39"/>
      <c r="H114" s="144">
        <f t="shared" si="12"/>
        <v>12.2</v>
      </c>
      <c r="I114" s="43">
        <f t="shared" si="13"/>
        <v>1.5637092731829574E-2</v>
      </c>
      <c r="J114" s="43">
        <f t="shared" si="14"/>
        <v>1.3919299999999999</v>
      </c>
      <c r="K114" s="43">
        <f t="shared" si="15"/>
        <v>3.812377415311391E-4</v>
      </c>
      <c r="L114" s="43">
        <f t="shared" ca="1" si="16"/>
        <v>0</v>
      </c>
      <c r="M114" s="43">
        <f t="shared" ca="1" si="17"/>
        <v>97.781126261923788</v>
      </c>
      <c r="N114" s="43">
        <f t="shared" ca="1" si="18"/>
        <v>1.0419298513089797E-3</v>
      </c>
      <c r="O114" s="43">
        <f t="shared" si="19"/>
        <v>97.679298245614021</v>
      </c>
      <c r="P114" s="43">
        <f t="shared" si="20"/>
        <v>1.0424728487886383E-3</v>
      </c>
      <c r="Q114" s="43">
        <f t="shared" si="21"/>
        <v>0.12369246754103497</v>
      </c>
      <c r="R114" s="144" t="e">
        <f t="shared" si="22"/>
        <v>#N/A</v>
      </c>
      <c r="S114" s="147" t="e">
        <f t="shared" si="23"/>
        <v>#N/A</v>
      </c>
    </row>
    <row r="115" spans="1:19">
      <c r="A115" s="144">
        <v>12.2</v>
      </c>
      <c r="B115" s="43">
        <v>8.6599999999999993E-3</v>
      </c>
      <c r="C115" s="43">
        <v>1.3919299999999999</v>
      </c>
      <c r="D115" s="43">
        <v>9.7014800000000001</v>
      </c>
      <c r="E115" s="147">
        <v>1.2</v>
      </c>
      <c r="F115" s="43"/>
      <c r="G115" s="39"/>
      <c r="H115" s="144">
        <f t="shared" si="12"/>
        <v>12.2</v>
      </c>
      <c r="I115" s="43">
        <f t="shared" si="13"/>
        <v>1.5637092731829574E-2</v>
      </c>
      <c r="J115" s="43">
        <f t="shared" si="14"/>
        <v>1.3919299999999999</v>
      </c>
      <c r="K115" s="43">
        <f t="shared" si="15"/>
        <v>3.812377415311391E-4</v>
      </c>
      <c r="L115" s="43">
        <f t="shared" ca="1" si="16"/>
        <v>0</v>
      </c>
      <c r="M115" s="43">
        <f t="shared" ca="1" si="17"/>
        <v>97.781126261923788</v>
      </c>
      <c r="N115" s="43">
        <f t="shared" ca="1" si="18"/>
        <v>1.0419298513089797E-3</v>
      </c>
      <c r="O115" s="43">
        <f t="shared" si="19"/>
        <v>97.679298245614021</v>
      </c>
      <c r="P115" s="43">
        <f t="shared" si="20"/>
        <v>1.0424728487886383E-3</v>
      </c>
      <c r="Q115" s="43">
        <f t="shared" si="21"/>
        <v>0.12369246754103497</v>
      </c>
      <c r="R115" s="144" t="e">
        <f t="shared" si="22"/>
        <v>#N/A</v>
      </c>
      <c r="S115" s="147" t="e">
        <f t="shared" si="23"/>
        <v>#N/A</v>
      </c>
    </row>
    <row r="116" spans="1:19">
      <c r="A116" s="144">
        <v>12.2</v>
      </c>
      <c r="B116" s="43">
        <v>8.6599999999999993E-3</v>
      </c>
      <c r="C116" s="43">
        <v>1.3919299999999999</v>
      </c>
      <c r="D116" s="43">
        <v>9.7014800000000001</v>
      </c>
      <c r="E116" s="147">
        <v>1.2</v>
      </c>
      <c r="F116" s="43"/>
      <c r="G116" s="39"/>
      <c r="H116" s="144">
        <f t="shared" si="12"/>
        <v>12.2</v>
      </c>
      <c r="I116" s="43">
        <f t="shared" si="13"/>
        <v>1.5637092731829574E-2</v>
      </c>
      <c r="J116" s="43">
        <f t="shared" si="14"/>
        <v>1.3919299999999999</v>
      </c>
      <c r="K116" s="43">
        <f t="shared" si="15"/>
        <v>3.812377415311391E-4</v>
      </c>
      <c r="L116" s="43">
        <f t="shared" ca="1" si="16"/>
        <v>0</v>
      </c>
      <c r="M116" s="43">
        <f t="shared" ca="1" si="17"/>
        <v>97.781126261923788</v>
      </c>
      <c r="N116" s="43">
        <f t="shared" ca="1" si="18"/>
        <v>1.0419298513089797E-3</v>
      </c>
      <c r="O116" s="43">
        <f t="shared" si="19"/>
        <v>97.679298245614021</v>
      </c>
      <c r="P116" s="43">
        <f t="shared" si="20"/>
        <v>1.0424728487886383E-3</v>
      </c>
      <c r="Q116" s="43">
        <f t="shared" si="21"/>
        <v>0.12369246754103497</v>
      </c>
      <c r="R116" s="144" t="e">
        <f t="shared" si="22"/>
        <v>#N/A</v>
      </c>
      <c r="S116" s="147" t="e">
        <f t="shared" si="23"/>
        <v>#N/A</v>
      </c>
    </row>
    <row r="117" spans="1:19">
      <c r="A117" s="144">
        <v>12.2</v>
      </c>
      <c r="B117" s="43">
        <v>8.6599999999999993E-3</v>
      </c>
      <c r="C117" s="43">
        <v>1.3919299999999999</v>
      </c>
      <c r="D117" s="43">
        <v>9.7014800000000001</v>
      </c>
      <c r="E117" s="147">
        <v>1.2</v>
      </c>
      <c r="F117" s="43"/>
      <c r="G117" s="39"/>
      <c r="H117" s="144">
        <f t="shared" si="12"/>
        <v>12.2</v>
      </c>
      <c r="I117" s="43">
        <f t="shared" si="13"/>
        <v>1.5637092731829574E-2</v>
      </c>
      <c r="J117" s="43">
        <f t="shared" si="14"/>
        <v>1.3919299999999999</v>
      </c>
      <c r="K117" s="43">
        <f t="shared" si="15"/>
        <v>3.812377415311391E-4</v>
      </c>
      <c r="L117" s="43">
        <f t="shared" ca="1" si="16"/>
        <v>0</v>
      </c>
      <c r="M117" s="43">
        <f t="shared" ca="1" si="17"/>
        <v>97.781126261923788</v>
      </c>
      <c r="N117" s="43">
        <f t="shared" ca="1" si="18"/>
        <v>1.0419298513089797E-3</v>
      </c>
      <c r="O117" s="43">
        <f t="shared" si="19"/>
        <v>97.679298245614021</v>
      </c>
      <c r="P117" s="43">
        <f t="shared" si="20"/>
        <v>1.0424728487886383E-3</v>
      </c>
      <c r="Q117" s="43">
        <f t="shared" si="21"/>
        <v>0.12369246754103497</v>
      </c>
      <c r="R117" s="144" t="e">
        <f t="shared" si="22"/>
        <v>#N/A</v>
      </c>
      <c r="S117" s="147" t="e">
        <f t="shared" si="23"/>
        <v>#N/A</v>
      </c>
    </row>
    <row r="118" spans="1:19">
      <c r="A118" s="144">
        <v>12.2</v>
      </c>
      <c r="B118" s="43">
        <v>8.6599999999999993E-3</v>
      </c>
      <c r="C118" s="43">
        <v>1.3919299999999999</v>
      </c>
      <c r="D118" s="43">
        <v>9.7014800000000001</v>
      </c>
      <c r="E118" s="147">
        <v>1.2</v>
      </c>
      <c r="F118" s="43"/>
      <c r="G118" s="39"/>
      <c r="H118" s="144">
        <f t="shared" si="12"/>
        <v>12.2</v>
      </c>
      <c r="I118" s="43">
        <f t="shared" si="13"/>
        <v>1.5637092731829574E-2</v>
      </c>
      <c r="J118" s="43">
        <f t="shared" si="14"/>
        <v>1.3919299999999999</v>
      </c>
      <c r="K118" s="43">
        <f t="shared" si="15"/>
        <v>3.812377415311391E-4</v>
      </c>
      <c r="L118" s="43">
        <f t="shared" ca="1" si="16"/>
        <v>0</v>
      </c>
      <c r="M118" s="43">
        <f t="shared" ca="1" si="17"/>
        <v>97.781126261923788</v>
      </c>
      <c r="N118" s="43">
        <f t="shared" ca="1" si="18"/>
        <v>1.0419298513089797E-3</v>
      </c>
      <c r="O118" s="43">
        <f t="shared" si="19"/>
        <v>97.679298245614021</v>
      </c>
      <c r="P118" s="43">
        <f t="shared" si="20"/>
        <v>1.0424728487886383E-3</v>
      </c>
      <c r="Q118" s="43">
        <f t="shared" si="21"/>
        <v>0.12369246754103497</v>
      </c>
      <c r="R118" s="144" t="e">
        <f t="shared" si="22"/>
        <v>#N/A</v>
      </c>
      <c r="S118" s="147" t="e">
        <f t="shared" si="23"/>
        <v>#N/A</v>
      </c>
    </row>
    <row r="119" spans="1:19">
      <c r="A119" s="144">
        <v>12.2</v>
      </c>
      <c r="B119" s="43">
        <v>8.6599999999999993E-3</v>
      </c>
      <c r="C119" s="43">
        <v>1.3919299999999999</v>
      </c>
      <c r="D119" s="43">
        <v>9.7014800000000001</v>
      </c>
      <c r="E119" s="147">
        <v>1.2</v>
      </c>
      <c r="F119" s="43"/>
      <c r="G119" s="39"/>
      <c r="H119" s="144">
        <f t="shared" si="12"/>
        <v>12.2</v>
      </c>
      <c r="I119" s="43">
        <f t="shared" si="13"/>
        <v>1.5637092731829574E-2</v>
      </c>
      <c r="J119" s="43">
        <f t="shared" si="14"/>
        <v>1.3919299999999999</v>
      </c>
      <c r="K119" s="43">
        <f t="shared" si="15"/>
        <v>3.812377415311391E-4</v>
      </c>
      <c r="L119" s="43">
        <f t="shared" ca="1" si="16"/>
        <v>0</v>
      </c>
      <c r="M119" s="43">
        <f t="shared" ca="1" si="17"/>
        <v>97.781126261923788</v>
      </c>
      <c r="N119" s="43">
        <f t="shared" ca="1" si="18"/>
        <v>1.0419298513089797E-3</v>
      </c>
      <c r="O119" s="43">
        <f t="shared" si="19"/>
        <v>97.679298245614021</v>
      </c>
      <c r="P119" s="43">
        <f t="shared" si="20"/>
        <v>1.0424728487886383E-3</v>
      </c>
      <c r="Q119" s="43">
        <f t="shared" si="21"/>
        <v>0.12369246754103497</v>
      </c>
      <c r="R119" s="144" t="e">
        <f t="shared" si="22"/>
        <v>#N/A</v>
      </c>
      <c r="S119" s="147" t="e">
        <f t="shared" si="23"/>
        <v>#N/A</v>
      </c>
    </row>
    <row r="120" spans="1:19">
      <c r="A120" s="144">
        <v>12.2</v>
      </c>
      <c r="B120" s="43">
        <v>8.6599999999999993E-3</v>
      </c>
      <c r="C120" s="43">
        <v>1.3919299999999999</v>
      </c>
      <c r="D120" s="43">
        <v>9.7014800000000001</v>
      </c>
      <c r="E120" s="147">
        <v>1.2</v>
      </c>
      <c r="F120" s="43"/>
      <c r="G120" s="39"/>
      <c r="H120" s="144">
        <f t="shared" si="12"/>
        <v>12.2</v>
      </c>
      <c r="I120" s="43">
        <f t="shared" si="13"/>
        <v>1.5637092731829574E-2</v>
      </c>
      <c r="J120" s="43">
        <f t="shared" si="14"/>
        <v>1.3919299999999999</v>
      </c>
      <c r="K120" s="43">
        <f t="shared" si="15"/>
        <v>3.812377415311391E-4</v>
      </c>
      <c r="L120" s="43">
        <f t="shared" ca="1" si="16"/>
        <v>0</v>
      </c>
      <c r="M120" s="43">
        <f t="shared" ca="1" si="17"/>
        <v>97.781126261923788</v>
      </c>
      <c r="N120" s="43">
        <f t="shared" ca="1" si="18"/>
        <v>1.0419298513089797E-3</v>
      </c>
      <c r="O120" s="43">
        <f t="shared" si="19"/>
        <v>97.679298245614021</v>
      </c>
      <c r="P120" s="43">
        <f t="shared" si="20"/>
        <v>1.0424728487886383E-3</v>
      </c>
      <c r="Q120" s="43">
        <f t="shared" si="21"/>
        <v>0.12369246754103497</v>
      </c>
      <c r="R120" s="144" t="e">
        <f t="shared" si="22"/>
        <v>#N/A</v>
      </c>
      <c r="S120" s="147" t="e">
        <f t="shared" si="23"/>
        <v>#N/A</v>
      </c>
    </row>
    <row r="121" spans="1:19">
      <c r="A121" s="144">
        <v>12.2</v>
      </c>
      <c r="B121" s="43">
        <v>8.6599999999999993E-3</v>
      </c>
      <c r="C121" s="43">
        <v>1.3919299999999999</v>
      </c>
      <c r="D121" s="43">
        <v>9.7014800000000001</v>
      </c>
      <c r="E121" s="147">
        <v>1.2</v>
      </c>
      <c r="F121" s="43"/>
      <c r="G121" s="39"/>
      <c r="H121" s="144">
        <f t="shared" si="12"/>
        <v>12.2</v>
      </c>
      <c r="I121" s="43">
        <f t="shared" si="13"/>
        <v>1.5637092731829574E-2</v>
      </c>
      <c r="J121" s="43">
        <f t="shared" si="14"/>
        <v>1.3919299999999999</v>
      </c>
      <c r="K121" s="43">
        <f t="shared" si="15"/>
        <v>3.812377415311391E-4</v>
      </c>
      <c r="L121" s="43">
        <f t="shared" ca="1" si="16"/>
        <v>0</v>
      </c>
      <c r="M121" s="43">
        <f t="shared" ca="1" si="17"/>
        <v>97.781126261923788</v>
      </c>
      <c r="N121" s="43">
        <f t="shared" ca="1" si="18"/>
        <v>1.0419298513089797E-3</v>
      </c>
      <c r="O121" s="43">
        <f t="shared" si="19"/>
        <v>97.679298245614021</v>
      </c>
      <c r="P121" s="43">
        <f t="shared" si="20"/>
        <v>1.0424728487886383E-3</v>
      </c>
      <c r="Q121" s="43">
        <f t="shared" si="21"/>
        <v>0.12369246754103497</v>
      </c>
      <c r="R121" s="144" t="e">
        <f t="shared" si="22"/>
        <v>#N/A</v>
      </c>
      <c r="S121" s="147" t="e">
        <f t="shared" si="23"/>
        <v>#N/A</v>
      </c>
    </row>
    <row r="122" spans="1:19">
      <c r="A122" s="144">
        <v>12.2</v>
      </c>
      <c r="B122" s="43">
        <v>8.6599999999999993E-3</v>
      </c>
      <c r="C122" s="43">
        <v>1.3919299999999999</v>
      </c>
      <c r="D122" s="43">
        <v>9.7014800000000001</v>
      </c>
      <c r="E122" s="147">
        <v>1.2</v>
      </c>
      <c r="F122" s="43"/>
      <c r="G122" s="39"/>
      <c r="H122" s="144">
        <f t="shared" si="12"/>
        <v>12.2</v>
      </c>
      <c r="I122" s="43">
        <f t="shared" si="13"/>
        <v>1.5637092731829574E-2</v>
      </c>
      <c r="J122" s="43">
        <f t="shared" si="14"/>
        <v>1.3919299999999999</v>
      </c>
      <c r="K122" s="43">
        <f t="shared" si="15"/>
        <v>3.812377415311391E-4</v>
      </c>
      <c r="L122" s="43">
        <f t="shared" ca="1" si="16"/>
        <v>0</v>
      </c>
      <c r="M122" s="43">
        <f t="shared" ca="1" si="17"/>
        <v>97.781126261923788</v>
      </c>
      <c r="N122" s="43">
        <f t="shared" ca="1" si="18"/>
        <v>1.0419298513089797E-3</v>
      </c>
      <c r="O122" s="43">
        <f t="shared" si="19"/>
        <v>97.679298245614021</v>
      </c>
      <c r="P122" s="43">
        <f t="shared" si="20"/>
        <v>1.0424728487886383E-3</v>
      </c>
      <c r="Q122" s="43">
        <f t="shared" si="21"/>
        <v>0.12369246754103497</v>
      </c>
      <c r="R122" s="144" t="e">
        <f t="shared" si="22"/>
        <v>#N/A</v>
      </c>
      <c r="S122" s="147" t="e">
        <f t="shared" si="23"/>
        <v>#N/A</v>
      </c>
    </row>
    <row r="123" spans="1:19">
      <c r="A123" s="144">
        <v>12.2</v>
      </c>
      <c r="B123" s="43">
        <v>8.6599999999999993E-3</v>
      </c>
      <c r="C123" s="43">
        <v>1.3919299999999999</v>
      </c>
      <c r="D123" s="43">
        <v>9.7014800000000001</v>
      </c>
      <c r="E123" s="147">
        <v>1.2</v>
      </c>
      <c r="F123" s="43"/>
      <c r="G123" s="39"/>
      <c r="H123" s="144">
        <f t="shared" si="12"/>
        <v>12.2</v>
      </c>
      <c r="I123" s="43">
        <f t="shared" si="13"/>
        <v>1.5637092731829574E-2</v>
      </c>
      <c r="J123" s="43">
        <f t="shared" si="14"/>
        <v>1.3919299999999999</v>
      </c>
      <c r="K123" s="43">
        <f t="shared" si="15"/>
        <v>3.812377415311391E-4</v>
      </c>
      <c r="L123" s="43">
        <f t="shared" ca="1" si="16"/>
        <v>0</v>
      </c>
      <c r="M123" s="43">
        <f t="shared" ca="1" si="17"/>
        <v>97.781126261923788</v>
      </c>
      <c r="N123" s="43">
        <f t="shared" ca="1" si="18"/>
        <v>1.0419298513089797E-3</v>
      </c>
      <c r="O123" s="43">
        <f t="shared" si="19"/>
        <v>97.679298245614021</v>
      </c>
      <c r="P123" s="43">
        <f t="shared" si="20"/>
        <v>1.0424728487886383E-3</v>
      </c>
      <c r="Q123" s="43">
        <f t="shared" si="21"/>
        <v>0.12369246754103497</v>
      </c>
      <c r="R123" s="144" t="e">
        <f t="shared" si="22"/>
        <v>#N/A</v>
      </c>
      <c r="S123" s="147" t="e">
        <f t="shared" si="23"/>
        <v>#N/A</v>
      </c>
    </row>
    <row r="124" spans="1:19">
      <c r="A124" s="144">
        <v>12.2</v>
      </c>
      <c r="B124" s="43">
        <v>8.6599999999999993E-3</v>
      </c>
      <c r="C124" s="43">
        <v>1.3919299999999999</v>
      </c>
      <c r="D124" s="43">
        <v>9.7014800000000001</v>
      </c>
      <c r="E124" s="147">
        <v>1.2</v>
      </c>
      <c r="F124" s="43"/>
      <c r="G124" s="39"/>
      <c r="H124" s="144">
        <f t="shared" si="12"/>
        <v>12.2</v>
      </c>
      <c r="I124" s="43">
        <f t="shared" si="13"/>
        <v>1.5637092731829574E-2</v>
      </c>
      <c r="J124" s="43">
        <f t="shared" si="14"/>
        <v>1.3919299999999999</v>
      </c>
      <c r="K124" s="43">
        <f t="shared" si="15"/>
        <v>3.812377415311391E-4</v>
      </c>
      <c r="L124" s="43">
        <f t="shared" ca="1" si="16"/>
        <v>0</v>
      </c>
      <c r="M124" s="43">
        <f t="shared" ca="1" si="17"/>
        <v>97.781126261923788</v>
      </c>
      <c r="N124" s="43">
        <f t="shared" ca="1" si="18"/>
        <v>1.0419298513089797E-3</v>
      </c>
      <c r="O124" s="43">
        <f t="shared" si="19"/>
        <v>97.679298245614021</v>
      </c>
      <c r="P124" s="43">
        <f t="shared" si="20"/>
        <v>1.0424728487886383E-3</v>
      </c>
      <c r="Q124" s="43">
        <f t="shared" si="21"/>
        <v>0.12369246754103497</v>
      </c>
      <c r="R124" s="144" t="e">
        <f t="shared" si="22"/>
        <v>#N/A</v>
      </c>
      <c r="S124" s="147" t="e">
        <f t="shared" si="23"/>
        <v>#N/A</v>
      </c>
    </row>
    <row r="125" spans="1:19">
      <c r="A125" s="144">
        <v>12.2</v>
      </c>
      <c r="B125" s="43">
        <v>8.6599999999999993E-3</v>
      </c>
      <c r="C125" s="43">
        <v>1.3919299999999999</v>
      </c>
      <c r="D125" s="43">
        <v>9.7014800000000001</v>
      </c>
      <c r="E125" s="147">
        <v>1.2</v>
      </c>
      <c r="F125" s="43"/>
      <c r="G125" s="39"/>
      <c r="H125" s="144">
        <f t="shared" si="12"/>
        <v>12.2</v>
      </c>
      <c r="I125" s="43">
        <f t="shared" si="13"/>
        <v>1.5637092731829574E-2</v>
      </c>
      <c r="J125" s="43">
        <f t="shared" si="14"/>
        <v>1.3919299999999999</v>
      </c>
      <c r="K125" s="43">
        <f t="shared" si="15"/>
        <v>3.812377415311391E-4</v>
      </c>
      <c r="L125" s="43">
        <f t="shared" ca="1" si="16"/>
        <v>0</v>
      </c>
      <c r="M125" s="43">
        <f t="shared" ca="1" si="17"/>
        <v>97.781126261923788</v>
      </c>
      <c r="N125" s="43">
        <f t="shared" ca="1" si="18"/>
        <v>1.0419298513089797E-3</v>
      </c>
      <c r="O125" s="43">
        <f t="shared" si="19"/>
        <v>97.679298245614021</v>
      </c>
      <c r="P125" s="43">
        <f t="shared" si="20"/>
        <v>1.0424728487886383E-3</v>
      </c>
      <c r="Q125" s="43">
        <f t="shared" si="21"/>
        <v>0.12369246754103497</v>
      </c>
      <c r="R125" s="144" t="e">
        <f t="shared" si="22"/>
        <v>#N/A</v>
      </c>
      <c r="S125" s="147" t="e">
        <f t="shared" si="23"/>
        <v>#N/A</v>
      </c>
    </row>
    <row r="126" spans="1:19">
      <c r="A126" s="144">
        <v>12.2</v>
      </c>
      <c r="B126" s="43">
        <v>8.6599999999999993E-3</v>
      </c>
      <c r="C126" s="43">
        <v>1.3919299999999999</v>
      </c>
      <c r="D126" s="43">
        <v>9.7014800000000001</v>
      </c>
      <c r="E126" s="147">
        <v>1.2</v>
      </c>
      <c r="F126" s="43"/>
      <c r="G126" s="39"/>
      <c r="H126" s="144">
        <f t="shared" si="12"/>
        <v>12.2</v>
      </c>
      <c r="I126" s="43">
        <f t="shared" si="13"/>
        <v>1.5637092731829574E-2</v>
      </c>
      <c r="J126" s="43">
        <f t="shared" si="14"/>
        <v>1.3919299999999999</v>
      </c>
      <c r="K126" s="43">
        <f t="shared" si="15"/>
        <v>3.812377415311391E-4</v>
      </c>
      <c r="L126" s="43">
        <f t="shared" ca="1" si="16"/>
        <v>0</v>
      </c>
      <c r="M126" s="43">
        <f t="shared" ca="1" si="17"/>
        <v>97.781126261923788</v>
      </c>
      <c r="N126" s="43">
        <f t="shared" ca="1" si="18"/>
        <v>1.0419298513089797E-3</v>
      </c>
      <c r="O126" s="43">
        <f t="shared" si="19"/>
        <v>97.679298245614021</v>
      </c>
      <c r="P126" s="43">
        <f t="shared" si="20"/>
        <v>1.0424728487886383E-3</v>
      </c>
      <c r="Q126" s="43">
        <f t="shared" si="21"/>
        <v>0.12369246754103497</v>
      </c>
      <c r="R126" s="144" t="e">
        <f t="shared" si="22"/>
        <v>#N/A</v>
      </c>
      <c r="S126" s="147" t="e">
        <f t="shared" si="23"/>
        <v>#N/A</v>
      </c>
    </row>
    <row r="127" spans="1:19">
      <c r="A127" s="144">
        <v>12.2</v>
      </c>
      <c r="B127" s="43">
        <v>8.6599999999999993E-3</v>
      </c>
      <c r="C127" s="43">
        <v>1.3919299999999999</v>
      </c>
      <c r="D127" s="43">
        <v>9.7014800000000001</v>
      </c>
      <c r="E127" s="147">
        <v>1.2</v>
      </c>
      <c r="F127" s="43"/>
      <c r="G127" s="39"/>
      <c r="H127" s="144">
        <f t="shared" si="12"/>
        <v>12.2</v>
      </c>
      <c r="I127" s="43">
        <f t="shared" si="13"/>
        <v>1.5637092731829574E-2</v>
      </c>
      <c r="J127" s="43">
        <f t="shared" si="14"/>
        <v>1.3919299999999999</v>
      </c>
      <c r="K127" s="43">
        <f t="shared" si="15"/>
        <v>3.812377415311391E-4</v>
      </c>
      <c r="L127" s="43">
        <f t="shared" ca="1" si="16"/>
        <v>0</v>
      </c>
      <c r="M127" s="43">
        <f t="shared" ca="1" si="17"/>
        <v>97.781126261923788</v>
      </c>
      <c r="N127" s="43">
        <f t="shared" ca="1" si="18"/>
        <v>1.0419298513089797E-3</v>
      </c>
      <c r="O127" s="43">
        <f t="shared" si="19"/>
        <v>97.679298245614021</v>
      </c>
      <c r="P127" s="43">
        <f t="shared" si="20"/>
        <v>1.0424728487886383E-3</v>
      </c>
      <c r="Q127" s="43">
        <f t="shared" si="21"/>
        <v>0.12369246754103497</v>
      </c>
      <c r="R127" s="144" t="e">
        <f t="shared" si="22"/>
        <v>#N/A</v>
      </c>
      <c r="S127" s="147" t="e">
        <f t="shared" si="23"/>
        <v>#N/A</v>
      </c>
    </row>
    <row r="128" spans="1:19">
      <c r="A128" s="144">
        <v>12.2</v>
      </c>
      <c r="B128" s="43">
        <v>8.6599999999999993E-3</v>
      </c>
      <c r="C128" s="43">
        <v>1.3919299999999999</v>
      </c>
      <c r="D128" s="43">
        <v>9.7014800000000001</v>
      </c>
      <c r="E128" s="147">
        <v>1.2</v>
      </c>
      <c r="F128" s="43"/>
      <c r="G128" s="39"/>
      <c r="H128" s="144">
        <f t="shared" si="12"/>
        <v>12.2</v>
      </c>
      <c r="I128" s="43">
        <f t="shared" si="13"/>
        <v>1.5637092731829574E-2</v>
      </c>
      <c r="J128" s="43">
        <f t="shared" si="14"/>
        <v>1.3919299999999999</v>
      </c>
      <c r="K128" s="43">
        <f t="shared" si="15"/>
        <v>3.812377415311391E-4</v>
      </c>
      <c r="L128" s="43">
        <f t="shared" ca="1" si="16"/>
        <v>0</v>
      </c>
      <c r="M128" s="43">
        <f t="shared" ca="1" si="17"/>
        <v>97.781126261923788</v>
      </c>
      <c r="N128" s="43">
        <f t="shared" ca="1" si="18"/>
        <v>1.0419298513089797E-3</v>
      </c>
      <c r="O128" s="43">
        <f t="shared" si="19"/>
        <v>97.679298245614021</v>
      </c>
      <c r="P128" s="43">
        <f t="shared" si="20"/>
        <v>1.0424728487886383E-3</v>
      </c>
      <c r="Q128" s="43">
        <f t="shared" si="21"/>
        <v>0.12369246754103497</v>
      </c>
      <c r="R128" s="144" t="e">
        <f t="shared" si="22"/>
        <v>#N/A</v>
      </c>
      <c r="S128" s="147" t="e">
        <f t="shared" si="23"/>
        <v>#N/A</v>
      </c>
    </row>
    <row r="129" spans="1:19">
      <c r="A129" s="144">
        <v>12.2</v>
      </c>
      <c r="B129" s="43">
        <v>8.6599999999999993E-3</v>
      </c>
      <c r="C129" s="43">
        <v>1.3919299999999999</v>
      </c>
      <c r="D129" s="43">
        <v>9.7014800000000001</v>
      </c>
      <c r="E129" s="147">
        <v>1.2</v>
      </c>
      <c r="F129" s="43"/>
      <c r="G129" s="39"/>
      <c r="H129" s="144">
        <f t="shared" si="12"/>
        <v>12.2</v>
      </c>
      <c r="I129" s="43">
        <f t="shared" si="13"/>
        <v>1.5637092731829574E-2</v>
      </c>
      <c r="J129" s="43">
        <f t="shared" si="14"/>
        <v>1.3919299999999999</v>
      </c>
      <c r="K129" s="43">
        <f t="shared" si="15"/>
        <v>3.812377415311391E-4</v>
      </c>
      <c r="L129" s="43">
        <f t="shared" ca="1" si="16"/>
        <v>0</v>
      </c>
      <c r="M129" s="43">
        <f t="shared" ca="1" si="17"/>
        <v>97.781126261923788</v>
      </c>
      <c r="N129" s="43">
        <f t="shared" ca="1" si="18"/>
        <v>1.0419298513089797E-3</v>
      </c>
      <c r="O129" s="43">
        <f t="shared" si="19"/>
        <v>97.679298245614021</v>
      </c>
      <c r="P129" s="43">
        <f t="shared" si="20"/>
        <v>1.0424728487886383E-3</v>
      </c>
      <c r="Q129" s="43">
        <f t="shared" si="21"/>
        <v>0.12369246754103497</v>
      </c>
      <c r="R129" s="144" t="e">
        <f t="shared" si="22"/>
        <v>#N/A</v>
      </c>
      <c r="S129" s="147" t="e">
        <f t="shared" si="23"/>
        <v>#N/A</v>
      </c>
    </row>
    <row r="130" spans="1:19">
      <c r="A130" s="144">
        <v>12.2</v>
      </c>
      <c r="B130" s="43">
        <v>8.6599999999999993E-3</v>
      </c>
      <c r="C130" s="43">
        <v>1.3919299999999999</v>
      </c>
      <c r="D130" s="43">
        <v>9.7014800000000001</v>
      </c>
      <c r="E130" s="147">
        <v>1.2</v>
      </c>
      <c r="F130" s="43"/>
      <c r="G130" s="39"/>
      <c r="H130" s="144">
        <f t="shared" si="12"/>
        <v>12.2</v>
      </c>
      <c r="I130" s="43">
        <f t="shared" si="13"/>
        <v>1.5637092731829574E-2</v>
      </c>
      <c r="J130" s="43">
        <f t="shared" si="14"/>
        <v>1.3919299999999999</v>
      </c>
      <c r="K130" s="43">
        <f t="shared" si="15"/>
        <v>3.812377415311391E-4</v>
      </c>
      <c r="L130" s="43">
        <f t="shared" ca="1" si="16"/>
        <v>0</v>
      </c>
      <c r="M130" s="43">
        <f t="shared" ca="1" si="17"/>
        <v>97.781126261923788</v>
      </c>
      <c r="N130" s="43">
        <f t="shared" ca="1" si="18"/>
        <v>1.0419298513089797E-3</v>
      </c>
      <c r="O130" s="43">
        <f t="shared" si="19"/>
        <v>97.679298245614021</v>
      </c>
      <c r="P130" s="43">
        <f t="shared" si="20"/>
        <v>1.0424728487886383E-3</v>
      </c>
      <c r="Q130" s="43">
        <f t="shared" si="21"/>
        <v>0.12369246754103497</v>
      </c>
      <c r="R130" s="144" t="e">
        <f t="shared" si="22"/>
        <v>#N/A</v>
      </c>
      <c r="S130" s="147" t="e">
        <f t="shared" si="23"/>
        <v>#N/A</v>
      </c>
    </row>
    <row r="131" spans="1:19">
      <c r="A131" s="144">
        <v>12.2</v>
      </c>
      <c r="B131" s="43">
        <v>8.6599999999999993E-3</v>
      </c>
      <c r="C131" s="43">
        <v>1.3919299999999999</v>
      </c>
      <c r="D131" s="43">
        <v>9.7014800000000001</v>
      </c>
      <c r="E131" s="147">
        <v>1.2</v>
      </c>
      <c r="F131" s="43"/>
      <c r="G131" s="39"/>
      <c r="H131" s="144">
        <f t="shared" si="12"/>
        <v>12.2</v>
      </c>
      <c r="I131" s="43">
        <f t="shared" si="13"/>
        <v>1.5637092731829574E-2</v>
      </c>
      <c r="J131" s="43">
        <f t="shared" si="14"/>
        <v>1.3919299999999999</v>
      </c>
      <c r="K131" s="43">
        <f t="shared" si="15"/>
        <v>3.812377415311391E-4</v>
      </c>
      <c r="L131" s="43">
        <f t="shared" ca="1" si="16"/>
        <v>0</v>
      </c>
      <c r="M131" s="43">
        <f t="shared" ca="1" si="17"/>
        <v>97.781126261923788</v>
      </c>
      <c r="N131" s="43">
        <f t="shared" ca="1" si="18"/>
        <v>1.0419298513089797E-3</v>
      </c>
      <c r="O131" s="43">
        <f t="shared" si="19"/>
        <v>97.679298245614021</v>
      </c>
      <c r="P131" s="43">
        <f t="shared" si="20"/>
        <v>1.0424728487886383E-3</v>
      </c>
      <c r="Q131" s="43">
        <f t="shared" si="21"/>
        <v>0.12369246754103497</v>
      </c>
      <c r="R131" s="144" t="e">
        <f t="shared" si="22"/>
        <v>#N/A</v>
      </c>
      <c r="S131" s="147" t="e">
        <f t="shared" si="23"/>
        <v>#N/A</v>
      </c>
    </row>
    <row r="132" spans="1:19">
      <c r="A132" s="144">
        <v>12.2</v>
      </c>
      <c r="B132" s="43">
        <v>8.6599999999999993E-3</v>
      </c>
      <c r="C132" s="43">
        <v>1.3919299999999999</v>
      </c>
      <c r="D132" s="43">
        <v>9.7014800000000001</v>
      </c>
      <c r="E132" s="147">
        <v>1.2</v>
      </c>
      <c r="F132" s="43"/>
      <c r="G132" s="39"/>
      <c r="H132" s="144">
        <f t="shared" si="12"/>
        <v>12.2</v>
      </c>
      <c r="I132" s="43">
        <f t="shared" si="13"/>
        <v>1.5637092731829574E-2</v>
      </c>
      <c r="J132" s="43">
        <f t="shared" si="14"/>
        <v>1.3919299999999999</v>
      </c>
      <c r="K132" s="43">
        <f t="shared" si="15"/>
        <v>3.812377415311391E-4</v>
      </c>
      <c r="L132" s="43">
        <f t="shared" ca="1" si="16"/>
        <v>0</v>
      </c>
      <c r="M132" s="43">
        <f t="shared" ca="1" si="17"/>
        <v>97.781126261923788</v>
      </c>
      <c r="N132" s="43">
        <f t="shared" ca="1" si="18"/>
        <v>1.0419298513089797E-3</v>
      </c>
      <c r="O132" s="43">
        <f t="shared" si="19"/>
        <v>97.679298245614021</v>
      </c>
      <c r="P132" s="43">
        <f t="shared" si="20"/>
        <v>1.0424728487886383E-3</v>
      </c>
      <c r="Q132" s="43">
        <f t="shared" si="21"/>
        <v>0.12369246754103497</v>
      </c>
      <c r="R132" s="144" t="e">
        <f t="shared" si="22"/>
        <v>#N/A</v>
      </c>
      <c r="S132" s="147" t="e">
        <f t="shared" si="23"/>
        <v>#N/A</v>
      </c>
    </row>
    <row r="133" spans="1:19">
      <c r="A133" s="144">
        <v>12.2</v>
      </c>
      <c r="B133" s="43">
        <v>8.6599999999999993E-3</v>
      </c>
      <c r="C133" s="43">
        <v>1.3919299999999999</v>
      </c>
      <c r="D133" s="43">
        <v>9.7014800000000001</v>
      </c>
      <c r="E133" s="147">
        <v>1.2</v>
      </c>
      <c r="F133" s="43"/>
      <c r="G133" s="39"/>
      <c r="H133" s="144">
        <f t="shared" si="12"/>
        <v>12.2</v>
      </c>
      <c r="I133" s="43">
        <f t="shared" si="13"/>
        <v>1.5637092731829574E-2</v>
      </c>
      <c r="J133" s="43">
        <f t="shared" si="14"/>
        <v>1.3919299999999999</v>
      </c>
      <c r="K133" s="43">
        <f t="shared" si="15"/>
        <v>3.812377415311391E-4</v>
      </c>
      <c r="L133" s="43">
        <f t="shared" ca="1" si="16"/>
        <v>0</v>
      </c>
      <c r="M133" s="43">
        <f t="shared" ca="1" si="17"/>
        <v>97.781126261923788</v>
      </c>
      <c r="N133" s="43">
        <f t="shared" ca="1" si="18"/>
        <v>1.0419298513089797E-3</v>
      </c>
      <c r="O133" s="43">
        <f t="shared" si="19"/>
        <v>97.679298245614021</v>
      </c>
      <c r="P133" s="43">
        <f t="shared" si="20"/>
        <v>1.0424728487886383E-3</v>
      </c>
      <c r="Q133" s="43">
        <f t="shared" si="21"/>
        <v>0.12369246754103497</v>
      </c>
      <c r="R133" s="144" t="e">
        <f t="shared" si="22"/>
        <v>#N/A</v>
      </c>
      <c r="S133" s="147" t="e">
        <f t="shared" si="23"/>
        <v>#N/A</v>
      </c>
    </row>
    <row r="134" spans="1:19">
      <c r="A134" s="144">
        <v>12.2</v>
      </c>
      <c r="B134" s="43">
        <v>8.6599999999999993E-3</v>
      </c>
      <c r="C134" s="43">
        <v>1.3919299999999999</v>
      </c>
      <c r="D134" s="43">
        <v>9.7014800000000001</v>
      </c>
      <c r="E134" s="147">
        <v>1.2</v>
      </c>
      <c r="F134" s="43"/>
      <c r="G134" s="39"/>
      <c r="H134" s="144">
        <f t="shared" si="12"/>
        <v>12.2</v>
      </c>
      <c r="I134" s="43">
        <f t="shared" si="13"/>
        <v>1.5637092731829574E-2</v>
      </c>
      <c r="J134" s="43">
        <f t="shared" si="14"/>
        <v>1.3919299999999999</v>
      </c>
      <c r="K134" s="43">
        <f t="shared" si="15"/>
        <v>3.812377415311391E-4</v>
      </c>
      <c r="L134" s="43">
        <f t="shared" ca="1" si="16"/>
        <v>0</v>
      </c>
      <c r="M134" s="43">
        <f t="shared" ca="1" si="17"/>
        <v>97.781126261923788</v>
      </c>
      <c r="N134" s="43">
        <f t="shared" ca="1" si="18"/>
        <v>1.0419298513089797E-3</v>
      </c>
      <c r="O134" s="43">
        <f t="shared" si="19"/>
        <v>97.679298245614021</v>
      </c>
      <c r="P134" s="43">
        <f t="shared" si="20"/>
        <v>1.0424728487886383E-3</v>
      </c>
      <c r="Q134" s="43">
        <f t="shared" si="21"/>
        <v>0.12369246754103497</v>
      </c>
      <c r="R134" s="144" t="e">
        <f t="shared" si="22"/>
        <v>#N/A</v>
      </c>
      <c r="S134" s="147" t="e">
        <f t="shared" si="23"/>
        <v>#N/A</v>
      </c>
    </row>
    <row r="135" spans="1:19">
      <c r="A135" s="144">
        <v>12.2</v>
      </c>
      <c r="B135" s="43">
        <v>8.6599999999999993E-3</v>
      </c>
      <c r="C135" s="43">
        <v>1.3919299999999999</v>
      </c>
      <c r="D135" s="43">
        <v>9.7014800000000001</v>
      </c>
      <c r="E135" s="147">
        <v>1.2</v>
      </c>
      <c r="F135" s="43"/>
      <c r="G135" s="39"/>
      <c r="H135" s="144">
        <f t="shared" si="12"/>
        <v>12.2</v>
      </c>
      <c r="I135" s="43">
        <f t="shared" si="13"/>
        <v>1.5637092731829574E-2</v>
      </c>
      <c r="J135" s="43">
        <f t="shared" si="14"/>
        <v>1.3919299999999999</v>
      </c>
      <c r="K135" s="43">
        <f t="shared" si="15"/>
        <v>3.812377415311391E-4</v>
      </c>
      <c r="L135" s="43">
        <f t="shared" ca="1" si="16"/>
        <v>0</v>
      </c>
      <c r="M135" s="43">
        <f t="shared" ca="1" si="17"/>
        <v>97.781126261923788</v>
      </c>
      <c r="N135" s="43">
        <f t="shared" ca="1" si="18"/>
        <v>1.0419298513089797E-3</v>
      </c>
      <c r="O135" s="43">
        <f t="shared" si="19"/>
        <v>97.679298245614021</v>
      </c>
      <c r="P135" s="43">
        <f t="shared" si="20"/>
        <v>1.0424728487886383E-3</v>
      </c>
      <c r="Q135" s="43">
        <f t="shared" si="21"/>
        <v>0.12369246754103497</v>
      </c>
      <c r="R135" s="144" t="e">
        <f t="shared" si="22"/>
        <v>#N/A</v>
      </c>
      <c r="S135" s="147" t="e">
        <f t="shared" si="23"/>
        <v>#N/A</v>
      </c>
    </row>
    <row r="136" spans="1:19">
      <c r="A136" s="144">
        <v>12.2</v>
      </c>
      <c r="B136" s="43">
        <v>8.6599999999999993E-3</v>
      </c>
      <c r="C136" s="43">
        <v>1.3919299999999999</v>
      </c>
      <c r="D136" s="43">
        <v>9.7014800000000001</v>
      </c>
      <c r="E136" s="147">
        <v>1.2</v>
      </c>
      <c r="F136" s="43"/>
      <c r="G136" s="39"/>
      <c r="H136" s="144">
        <f t="shared" si="12"/>
        <v>12.2</v>
      </c>
      <c r="I136" s="43">
        <f t="shared" si="13"/>
        <v>1.5637092731829574E-2</v>
      </c>
      <c r="J136" s="43">
        <f t="shared" si="14"/>
        <v>1.3919299999999999</v>
      </c>
      <c r="K136" s="43">
        <f t="shared" si="15"/>
        <v>3.812377415311391E-4</v>
      </c>
      <c r="L136" s="43">
        <f t="shared" ca="1" si="16"/>
        <v>0</v>
      </c>
      <c r="M136" s="43">
        <f t="shared" ca="1" si="17"/>
        <v>97.781126261923788</v>
      </c>
      <c r="N136" s="43">
        <f t="shared" ca="1" si="18"/>
        <v>1.0419298513089797E-3</v>
      </c>
      <c r="O136" s="43">
        <f t="shared" si="19"/>
        <v>97.679298245614021</v>
      </c>
      <c r="P136" s="43">
        <f t="shared" si="20"/>
        <v>1.0424728487886383E-3</v>
      </c>
      <c r="Q136" s="43">
        <f t="shared" si="21"/>
        <v>0.12369246754103497</v>
      </c>
      <c r="R136" s="144" t="e">
        <f t="shared" si="22"/>
        <v>#N/A</v>
      </c>
      <c r="S136" s="147" t="e">
        <f t="shared" si="23"/>
        <v>#N/A</v>
      </c>
    </row>
    <row r="137" spans="1:19">
      <c r="A137" s="144">
        <v>12.2</v>
      </c>
      <c r="B137" s="43">
        <v>8.6599999999999993E-3</v>
      </c>
      <c r="C137" s="43">
        <v>1.3919299999999999</v>
      </c>
      <c r="D137" s="43">
        <v>9.7014800000000001</v>
      </c>
      <c r="E137" s="147">
        <v>1.2</v>
      </c>
      <c r="F137" s="43"/>
      <c r="G137" s="39"/>
      <c r="H137" s="144">
        <f t="shared" si="12"/>
        <v>12.2</v>
      </c>
      <c r="I137" s="43">
        <f t="shared" si="13"/>
        <v>1.5637092731829574E-2</v>
      </c>
      <c r="J137" s="43">
        <f t="shared" si="14"/>
        <v>1.3919299999999999</v>
      </c>
      <c r="K137" s="43">
        <f t="shared" si="15"/>
        <v>3.812377415311391E-4</v>
      </c>
      <c r="L137" s="43">
        <f t="shared" ca="1" si="16"/>
        <v>0</v>
      </c>
      <c r="M137" s="43">
        <f t="shared" ca="1" si="17"/>
        <v>97.781126261923788</v>
      </c>
      <c r="N137" s="43">
        <f t="shared" ca="1" si="18"/>
        <v>1.0419298513089797E-3</v>
      </c>
      <c r="O137" s="43">
        <f t="shared" si="19"/>
        <v>97.679298245614021</v>
      </c>
      <c r="P137" s="43">
        <f t="shared" si="20"/>
        <v>1.0424728487886383E-3</v>
      </c>
      <c r="Q137" s="43">
        <f t="shared" si="21"/>
        <v>0.12369246754103497</v>
      </c>
      <c r="R137" s="144" t="e">
        <f t="shared" si="22"/>
        <v>#N/A</v>
      </c>
      <c r="S137" s="147" t="e">
        <f t="shared" si="23"/>
        <v>#N/A</v>
      </c>
    </row>
    <row r="138" spans="1:19">
      <c r="A138" s="144">
        <v>12.2</v>
      </c>
      <c r="B138" s="43">
        <v>8.6599999999999993E-3</v>
      </c>
      <c r="C138" s="43">
        <v>1.3919299999999999</v>
      </c>
      <c r="D138" s="43">
        <v>9.7014800000000001</v>
      </c>
      <c r="E138" s="147">
        <v>1.2</v>
      </c>
      <c r="F138" s="43"/>
      <c r="G138" s="39"/>
      <c r="H138" s="144">
        <f t="shared" si="12"/>
        <v>12.2</v>
      </c>
      <c r="I138" s="43">
        <f t="shared" si="13"/>
        <v>1.5637092731829574E-2</v>
      </c>
      <c r="J138" s="43">
        <f t="shared" si="14"/>
        <v>1.3919299999999999</v>
      </c>
      <c r="K138" s="43">
        <f t="shared" si="15"/>
        <v>3.812377415311391E-4</v>
      </c>
      <c r="L138" s="43">
        <f t="shared" ca="1" si="16"/>
        <v>0</v>
      </c>
      <c r="M138" s="43">
        <f t="shared" ca="1" si="17"/>
        <v>97.781126261923788</v>
      </c>
      <c r="N138" s="43">
        <f t="shared" ca="1" si="18"/>
        <v>1.0419298513089797E-3</v>
      </c>
      <c r="O138" s="43">
        <f t="shared" si="19"/>
        <v>97.679298245614021</v>
      </c>
      <c r="P138" s="43">
        <f t="shared" si="20"/>
        <v>1.0424728487886383E-3</v>
      </c>
      <c r="Q138" s="43">
        <f t="shared" si="21"/>
        <v>0.12369246754103497</v>
      </c>
      <c r="R138" s="144" t="e">
        <f t="shared" si="22"/>
        <v>#N/A</v>
      </c>
      <c r="S138" s="147" t="e">
        <f t="shared" si="23"/>
        <v>#N/A</v>
      </c>
    </row>
    <row r="139" spans="1:19">
      <c r="A139" s="144">
        <v>12.2</v>
      </c>
      <c r="B139" s="43">
        <v>8.6599999999999993E-3</v>
      </c>
      <c r="C139" s="43">
        <v>1.3919299999999999</v>
      </c>
      <c r="D139" s="43">
        <v>9.7014800000000001</v>
      </c>
      <c r="E139" s="147">
        <v>1.2</v>
      </c>
      <c r="F139" s="43"/>
      <c r="G139" s="39"/>
      <c r="H139" s="144">
        <f t="shared" si="12"/>
        <v>12.2</v>
      </c>
      <c r="I139" s="43">
        <f t="shared" si="13"/>
        <v>1.5637092731829574E-2</v>
      </c>
      <c r="J139" s="43">
        <f t="shared" si="14"/>
        <v>1.3919299999999999</v>
      </c>
      <c r="K139" s="43">
        <f t="shared" si="15"/>
        <v>3.812377415311391E-4</v>
      </c>
      <c r="L139" s="43">
        <f t="shared" ca="1" si="16"/>
        <v>0</v>
      </c>
      <c r="M139" s="43">
        <f t="shared" ca="1" si="17"/>
        <v>97.781126261923788</v>
      </c>
      <c r="N139" s="43">
        <f t="shared" ca="1" si="18"/>
        <v>1.0419298513089797E-3</v>
      </c>
      <c r="O139" s="43">
        <f t="shared" si="19"/>
        <v>97.679298245614021</v>
      </c>
      <c r="P139" s="43">
        <f t="shared" si="20"/>
        <v>1.0424728487886383E-3</v>
      </c>
      <c r="Q139" s="43">
        <f t="shared" si="21"/>
        <v>0.12369246754103497</v>
      </c>
      <c r="R139" s="144" t="e">
        <f t="shared" si="22"/>
        <v>#N/A</v>
      </c>
      <c r="S139" s="147" t="e">
        <f t="shared" si="23"/>
        <v>#N/A</v>
      </c>
    </row>
    <row r="140" spans="1:19">
      <c r="A140" s="144">
        <v>12.2</v>
      </c>
      <c r="B140" s="43">
        <v>8.6599999999999993E-3</v>
      </c>
      <c r="C140" s="43">
        <v>1.3919299999999999</v>
      </c>
      <c r="D140" s="43">
        <v>9.7014800000000001</v>
      </c>
      <c r="E140" s="147">
        <v>1.2</v>
      </c>
      <c r="F140" s="43"/>
      <c r="G140" s="39"/>
      <c r="H140" s="144">
        <f t="shared" si="12"/>
        <v>12.2</v>
      </c>
      <c r="I140" s="43">
        <f t="shared" si="13"/>
        <v>1.5637092731829574E-2</v>
      </c>
      <c r="J140" s="43">
        <f t="shared" si="14"/>
        <v>1.3919299999999999</v>
      </c>
      <c r="K140" s="43">
        <f t="shared" si="15"/>
        <v>3.812377415311391E-4</v>
      </c>
      <c r="L140" s="43">
        <f t="shared" ca="1" si="16"/>
        <v>0</v>
      </c>
      <c r="M140" s="43">
        <f t="shared" ca="1" si="17"/>
        <v>97.781126261923788</v>
      </c>
      <c r="N140" s="43">
        <f t="shared" ca="1" si="18"/>
        <v>1.0419298513089797E-3</v>
      </c>
      <c r="O140" s="43">
        <f t="shared" si="19"/>
        <v>97.679298245614021</v>
      </c>
      <c r="P140" s="43">
        <f t="shared" si="20"/>
        <v>1.0424728487886383E-3</v>
      </c>
      <c r="Q140" s="43">
        <f t="shared" si="21"/>
        <v>0.12369246754103497</v>
      </c>
      <c r="R140" s="144" t="e">
        <f t="shared" si="22"/>
        <v>#N/A</v>
      </c>
      <c r="S140" s="147" t="e">
        <f t="shared" si="23"/>
        <v>#N/A</v>
      </c>
    </row>
    <row r="141" spans="1:19">
      <c r="A141" s="144">
        <v>12.2</v>
      </c>
      <c r="B141" s="43">
        <v>8.6599999999999993E-3</v>
      </c>
      <c r="C141" s="43">
        <v>1.3919299999999999</v>
      </c>
      <c r="D141" s="43">
        <v>9.7014800000000001</v>
      </c>
      <c r="E141" s="147">
        <v>1.2</v>
      </c>
      <c r="F141" s="43"/>
      <c r="G141" s="39"/>
      <c r="H141" s="144">
        <f t="shared" si="12"/>
        <v>12.2</v>
      </c>
      <c r="I141" s="43">
        <f t="shared" si="13"/>
        <v>1.5637092731829574E-2</v>
      </c>
      <c r="J141" s="43">
        <f t="shared" si="14"/>
        <v>1.3919299999999999</v>
      </c>
      <c r="K141" s="43">
        <f t="shared" si="15"/>
        <v>3.812377415311391E-4</v>
      </c>
      <c r="L141" s="43">
        <f t="shared" ca="1" si="16"/>
        <v>0</v>
      </c>
      <c r="M141" s="43">
        <f t="shared" ca="1" si="17"/>
        <v>97.781126261923788</v>
      </c>
      <c r="N141" s="43">
        <f t="shared" ca="1" si="18"/>
        <v>1.0419298513089797E-3</v>
      </c>
      <c r="O141" s="43">
        <f t="shared" si="19"/>
        <v>97.679298245614021</v>
      </c>
      <c r="P141" s="43">
        <f t="shared" si="20"/>
        <v>1.0424728487886383E-3</v>
      </c>
      <c r="Q141" s="43">
        <f t="shared" si="21"/>
        <v>0.12369246754103497</v>
      </c>
      <c r="R141" s="144" t="e">
        <f t="shared" si="22"/>
        <v>#N/A</v>
      </c>
      <c r="S141" s="147" t="e">
        <f t="shared" si="23"/>
        <v>#N/A</v>
      </c>
    </row>
    <row r="142" spans="1:19">
      <c r="A142" s="144">
        <v>12.2</v>
      </c>
      <c r="B142" s="43">
        <v>8.6599999999999993E-3</v>
      </c>
      <c r="C142" s="43">
        <v>1.3919299999999999</v>
      </c>
      <c r="D142" s="43">
        <v>9.7014800000000001</v>
      </c>
      <c r="E142" s="147">
        <v>1.2</v>
      </c>
      <c r="F142" s="43"/>
      <c r="G142" s="39"/>
      <c r="H142" s="144">
        <f t="shared" si="12"/>
        <v>12.2</v>
      </c>
      <c r="I142" s="43">
        <f t="shared" si="13"/>
        <v>1.5637092731829574E-2</v>
      </c>
      <c r="J142" s="43">
        <f t="shared" si="14"/>
        <v>1.3919299999999999</v>
      </c>
      <c r="K142" s="43">
        <f t="shared" si="15"/>
        <v>3.812377415311391E-4</v>
      </c>
      <c r="L142" s="43">
        <f t="shared" ca="1" si="16"/>
        <v>0</v>
      </c>
      <c r="M142" s="43">
        <f t="shared" ca="1" si="17"/>
        <v>97.781126261923788</v>
      </c>
      <c r="N142" s="43">
        <f t="shared" ca="1" si="18"/>
        <v>1.0419298513089797E-3</v>
      </c>
      <c r="O142" s="43">
        <f t="shared" si="19"/>
        <v>97.679298245614021</v>
      </c>
      <c r="P142" s="43">
        <f t="shared" si="20"/>
        <v>1.0424728487886383E-3</v>
      </c>
      <c r="Q142" s="43">
        <f t="shared" si="21"/>
        <v>0.12369246754103497</v>
      </c>
      <c r="R142" s="144" t="e">
        <f t="shared" si="22"/>
        <v>#N/A</v>
      </c>
      <c r="S142" s="147" t="e">
        <f t="shared" si="23"/>
        <v>#N/A</v>
      </c>
    </row>
    <row r="143" spans="1:19">
      <c r="A143" s="144">
        <v>12.2</v>
      </c>
      <c r="B143" s="43">
        <v>8.6599999999999993E-3</v>
      </c>
      <c r="C143" s="43">
        <v>1.3919299999999999</v>
      </c>
      <c r="D143" s="43">
        <v>9.7014800000000001</v>
      </c>
      <c r="E143" s="147">
        <v>1.2</v>
      </c>
      <c r="F143" s="43"/>
      <c r="G143" s="39"/>
      <c r="H143" s="144">
        <f t="shared" si="12"/>
        <v>12.2</v>
      </c>
      <c r="I143" s="43">
        <f t="shared" si="13"/>
        <v>1.5637092731829574E-2</v>
      </c>
      <c r="J143" s="43">
        <f t="shared" si="14"/>
        <v>1.3919299999999999</v>
      </c>
      <c r="K143" s="43">
        <f t="shared" si="15"/>
        <v>3.812377415311391E-4</v>
      </c>
      <c r="L143" s="43">
        <f t="shared" ca="1" si="16"/>
        <v>0</v>
      </c>
      <c r="M143" s="43">
        <f t="shared" ca="1" si="17"/>
        <v>97.781126261923788</v>
      </c>
      <c r="N143" s="43">
        <f t="shared" ca="1" si="18"/>
        <v>1.0419298513089797E-3</v>
      </c>
      <c r="O143" s="43">
        <f t="shared" si="19"/>
        <v>97.679298245614021</v>
      </c>
      <c r="P143" s="43">
        <f t="shared" si="20"/>
        <v>1.0424728487886383E-3</v>
      </c>
      <c r="Q143" s="43">
        <f t="shared" si="21"/>
        <v>0.12369246754103497</v>
      </c>
      <c r="R143" s="144" t="e">
        <f t="shared" si="22"/>
        <v>#N/A</v>
      </c>
      <c r="S143" s="147" t="e">
        <f t="shared" si="23"/>
        <v>#N/A</v>
      </c>
    </row>
    <row r="144" spans="1:19">
      <c r="A144" s="144">
        <v>12.2</v>
      </c>
      <c r="B144" s="43">
        <v>8.6599999999999993E-3</v>
      </c>
      <c r="C144" s="43">
        <v>1.3919299999999999</v>
      </c>
      <c r="D144" s="43">
        <v>9.7014800000000001</v>
      </c>
      <c r="E144" s="147">
        <v>1.2</v>
      </c>
      <c r="F144" s="43"/>
      <c r="G144" s="39"/>
      <c r="H144" s="144">
        <f t="shared" ref="H144:H207" si="24">A144</f>
        <v>12.2</v>
      </c>
      <c r="I144" s="43">
        <f t="shared" ref="I144:I207" si="25">B144+$G$7</f>
        <v>1.5637092731829574E-2</v>
      </c>
      <c r="J144" s="43">
        <f t="shared" ref="J144:J207" si="26">C144</f>
        <v>1.3919299999999999</v>
      </c>
      <c r="K144" s="43">
        <f t="shared" ref="K144:K207" si="27">(P144-(O144/$I$9))</f>
        <v>3.812377415311391E-4</v>
      </c>
      <c r="L144" s="43">
        <f t="shared" ref="L144:L207" ca="1" si="28">IF(I144&lt;$I$5,(LN(D144/$D$15))/LN(($I$10*$D$15)/((B144+$I$10)*D144)),#N/A)</f>
        <v>0</v>
      </c>
      <c r="M144" s="43">
        <f t="shared" ref="M144:M207" ca="1" si="29">IF(I144&lt;$I$5,O144*(1+P144),#N/A)</f>
        <v>97.781126261923788</v>
      </c>
      <c r="N144" s="43">
        <f t="shared" ref="N144:N207" ca="1" si="30">IF(I144&lt;$I$5,LN(1+P144),#N/A)</f>
        <v>1.0419298513089797E-3</v>
      </c>
      <c r="O144" s="43">
        <f t="shared" ref="O144:O207" si="31">(C144*1000)/$I$7</f>
        <v>97.679298245614021</v>
      </c>
      <c r="P144" s="43">
        <f t="shared" ref="P144:P207" si="32">I144/$I$10</f>
        <v>1.0424728487886383E-3</v>
      </c>
      <c r="Q144" s="43">
        <f t="shared" ref="Q144:Q207" si="33">E144/$D$15</f>
        <v>0.12369246754103497</v>
      </c>
      <c r="R144" s="144" t="e">
        <f t="shared" ref="R144:R207" si="34">IF(AND(($N$8/100)&lt;K144,($N$9/100)&gt;K144),LN(1-Q144),#N/A)</f>
        <v>#N/A</v>
      </c>
      <c r="S144" s="147" t="e">
        <f t="shared" ref="S144:S207" si="35">IF(AND(($N$8/100)&lt;K144,($N$9/100)&gt;K144),LN(1+P144),#N/A)</f>
        <v>#N/A</v>
      </c>
    </row>
    <row r="145" spans="1:19">
      <c r="A145" s="144">
        <v>12.2</v>
      </c>
      <c r="B145" s="43">
        <v>8.6599999999999993E-3</v>
      </c>
      <c r="C145" s="43">
        <v>1.3919299999999999</v>
      </c>
      <c r="D145" s="43">
        <v>9.7014800000000001</v>
      </c>
      <c r="E145" s="147">
        <v>1.2</v>
      </c>
      <c r="F145" s="43"/>
      <c r="G145" s="39"/>
      <c r="H145" s="144">
        <f t="shared" si="24"/>
        <v>12.2</v>
      </c>
      <c r="I145" s="43">
        <f t="shared" si="25"/>
        <v>1.5637092731829574E-2</v>
      </c>
      <c r="J145" s="43">
        <f t="shared" si="26"/>
        <v>1.3919299999999999</v>
      </c>
      <c r="K145" s="43">
        <f t="shared" si="27"/>
        <v>3.812377415311391E-4</v>
      </c>
      <c r="L145" s="43">
        <f t="shared" ca="1" si="28"/>
        <v>0</v>
      </c>
      <c r="M145" s="43">
        <f t="shared" ca="1" si="29"/>
        <v>97.781126261923788</v>
      </c>
      <c r="N145" s="43">
        <f t="shared" ca="1" si="30"/>
        <v>1.0419298513089797E-3</v>
      </c>
      <c r="O145" s="43">
        <f t="shared" si="31"/>
        <v>97.679298245614021</v>
      </c>
      <c r="P145" s="43">
        <f t="shared" si="32"/>
        <v>1.0424728487886383E-3</v>
      </c>
      <c r="Q145" s="43">
        <f t="shared" si="33"/>
        <v>0.12369246754103497</v>
      </c>
      <c r="R145" s="144" t="e">
        <f t="shared" si="34"/>
        <v>#N/A</v>
      </c>
      <c r="S145" s="147" t="e">
        <f t="shared" si="35"/>
        <v>#N/A</v>
      </c>
    </row>
    <row r="146" spans="1:19">
      <c r="A146" s="144">
        <v>12.2</v>
      </c>
      <c r="B146" s="43">
        <v>8.6599999999999993E-3</v>
      </c>
      <c r="C146" s="43">
        <v>1.3919299999999999</v>
      </c>
      <c r="D146" s="43">
        <v>9.7014800000000001</v>
      </c>
      <c r="E146" s="147">
        <v>1.2</v>
      </c>
      <c r="F146" s="43"/>
      <c r="G146" s="39"/>
      <c r="H146" s="144">
        <f t="shared" si="24"/>
        <v>12.2</v>
      </c>
      <c r="I146" s="43">
        <f t="shared" si="25"/>
        <v>1.5637092731829574E-2</v>
      </c>
      <c r="J146" s="43">
        <f t="shared" si="26"/>
        <v>1.3919299999999999</v>
      </c>
      <c r="K146" s="43">
        <f t="shared" si="27"/>
        <v>3.812377415311391E-4</v>
      </c>
      <c r="L146" s="43">
        <f t="shared" ca="1" si="28"/>
        <v>0</v>
      </c>
      <c r="M146" s="43">
        <f t="shared" ca="1" si="29"/>
        <v>97.781126261923788</v>
      </c>
      <c r="N146" s="43">
        <f t="shared" ca="1" si="30"/>
        <v>1.0419298513089797E-3</v>
      </c>
      <c r="O146" s="43">
        <f t="shared" si="31"/>
        <v>97.679298245614021</v>
      </c>
      <c r="P146" s="43">
        <f t="shared" si="32"/>
        <v>1.0424728487886383E-3</v>
      </c>
      <c r="Q146" s="43">
        <f t="shared" si="33"/>
        <v>0.12369246754103497</v>
      </c>
      <c r="R146" s="144" t="e">
        <f t="shared" si="34"/>
        <v>#N/A</v>
      </c>
      <c r="S146" s="147" t="e">
        <f t="shared" si="35"/>
        <v>#N/A</v>
      </c>
    </row>
    <row r="147" spans="1:19">
      <c r="A147" s="144">
        <v>12.2</v>
      </c>
      <c r="B147" s="43">
        <v>8.6599999999999993E-3</v>
      </c>
      <c r="C147" s="43">
        <v>1.3919299999999999</v>
      </c>
      <c r="D147" s="43">
        <v>9.7014800000000001</v>
      </c>
      <c r="E147" s="147">
        <v>1.2</v>
      </c>
      <c r="F147" s="43"/>
      <c r="G147" s="39"/>
      <c r="H147" s="144">
        <f t="shared" si="24"/>
        <v>12.2</v>
      </c>
      <c r="I147" s="43">
        <f t="shared" si="25"/>
        <v>1.5637092731829574E-2</v>
      </c>
      <c r="J147" s="43">
        <f t="shared" si="26"/>
        <v>1.3919299999999999</v>
      </c>
      <c r="K147" s="43">
        <f t="shared" si="27"/>
        <v>3.812377415311391E-4</v>
      </c>
      <c r="L147" s="43">
        <f t="shared" ca="1" si="28"/>
        <v>0</v>
      </c>
      <c r="M147" s="43">
        <f t="shared" ca="1" si="29"/>
        <v>97.781126261923788</v>
      </c>
      <c r="N147" s="43">
        <f t="shared" ca="1" si="30"/>
        <v>1.0419298513089797E-3</v>
      </c>
      <c r="O147" s="43">
        <f t="shared" si="31"/>
        <v>97.679298245614021</v>
      </c>
      <c r="P147" s="43">
        <f t="shared" si="32"/>
        <v>1.0424728487886383E-3</v>
      </c>
      <c r="Q147" s="43">
        <f t="shared" si="33"/>
        <v>0.12369246754103497</v>
      </c>
      <c r="R147" s="144" t="e">
        <f t="shared" si="34"/>
        <v>#N/A</v>
      </c>
      <c r="S147" s="147" t="e">
        <f t="shared" si="35"/>
        <v>#N/A</v>
      </c>
    </row>
    <row r="148" spans="1:19">
      <c r="A148" s="144">
        <v>12.2</v>
      </c>
      <c r="B148" s="43">
        <v>8.6599999999999993E-3</v>
      </c>
      <c r="C148" s="43">
        <v>1.3919299999999999</v>
      </c>
      <c r="D148" s="43">
        <v>9.7014800000000001</v>
      </c>
      <c r="E148" s="147">
        <v>1.2</v>
      </c>
      <c r="F148" s="43"/>
      <c r="G148" s="39"/>
      <c r="H148" s="144">
        <f t="shared" si="24"/>
        <v>12.2</v>
      </c>
      <c r="I148" s="43">
        <f t="shared" si="25"/>
        <v>1.5637092731829574E-2</v>
      </c>
      <c r="J148" s="43">
        <f t="shared" si="26"/>
        <v>1.3919299999999999</v>
      </c>
      <c r="K148" s="43">
        <f t="shared" si="27"/>
        <v>3.812377415311391E-4</v>
      </c>
      <c r="L148" s="43">
        <f t="shared" ca="1" si="28"/>
        <v>0</v>
      </c>
      <c r="M148" s="43">
        <f t="shared" ca="1" si="29"/>
        <v>97.781126261923788</v>
      </c>
      <c r="N148" s="43">
        <f t="shared" ca="1" si="30"/>
        <v>1.0419298513089797E-3</v>
      </c>
      <c r="O148" s="43">
        <f t="shared" si="31"/>
        <v>97.679298245614021</v>
      </c>
      <c r="P148" s="43">
        <f t="shared" si="32"/>
        <v>1.0424728487886383E-3</v>
      </c>
      <c r="Q148" s="43">
        <f t="shared" si="33"/>
        <v>0.12369246754103497</v>
      </c>
      <c r="R148" s="144" t="e">
        <f t="shared" si="34"/>
        <v>#N/A</v>
      </c>
      <c r="S148" s="147" t="e">
        <f t="shared" si="35"/>
        <v>#N/A</v>
      </c>
    </row>
    <row r="149" spans="1:19">
      <c r="A149" s="144">
        <v>12.2</v>
      </c>
      <c r="B149" s="43">
        <v>8.6599999999999993E-3</v>
      </c>
      <c r="C149" s="43">
        <v>1.3919299999999999</v>
      </c>
      <c r="D149" s="43">
        <v>9.7014800000000001</v>
      </c>
      <c r="E149" s="147">
        <v>1.2</v>
      </c>
      <c r="F149" s="43"/>
      <c r="G149" s="39"/>
      <c r="H149" s="144">
        <f t="shared" si="24"/>
        <v>12.2</v>
      </c>
      <c r="I149" s="43">
        <f t="shared" si="25"/>
        <v>1.5637092731829574E-2</v>
      </c>
      <c r="J149" s="43">
        <f t="shared" si="26"/>
        <v>1.3919299999999999</v>
      </c>
      <c r="K149" s="43">
        <f t="shared" si="27"/>
        <v>3.812377415311391E-4</v>
      </c>
      <c r="L149" s="43">
        <f t="shared" ca="1" si="28"/>
        <v>0</v>
      </c>
      <c r="M149" s="43">
        <f t="shared" ca="1" si="29"/>
        <v>97.781126261923788</v>
      </c>
      <c r="N149" s="43">
        <f t="shared" ca="1" si="30"/>
        <v>1.0419298513089797E-3</v>
      </c>
      <c r="O149" s="43">
        <f t="shared" si="31"/>
        <v>97.679298245614021</v>
      </c>
      <c r="P149" s="43">
        <f t="shared" si="32"/>
        <v>1.0424728487886383E-3</v>
      </c>
      <c r="Q149" s="43">
        <f t="shared" si="33"/>
        <v>0.12369246754103497</v>
      </c>
      <c r="R149" s="144" t="e">
        <f t="shared" si="34"/>
        <v>#N/A</v>
      </c>
      <c r="S149" s="147" t="e">
        <f t="shared" si="35"/>
        <v>#N/A</v>
      </c>
    </row>
    <row r="150" spans="1:19">
      <c r="A150" s="144">
        <v>12.2</v>
      </c>
      <c r="B150" s="43">
        <v>8.6599999999999993E-3</v>
      </c>
      <c r="C150" s="43">
        <v>1.3919299999999999</v>
      </c>
      <c r="D150" s="43">
        <v>9.7014800000000001</v>
      </c>
      <c r="E150" s="147">
        <v>1.2</v>
      </c>
      <c r="F150" s="43"/>
      <c r="G150" s="39"/>
      <c r="H150" s="144">
        <f t="shared" si="24"/>
        <v>12.2</v>
      </c>
      <c r="I150" s="43">
        <f t="shared" si="25"/>
        <v>1.5637092731829574E-2</v>
      </c>
      <c r="J150" s="43">
        <f t="shared" si="26"/>
        <v>1.3919299999999999</v>
      </c>
      <c r="K150" s="43">
        <f t="shared" si="27"/>
        <v>3.812377415311391E-4</v>
      </c>
      <c r="L150" s="43">
        <f t="shared" ca="1" si="28"/>
        <v>0</v>
      </c>
      <c r="M150" s="43">
        <f t="shared" ca="1" si="29"/>
        <v>97.781126261923788</v>
      </c>
      <c r="N150" s="43">
        <f t="shared" ca="1" si="30"/>
        <v>1.0419298513089797E-3</v>
      </c>
      <c r="O150" s="43">
        <f t="shared" si="31"/>
        <v>97.679298245614021</v>
      </c>
      <c r="P150" s="43">
        <f t="shared" si="32"/>
        <v>1.0424728487886383E-3</v>
      </c>
      <c r="Q150" s="43">
        <f t="shared" si="33"/>
        <v>0.12369246754103497</v>
      </c>
      <c r="R150" s="144" t="e">
        <f t="shared" si="34"/>
        <v>#N/A</v>
      </c>
      <c r="S150" s="147" t="e">
        <f t="shared" si="35"/>
        <v>#N/A</v>
      </c>
    </row>
    <row r="151" spans="1:19">
      <c r="A151" s="144">
        <v>12.2</v>
      </c>
      <c r="B151" s="43">
        <v>8.6599999999999993E-3</v>
      </c>
      <c r="C151" s="43">
        <v>1.3919299999999999</v>
      </c>
      <c r="D151" s="43">
        <v>9.7014800000000001</v>
      </c>
      <c r="E151" s="147">
        <v>1.2</v>
      </c>
      <c r="F151" s="43"/>
      <c r="G151" s="39"/>
      <c r="H151" s="144">
        <f t="shared" si="24"/>
        <v>12.2</v>
      </c>
      <c r="I151" s="43">
        <f t="shared" si="25"/>
        <v>1.5637092731829574E-2</v>
      </c>
      <c r="J151" s="43">
        <f t="shared" si="26"/>
        <v>1.3919299999999999</v>
      </c>
      <c r="K151" s="43">
        <f t="shared" si="27"/>
        <v>3.812377415311391E-4</v>
      </c>
      <c r="L151" s="43">
        <f t="shared" ca="1" si="28"/>
        <v>0</v>
      </c>
      <c r="M151" s="43">
        <f t="shared" ca="1" si="29"/>
        <v>97.781126261923788</v>
      </c>
      <c r="N151" s="43">
        <f t="shared" ca="1" si="30"/>
        <v>1.0419298513089797E-3</v>
      </c>
      <c r="O151" s="43">
        <f t="shared" si="31"/>
        <v>97.679298245614021</v>
      </c>
      <c r="P151" s="43">
        <f t="shared" si="32"/>
        <v>1.0424728487886383E-3</v>
      </c>
      <c r="Q151" s="43">
        <f t="shared" si="33"/>
        <v>0.12369246754103497</v>
      </c>
      <c r="R151" s="144" t="e">
        <f t="shared" si="34"/>
        <v>#N/A</v>
      </c>
      <c r="S151" s="147" t="e">
        <f t="shared" si="35"/>
        <v>#N/A</v>
      </c>
    </row>
    <row r="152" spans="1:19">
      <c r="A152" s="144">
        <v>12.2</v>
      </c>
      <c r="B152" s="43">
        <v>8.6599999999999993E-3</v>
      </c>
      <c r="C152" s="43">
        <v>1.3919299999999999</v>
      </c>
      <c r="D152" s="43">
        <v>9.7014800000000001</v>
      </c>
      <c r="E152" s="147">
        <v>1.2</v>
      </c>
      <c r="F152" s="43"/>
      <c r="G152" s="39"/>
      <c r="H152" s="144">
        <f t="shared" si="24"/>
        <v>12.2</v>
      </c>
      <c r="I152" s="43">
        <f t="shared" si="25"/>
        <v>1.5637092731829574E-2</v>
      </c>
      <c r="J152" s="43">
        <f t="shared" si="26"/>
        <v>1.3919299999999999</v>
      </c>
      <c r="K152" s="43">
        <f t="shared" si="27"/>
        <v>3.812377415311391E-4</v>
      </c>
      <c r="L152" s="43">
        <f t="shared" ca="1" si="28"/>
        <v>0</v>
      </c>
      <c r="M152" s="43">
        <f t="shared" ca="1" si="29"/>
        <v>97.781126261923788</v>
      </c>
      <c r="N152" s="43">
        <f t="shared" ca="1" si="30"/>
        <v>1.0419298513089797E-3</v>
      </c>
      <c r="O152" s="43">
        <f t="shared" si="31"/>
        <v>97.679298245614021</v>
      </c>
      <c r="P152" s="43">
        <f t="shared" si="32"/>
        <v>1.0424728487886383E-3</v>
      </c>
      <c r="Q152" s="43">
        <f t="shared" si="33"/>
        <v>0.12369246754103497</v>
      </c>
      <c r="R152" s="144" t="e">
        <f t="shared" si="34"/>
        <v>#N/A</v>
      </c>
      <c r="S152" s="147" t="e">
        <f t="shared" si="35"/>
        <v>#N/A</v>
      </c>
    </row>
    <row r="153" spans="1:19">
      <c r="A153" s="144">
        <v>12.2</v>
      </c>
      <c r="B153" s="43">
        <v>8.6599999999999993E-3</v>
      </c>
      <c r="C153" s="43">
        <v>1.3919299999999999</v>
      </c>
      <c r="D153" s="43">
        <v>9.7014800000000001</v>
      </c>
      <c r="E153" s="147">
        <v>1.2</v>
      </c>
      <c r="F153" s="43"/>
      <c r="G153" s="39"/>
      <c r="H153" s="144">
        <f t="shared" si="24"/>
        <v>12.2</v>
      </c>
      <c r="I153" s="43">
        <f t="shared" si="25"/>
        <v>1.5637092731829574E-2</v>
      </c>
      <c r="J153" s="43">
        <f t="shared" si="26"/>
        <v>1.3919299999999999</v>
      </c>
      <c r="K153" s="43">
        <f t="shared" si="27"/>
        <v>3.812377415311391E-4</v>
      </c>
      <c r="L153" s="43">
        <f t="shared" ca="1" si="28"/>
        <v>0</v>
      </c>
      <c r="M153" s="43">
        <f t="shared" ca="1" si="29"/>
        <v>97.781126261923788</v>
      </c>
      <c r="N153" s="43">
        <f t="shared" ca="1" si="30"/>
        <v>1.0419298513089797E-3</v>
      </c>
      <c r="O153" s="43">
        <f t="shared" si="31"/>
        <v>97.679298245614021</v>
      </c>
      <c r="P153" s="43">
        <f t="shared" si="32"/>
        <v>1.0424728487886383E-3</v>
      </c>
      <c r="Q153" s="43">
        <f t="shared" si="33"/>
        <v>0.12369246754103497</v>
      </c>
      <c r="R153" s="144" t="e">
        <f t="shared" si="34"/>
        <v>#N/A</v>
      </c>
      <c r="S153" s="147" t="e">
        <f t="shared" si="35"/>
        <v>#N/A</v>
      </c>
    </row>
    <row r="154" spans="1:19">
      <c r="A154" s="144">
        <v>12.2</v>
      </c>
      <c r="B154" s="43">
        <v>8.6599999999999993E-3</v>
      </c>
      <c r="C154" s="43">
        <v>1.3919299999999999</v>
      </c>
      <c r="D154" s="43">
        <v>9.7014800000000001</v>
      </c>
      <c r="E154" s="147">
        <v>1.2</v>
      </c>
      <c r="F154" s="43"/>
      <c r="G154" s="39"/>
      <c r="H154" s="144">
        <f t="shared" si="24"/>
        <v>12.2</v>
      </c>
      <c r="I154" s="43">
        <f t="shared" si="25"/>
        <v>1.5637092731829574E-2</v>
      </c>
      <c r="J154" s="43">
        <f t="shared" si="26"/>
        <v>1.3919299999999999</v>
      </c>
      <c r="K154" s="43">
        <f t="shared" si="27"/>
        <v>3.812377415311391E-4</v>
      </c>
      <c r="L154" s="43">
        <f t="shared" ca="1" si="28"/>
        <v>0</v>
      </c>
      <c r="M154" s="43">
        <f t="shared" ca="1" si="29"/>
        <v>97.781126261923788</v>
      </c>
      <c r="N154" s="43">
        <f t="shared" ca="1" si="30"/>
        <v>1.0419298513089797E-3</v>
      </c>
      <c r="O154" s="43">
        <f t="shared" si="31"/>
        <v>97.679298245614021</v>
      </c>
      <c r="P154" s="43">
        <f t="shared" si="32"/>
        <v>1.0424728487886383E-3</v>
      </c>
      <c r="Q154" s="43">
        <f t="shared" si="33"/>
        <v>0.12369246754103497</v>
      </c>
      <c r="R154" s="144" t="e">
        <f t="shared" si="34"/>
        <v>#N/A</v>
      </c>
      <c r="S154" s="147" t="e">
        <f t="shared" si="35"/>
        <v>#N/A</v>
      </c>
    </row>
    <row r="155" spans="1:19">
      <c r="A155" s="144">
        <v>12.2</v>
      </c>
      <c r="B155" s="43">
        <v>8.6599999999999993E-3</v>
      </c>
      <c r="C155" s="43">
        <v>1.3919299999999999</v>
      </c>
      <c r="D155" s="43">
        <v>9.7014800000000001</v>
      </c>
      <c r="E155" s="147">
        <v>1.2</v>
      </c>
      <c r="F155" s="43"/>
      <c r="G155" s="39"/>
      <c r="H155" s="144">
        <f t="shared" si="24"/>
        <v>12.2</v>
      </c>
      <c r="I155" s="43">
        <f t="shared" si="25"/>
        <v>1.5637092731829574E-2</v>
      </c>
      <c r="J155" s="43">
        <f t="shared" si="26"/>
        <v>1.3919299999999999</v>
      </c>
      <c r="K155" s="43">
        <f t="shared" si="27"/>
        <v>3.812377415311391E-4</v>
      </c>
      <c r="L155" s="43">
        <f t="shared" ca="1" si="28"/>
        <v>0</v>
      </c>
      <c r="M155" s="43">
        <f t="shared" ca="1" si="29"/>
        <v>97.781126261923788</v>
      </c>
      <c r="N155" s="43">
        <f t="shared" ca="1" si="30"/>
        <v>1.0419298513089797E-3</v>
      </c>
      <c r="O155" s="43">
        <f t="shared" si="31"/>
        <v>97.679298245614021</v>
      </c>
      <c r="P155" s="43">
        <f t="shared" si="32"/>
        <v>1.0424728487886383E-3</v>
      </c>
      <c r="Q155" s="43">
        <f t="shared" si="33"/>
        <v>0.12369246754103497</v>
      </c>
      <c r="R155" s="144" t="e">
        <f t="shared" si="34"/>
        <v>#N/A</v>
      </c>
      <c r="S155" s="147" t="e">
        <f t="shared" si="35"/>
        <v>#N/A</v>
      </c>
    </row>
    <row r="156" spans="1:19">
      <c r="A156" s="144">
        <v>12.2</v>
      </c>
      <c r="B156" s="43">
        <v>8.6599999999999993E-3</v>
      </c>
      <c r="C156" s="43">
        <v>1.3919299999999999</v>
      </c>
      <c r="D156" s="43">
        <v>9.7014800000000001</v>
      </c>
      <c r="E156" s="147">
        <v>1.2</v>
      </c>
      <c r="F156" s="43"/>
      <c r="G156" s="39"/>
      <c r="H156" s="144">
        <f t="shared" si="24"/>
        <v>12.2</v>
      </c>
      <c r="I156" s="43">
        <f t="shared" si="25"/>
        <v>1.5637092731829574E-2</v>
      </c>
      <c r="J156" s="43">
        <f t="shared" si="26"/>
        <v>1.3919299999999999</v>
      </c>
      <c r="K156" s="43">
        <f t="shared" si="27"/>
        <v>3.812377415311391E-4</v>
      </c>
      <c r="L156" s="43">
        <f t="shared" ca="1" si="28"/>
        <v>0</v>
      </c>
      <c r="M156" s="43">
        <f t="shared" ca="1" si="29"/>
        <v>97.781126261923788</v>
      </c>
      <c r="N156" s="43">
        <f t="shared" ca="1" si="30"/>
        <v>1.0419298513089797E-3</v>
      </c>
      <c r="O156" s="43">
        <f t="shared" si="31"/>
        <v>97.679298245614021</v>
      </c>
      <c r="P156" s="43">
        <f t="shared" si="32"/>
        <v>1.0424728487886383E-3</v>
      </c>
      <c r="Q156" s="43">
        <f t="shared" si="33"/>
        <v>0.12369246754103497</v>
      </c>
      <c r="R156" s="144" t="e">
        <f t="shared" si="34"/>
        <v>#N/A</v>
      </c>
      <c r="S156" s="147" t="e">
        <f t="shared" si="35"/>
        <v>#N/A</v>
      </c>
    </row>
    <row r="157" spans="1:19">
      <c r="A157" s="144">
        <v>12.2</v>
      </c>
      <c r="B157" s="43">
        <v>8.6599999999999993E-3</v>
      </c>
      <c r="C157" s="43">
        <v>1.3919299999999999</v>
      </c>
      <c r="D157" s="43">
        <v>9.7014800000000001</v>
      </c>
      <c r="E157" s="147">
        <v>1.2</v>
      </c>
      <c r="F157" s="43"/>
      <c r="G157" s="39"/>
      <c r="H157" s="144">
        <f t="shared" si="24"/>
        <v>12.2</v>
      </c>
      <c r="I157" s="43">
        <f t="shared" si="25"/>
        <v>1.5637092731829574E-2</v>
      </c>
      <c r="J157" s="43">
        <f t="shared" si="26"/>
        <v>1.3919299999999999</v>
      </c>
      <c r="K157" s="43">
        <f t="shared" si="27"/>
        <v>3.812377415311391E-4</v>
      </c>
      <c r="L157" s="43">
        <f t="shared" ca="1" si="28"/>
        <v>0</v>
      </c>
      <c r="M157" s="43">
        <f t="shared" ca="1" si="29"/>
        <v>97.781126261923788</v>
      </c>
      <c r="N157" s="43">
        <f t="shared" ca="1" si="30"/>
        <v>1.0419298513089797E-3</v>
      </c>
      <c r="O157" s="43">
        <f t="shared" si="31"/>
        <v>97.679298245614021</v>
      </c>
      <c r="P157" s="43">
        <f t="shared" si="32"/>
        <v>1.0424728487886383E-3</v>
      </c>
      <c r="Q157" s="43">
        <f t="shared" si="33"/>
        <v>0.12369246754103497</v>
      </c>
      <c r="R157" s="144" t="e">
        <f t="shared" si="34"/>
        <v>#N/A</v>
      </c>
      <c r="S157" s="147" t="e">
        <f t="shared" si="35"/>
        <v>#N/A</v>
      </c>
    </row>
    <row r="158" spans="1:19">
      <c r="A158" s="144">
        <v>12.2</v>
      </c>
      <c r="B158" s="43">
        <v>8.6599999999999993E-3</v>
      </c>
      <c r="C158" s="43">
        <v>1.3919299999999999</v>
      </c>
      <c r="D158" s="43">
        <v>9.7014800000000001</v>
      </c>
      <c r="E158" s="147">
        <v>1.2</v>
      </c>
      <c r="F158" s="43"/>
      <c r="G158" s="39"/>
      <c r="H158" s="144">
        <f t="shared" si="24"/>
        <v>12.2</v>
      </c>
      <c r="I158" s="43">
        <f t="shared" si="25"/>
        <v>1.5637092731829574E-2</v>
      </c>
      <c r="J158" s="43">
        <f t="shared" si="26"/>
        <v>1.3919299999999999</v>
      </c>
      <c r="K158" s="43">
        <f t="shared" si="27"/>
        <v>3.812377415311391E-4</v>
      </c>
      <c r="L158" s="43">
        <f t="shared" ca="1" si="28"/>
        <v>0</v>
      </c>
      <c r="M158" s="43">
        <f t="shared" ca="1" si="29"/>
        <v>97.781126261923788</v>
      </c>
      <c r="N158" s="43">
        <f t="shared" ca="1" si="30"/>
        <v>1.0419298513089797E-3</v>
      </c>
      <c r="O158" s="43">
        <f t="shared" si="31"/>
        <v>97.679298245614021</v>
      </c>
      <c r="P158" s="43">
        <f t="shared" si="32"/>
        <v>1.0424728487886383E-3</v>
      </c>
      <c r="Q158" s="43">
        <f t="shared" si="33"/>
        <v>0.12369246754103497</v>
      </c>
      <c r="R158" s="144" t="e">
        <f t="shared" si="34"/>
        <v>#N/A</v>
      </c>
      <c r="S158" s="147" t="e">
        <f t="shared" si="35"/>
        <v>#N/A</v>
      </c>
    </row>
    <row r="159" spans="1:19">
      <c r="A159" s="144">
        <v>12.2</v>
      </c>
      <c r="B159" s="43">
        <v>8.6599999999999993E-3</v>
      </c>
      <c r="C159" s="43">
        <v>1.3919299999999999</v>
      </c>
      <c r="D159" s="43">
        <v>9.7014800000000001</v>
      </c>
      <c r="E159" s="147">
        <v>1.2</v>
      </c>
      <c r="F159" s="43"/>
      <c r="G159" s="39"/>
      <c r="H159" s="144">
        <f t="shared" si="24"/>
        <v>12.2</v>
      </c>
      <c r="I159" s="43">
        <f t="shared" si="25"/>
        <v>1.5637092731829574E-2</v>
      </c>
      <c r="J159" s="43">
        <f t="shared" si="26"/>
        <v>1.3919299999999999</v>
      </c>
      <c r="K159" s="43">
        <f t="shared" si="27"/>
        <v>3.812377415311391E-4</v>
      </c>
      <c r="L159" s="43">
        <f t="shared" ca="1" si="28"/>
        <v>0</v>
      </c>
      <c r="M159" s="43">
        <f t="shared" ca="1" si="29"/>
        <v>97.781126261923788</v>
      </c>
      <c r="N159" s="43">
        <f t="shared" ca="1" si="30"/>
        <v>1.0419298513089797E-3</v>
      </c>
      <c r="O159" s="43">
        <f t="shared" si="31"/>
        <v>97.679298245614021</v>
      </c>
      <c r="P159" s="43">
        <f t="shared" si="32"/>
        <v>1.0424728487886383E-3</v>
      </c>
      <c r="Q159" s="43">
        <f t="shared" si="33"/>
        <v>0.12369246754103497</v>
      </c>
      <c r="R159" s="144" t="e">
        <f t="shared" si="34"/>
        <v>#N/A</v>
      </c>
      <c r="S159" s="147" t="e">
        <f t="shared" si="35"/>
        <v>#N/A</v>
      </c>
    </row>
    <row r="160" spans="1:19">
      <c r="A160" s="144">
        <v>12.2</v>
      </c>
      <c r="B160" s="43">
        <v>8.6599999999999993E-3</v>
      </c>
      <c r="C160" s="43">
        <v>1.3919299999999999</v>
      </c>
      <c r="D160" s="43">
        <v>9.7014800000000001</v>
      </c>
      <c r="E160" s="147">
        <v>1.2</v>
      </c>
      <c r="F160" s="43"/>
      <c r="G160" s="39"/>
      <c r="H160" s="144">
        <f t="shared" si="24"/>
        <v>12.2</v>
      </c>
      <c r="I160" s="43">
        <f t="shared" si="25"/>
        <v>1.5637092731829574E-2</v>
      </c>
      <c r="J160" s="43">
        <f t="shared" si="26"/>
        <v>1.3919299999999999</v>
      </c>
      <c r="K160" s="43">
        <f t="shared" si="27"/>
        <v>3.812377415311391E-4</v>
      </c>
      <c r="L160" s="43">
        <f t="shared" ca="1" si="28"/>
        <v>0</v>
      </c>
      <c r="M160" s="43">
        <f t="shared" ca="1" si="29"/>
        <v>97.781126261923788</v>
      </c>
      <c r="N160" s="43">
        <f t="shared" ca="1" si="30"/>
        <v>1.0419298513089797E-3</v>
      </c>
      <c r="O160" s="43">
        <f t="shared" si="31"/>
        <v>97.679298245614021</v>
      </c>
      <c r="P160" s="43">
        <f t="shared" si="32"/>
        <v>1.0424728487886383E-3</v>
      </c>
      <c r="Q160" s="43">
        <f t="shared" si="33"/>
        <v>0.12369246754103497</v>
      </c>
      <c r="R160" s="144" t="e">
        <f t="shared" si="34"/>
        <v>#N/A</v>
      </c>
      <c r="S160" s="147" t="e">
        <f t="shared" si="35"/>
        <v>#N/A</v>
      </c>
    </row>
    <row r="161" spans="1:19">
      <c r="A161" s="144">
        <v>12.2</v>
      </c>
      <c r="B161" s="43">
        <v>8.6599999999999993E-3</v>
      </c>
      <c r="C161" s="43">
        <v>1.3919299999999999</v>
      </c>
      <c r="D161" s="43">
        <v>9.7014800000000001</v>
      </c>
      <c r="E161" s="147">
        <v>1.2</v>
      </c>
      <c r="F161" s="43"/>
      <c r="G161" s="39"/>
      <c r="H161" s="144">
        <f t="shared" si="24"/>
        <v>12.2</v>
      </c>
      <c r="I161" s="43">
        <f t="shared" si="25"/>
        <v>1.5637092731829574E-2</v>
      </c>
      <c r="J161" s="43">
        <f t="shared" si="26"/>
        <v>1.3919299999999999</v>
      </c>
      <c r="K161" s="43">
        <f t="shared" si="27"/>
        <v>3.812377415311391E-4</v>
      </c>
      <c r="L161" s="43">
        <f t="shared" ca="1" si="28"/>
        <v>0</v>
      </c>
      <c r="M161" s="43">
        <f t="shared" ca="1" si="29"/>
        <v>97.781126261923788</v>
      </c>
      <c r="N161" s="43">
        <f t="shared" ca="1" si="30"/>
        <v>1.0419298513089797E-3</v>
      </c>
      <c r="O161" s="43">
        <f t="shared" si="31"/>
        <v>97.679298245614021</v>
      </c>
      <c r="P161" s="43">
        <f t="shared" si="32"/>
        <v>1.0424728487886383E-3</v>
      </c>
      <c r="Q161" s="43">
        <f t="shared" si="33"/>
        <v>0.12369246754103497</v>
      </c>
      <c r="R161" s="144" t="e">
        <f t="shared" si="34"/>
        <v>#N/A</v>
      </c>
      <c r="S161" s="147" t="e">
        <f t="shared" si="35"/>
        <v>#N/A</v>
      </c>
    </row>
    <row r="162" spans="1:19">
      <c r="A162" s="144">
        <v>12.2</v>
      </c>
      <c r="B162" s="43">
        <v>8.6599999999999993E-3</v>
      </c>
      <c r="C162" s="43">
        <v>1.3919299999999999</v>
      </c>
      <c r="D162" s="43">
        <v>9.7014800000000001</v>
      </c>
      <c r="E162" s="147">
        <v>1.2</v>
      </c>
      <c r="F162" s="43"/>
      <c r="G162" s="39"/>
      <c r="H162" s="144">
        <f t="shared" si="24"/>
        <v>12.2</v>
      </c>
      <c r="I162" s="43">
        <f t="shared" si="25"/>
        <v>1.5637092731829574E-2</v>
      </c>
      <c r="J162" s="43">
        <f t="shared" si="26"/>
        <v>1.3919299999999999</v>
      </c>
      <c r="K162" s="43">
        <f t="shared" si="27"/>
        <v>3.812377415311391E-4</v>
      </c>
      <c r="L162" s="43">
        <f t="shared" ca="1" si="28"/>
        <v>0</v>
      </c>
      <c r="M162" s="43">
        <f t="shared" ca="1" si="29"/>
        <v>97.781126261923788</v>
      </c>
      <c r="N162" s="43">
        <f t="shared" ca="1" si="30"/>
        <v>1.0419298513089797E-3</v>
      </c>
      <c r="O162" s="43">
        <f t="shared" si="31"/>
        <v>97.679298245614021</v>
      </c>
      <c r="P162" s="43">
        <f t="shared" si="32"/>
        <v>1.0424728487886383E-3</v>
      </c>
      <c r="Q162" s="43">
        <f t="shared" si="33"/>
        <v>0.12369246754103497</v>
      </c>
      <c r="R162" s="144" t="e">
        <f t="shared" si="34"/>
        <v>#N/A</v>
      </c>
      <c r="S162" s="147" t="e">
        <f t="shared" si="35"/>
        <v>#N/A</v>
      </c>
    </row>
    <row r="163" spans="1:19">
      <c r="A163" s="144">
        <v>12.2</v>
      </c>
      <c r="B163" s="43">
        <v>8.6599999999999993E-3</v>
      </c>
      <c r="C163" s="43">
        <v>1.3919299999999999</v>
      </c>
      <c r="D163" s="43">
        <v>9.7014800000000001</v>
      </c>
      <c r="E163" s="147">
        <v>1.2</v>
      </c>
      <c r="F163" s="43"/>
      <c r="G163" s="39"/>
      <c r="H163" s="144">
        <f t="shared" si="24"/>
        <v>12.2</v>
      </c>
      <c r="I163" s="43">
        <f t="shared" si="25"/>
        <v>1.5637092731829574E-2</v>
      </c>
      <c r="J163" s="43">
        <f t="shared" si="26"/>
        <v>1.3919299999999999</v>
      </c>
      <c r="K163" s="43">
        <f t="shared" si="27"/>
        <v>3.812377415311391E-4</v>
      </c>
      <c r="L163" s="43">
        <f t="shared" ca="1" si="28"/>
        <v>0</v>
      </c>
      <c r="M163" s="43">
        <f t="shared" ca="1" si="29"/>
        <v>97.781126261923788</v>
      </c>
      <c r="N163" s="43">
        <f t="shared" ca="1" si="30"/>
        <v>1.0419298513089797E-3</v>
      </c>
      <c r="O163" s="43">
        <f t="shared" si="31"/>
        <v>97.679298245614021</v>
      </c>
      <c r="P163" s="43">
        <f t="shared" si="32"/>
        <v>1.0424728487886383E-3</v>
      </c>
      <c r="Q163" s="43">
        <f t="shared" si="33"/>
        <v>0.12369246754103497</v>
      </c>
      <c r="R163" s="144" t="e">
        <f t="shared" si="34"/>
        <v>#N/A</v>
      </c>
      <c r="S163" s="147" t="e">
        <f t="shared" si="35"/>
        <v>#N/A</v>
      </c>
    </row>
    <row r="164" spans="1:19">
      <c r="A164" s="144">
        <v>12.2</v>
      </c>
      <c r="B164" s="43">
        <v>8.6599999999999993E-3</v>
      </c>
      <c r="C164" s="43">
        <v>1.3919299999999999</v>
      </c>
      <c r="D164" s="43">
        <v>9.7014800000000001</v>
      </c>
      <c r="E164" s="147">
        <v>1.2</v>
      </c>
      <c r="F164" s="43"/>
      <c r="G164" s="39"/>
      <c r="H164" s="144">
        <f t="shared" si="24"/>
        <v>12.2</v>
      </c>
      <c r="I164" s="43">
        <f t="shared" si="25"/>
        <v>1.5637092731829574E-2</v>
      </c>
      <c r="J164" s="43">
        <f t="shared" si="26"/>
        <v>1.3919299999999999</v>
      </c>
      <c r="K164" s="43">
        <f t="shared" si="27"/>
        <v>3.812377415311391E-4</v>
      </c>
      <c r="L164" s="43">
        <f t="shared" ca="1" si="28"/>
        <v>0</v>
      </c>
      <c r="M164" s="43">
        <f t="shared" ca="1" si="29"/>
        <v>97.781126261923788</v>
      </c>
      <c r="N164" s="43">
        <f t="shared" ca="1" si="30"/>
        <v>1.0419298513089797E-3</v>
      </c>
      <c r="O164" s="43">
        <f t="shared" si="31"/>
        <v>97.679298245614021</v>
      </c>
      <c r="P164" s="43">
        <f t="shared" si="32"/>
        <v>1.0424728487886383E-3</v>
      </c>
      <c r="Q164" s="43">
        <f t="shared" si="33"/>
        <v>0.12369246754103497</v>
      </c>
      <c r="R164" s="144" t="e">
        <f t="shared" si="34"/>
        <v>#N/A</v>
      </c>
      <c r="S164" s="147" t="e">
        <f t="shared" si="35"/>
        <v>#N/A</v>
      </c>
    </row>
    <row r="165" spans="1:19">
      <c r="A165" s="144">
        <v>12.2</v>
      </c>
      <c r="B165" s="43">
        <v>8.6599999999999993E-3</v>
      </c>
      <c r="C165" s="43">
        <v>1.3919299999999999</v>
      </c>
      <c r="D165" s="43">
        <v>9.7014800000000001</v>
      </c>
      <c r="E165" s="147">
        <v>1.2</v>
      </c>
      <c r="F165" s="43"/>
      <c r="G165" s="39"/>
      <c r="H165" s="144">
        <f t="shared" si="24"/>
        <v>12.2</v>
      </c>
      <c r="I165" s="43">
        <f t="shared" si="25"/>
        <v>1.5637092731829574E-2</v>
      </c>
      <c r="J165" s="43">
        <f t="shared" si="26"/>
        <v>1.3919299999999999</v>
      </c>
      <c r="K165" s="43">
        <f t="shared" si="27"/>
        <v>3.812377415311391E-4</v>
      </c>
      <c r="L165" s="43">
        <f t="shared" ca="1" si="28"/>
        <v>0</v>
      </c>
      <c r="M165" s="43">
        <f t="shared" ca="1" si="29"/>
        <v>97.781126261923788</v>
      </c>
      <c r="N165" s="43">
        <f t="shared" ca="1" si="30"/>
        <v>1.0419298513089797E-3</v>
      </c>
      <c r="O165" s="43">
        <f t="shared" si="31"/>
        <v>97.679298245614021</v>
      </c>
      <c r="P165" s="43">
        <f t="shared" si="32"/>
        <v>1.0424728487886383E-3</v>
      </c>
      <c r="Q165" s="43">
        <f t="shared" si="33"/>
        <v>0.12369246754103497</v>
      </c>
      <c r="R165" s="144" t="e">
        <f t="shared" si="34"/>
        <v>#N/A</v>
      </c>
      <c r="S165" s="147" t="e">
        <f t="shared" si="35"/>
        <v>#N/A</v>
      </c>
    </row>
    <row r="166" spans="1:19">
      <c r="A166" s="144">
        <v>12.2</v>
      </c>
      <c r="B166" s="43">
        <v>8.6599999999999993E-3</v>
      </c>
      <c r="C166" s="43">
        <v>1.3919299999999999</v>
      </c>
      <c r="D166" s="43">
        <v>9.7014800000000001</v>
      </c>
      <c r="E166" s="147">
        <v>1.2</v>
      </c>
      <c r="F166" s="43"/>
      <c r="G166" s="39"/>
      <c r="H166" s="144">
        <f t="shared" si="24"/>
        <v>12.2</v>
      </c>
      <c r="I166" s="43">
        <f t="shared" si="25"/>
        <v>1.5637092731829574E-2</v>
      </c>
      <c r="J166" s="43">
        <f t="shared" si="26"/>
        <v>1.3919299999999999</v>
      </c>
      <c r="K166" s="43">
        <f t="shared" si="27"/>
        <v>3.812377415311391E-4</v>
      </c>
      <c r="L166" s="43">
        <f t="shared" ca="1" si="28"/>
        <v>0</v>
      </c>
      <c r="M166" s="43">
        <f t="shared" ca="1" si="29"/>
        <v>97.781126261923788</v>
      </c>
      <c r="N166" s="43">
        <f t="shared" ca="1" si="30"/>
        <v>1.0419298513089797E-3</v>
      </c>
      <c r="O166" s="43">
        <f t="shared" si="31"/>
        <v>97.679298245614021</v>
      </c>
      <c r="P166" s="43">
        <f t="shared" si="32"/>
        <v>1.0424728487886383E-3</v>
      </c>
      <c r="Q166" s="43">
        <f t="shared" si="33"/>
        <v>0.12369246754103497</v>
      </c>
      <c r="R166" s="144" t="e">
        <f t="shared" si="34"/>
        <v>#N/A</v>
      </c>
      <c r="S166" s="147" t="e">
        <f t="shared" si="35"/>
        <v>#N/A</v>
      </c>
    </row>
    <row r="167" spans="1:19">
      <c r="A167" s="144">
        <v>12.2</v>
      </c>
      <c r="B167" s="43">
        <v>8.6599999999999993E-3</v>
      </c>
      <c r="C167" s="43">
        <v>1.3919299999999999</v>
      </c>
      <c r="D167" s="43">
        <v>9.7014800000000001</v>
      </c>
      <c r="E167" s="147">
        <v>1.2</v>
      </c>
      <c r="F167" s="43"/>
      <c r="G167" s="39"/>
      <c r="H167" s="144">
        <f t="shared" si="24"/>
        <v>12.2</v>
      </c>
      <c r="I167" s="43">
        <f t="shared" si="25"/>
        <v>1.5637092731829574E-2</v>
      </c>
      <c r="J167" s="43">
        <f t="shared" si="26"/>
        <v>1.3919299999999999</v>
      </c>
      <c r="K167" s="43">
        <f t="shared" si="27"/>
        <v>3.812377415311391E-4</v>
      </c>
      <c r="L167" s="43">
        <f t="shared" ca="1" si="28"/>
        <v>0</v>
      </c>
      <c r="M167" s="43">
        <f t="shared" ca="1" si="29"/>
        <v>97.781126261923788</v>
      </c>
      <c r="N167" s="43">
        <f t="shared" ca="1" si="30"/>
        <v>1.0419298513089797E-3</v>
      </c>
      <c r="O167" s="43">
        <f t="shared" si="31"/>
        <v>97.679298245614021</v>
      </c>
      <c r="P167" s="43">
        <f t="shared" si="32"/>
        <v>1.0424728487886383E-3</v>
      </c>
      <c r="Q167" s="43">
        <f t="shared" si="33"/>
        <v>0.12369246754103497</v>
      </c>
      <c r="R167" s="144" t="e">
        <f t="shared" si="34"/>
        <v>#N/A</v>
      </c>
      <c r="S167" s="147" t="e">
        <f t="shared" si="35"/>
        <v>#N/A</v>
      </c>
    </row>
    <row r="168" spans="1:19">
      <c r="A168" s="144">
        <v>12.2</v>
      </c>
      <c r="B168" s="43">
        <v>8.6599999999999993E-3</v>
      </c>
      <c r="C168" s="43">
        <v>1.3919299999999999</v>
      </c>
      <c r="D168" s="43">
        <v>9.7014800000000001</v>
      </c>
      <c r="E168" s="147">
        <v>1.2</v>
      </c>
      <c r="F168" s="43"/>
      <c r="G168" s="39"/>
      <c r="H168" s="144">
        <f t="shared" si="24"/>
        <v>12.2</v>
      </c>
      <c r="I168" s="43">
        <f t="shared" si="25"/>
        <v>1.5637092731829574E-2</v>
      </c>
      <c r="J168" s="43">
        <f t="shared" si="26"/>
        <v>1.3919299999999999</v>
      </c>
      <c r="K168" s="43">
        <f t="shared" si="27"/>
        <v>3.812377415311391E-4</v>
      </c>
      <c r="L168" s="43">
        <f t="shared" ca="1" si="28"/>
        <v>0</v>
      </c>
      <c r="M168" s="43">
        <f t="shared" ca="1" si="29"/>
        <v>97.781126261923788</v>
      </c>
      <c r="N168" s="43">
        <f t="shared" ca="1" si="30"/>
        <v>1.0419298513089797E-3</v>
      </c>
      <c r="O168" s="43">
        <f t="shared" si="31"/>
        <v>97.679298245614021</v>
      </c>
      <c r="P168" s="43">
        <f t="shared" si="32"/>
        <v>1.0424728487886383E-3</v>
      </c>
      <c r="Q168" s="43">
        <f t="shared" si="33"/>
        <v>0.12369246754103497</v>
      </c>
      <c r="R168" s="144" t="e">
        <f t="shared" si="34"/>
        <v>#N/A</v>
      </c>
      <c r="S168" s="147" t="e">
        <f t="shared" si="35"/>
        <v>#N/A</v>
      </c>
    </row>
    <row r="169" spans="1:19">
      <c r="A169" s="144">
        <v>12.2</v>
      </c>
      <c r="B169" s="43">
        <v>8.6599999999999993E-3</v>
      </c>
      <c r="C169" s="43">
        <v>1.3919299999999999</v>
      </c>
      <c r="D169" s="43">
        <v>9.7014800000000001</v>
      </c>
      <c r="E169" s="147">
        <v>1.2</v>
      </c>
      <c r="F169" s="43"/>
      <c r="G169" s="39"/>
      <c r="H169" s="144">
        <f t="shared" si="24"/>
        <v>12.2</v>
      </c>
      <c r="I169" s="43">
        <f t="shared" si="25"/>
        <v>1.5637092731829574E-2</v>
      </c>
      <c r="J169" s="43">
        <f t="shared" si="26"/>
        <v>1.3919299999999999</v>
      </c>
      <c r="K169" s="43">
        <f t="shared" si="27"/>
        <v>3.812377415311391E-4</v>
      </c>
      <c r="L169" s="43">
        <f t="shared" ca="1" si="28"/>
        <v>0</v>
      </c>
      <c r="M169" s="43">
        <f t="shared" ca="1" si="29"/>
        <v>97.781126261923788</v>
      </c>
      <c r="N169" s="43">
        <f t="shared" ca="1" si="30"/>
        <v>1.0419298513089797E-3</v>
      </c>
      <c r="O169" s="43">
        <f t="shared" si="31"/>
        <v>97.679298245614021</v>
      </c>
      <c r="P169" s="43">
        <f t="shared" si="32"/>
        <v>1.0424728487886383E-3</v>
      </c>
      <c r="Q169" s="43">
        <f t="shared" si="33"/>
        <v>0.12369246754103497</v>
      </c>
      <c r="R169" s="144" t="e">
        <f t="shared" si="34"/>
        <v>#N/A</v>
      </c>
      <c r="S169" s="147" t="e">
        <f t="shared" si="35"/>
        <v>#N/A</v>
      </c>
    </row>
    <row r="170" spans="1:19">
      <c r="A170" s="144">
        <v>12.2</v>
      </c>
      <c r="B170" s="43">
        <v>8.6599999999999993E-3</v>
      </c>
      <c r="C170" s="43">
        <v>1.3919299999999999</v>
      </c>
      <c r="D170" s="43">
        <v>9.7014800000000001</v>
      </c>
      <c r="E170" s="147">
        <v>1.2</v>
      </c>
      <c r="F170" s="43"/>
      <c r="G170" s="39"/>
      <c r="H170" s="144">
        <f t="shared" si="24"/>
        <v>12.2</v>
      </c>
      <c r="I170" s="43">
        <f t="shared" si="25"/>
        <v>1.5637092731829574E-2</v>
      </c>
      <c r="J170" s="43">
        <f t="shared" si="26"/>
        <v>1.3919299999999999</v>
      </c>
      <c r="K170" s="43">
        <f t="shared" si="27"/>
        <v>3.812377415311391E-4</v>
      </c>
      <c r="L170" s="43">
        <f t="shared" ca="1" si="28"/>
        <v>0</v>
      </c>
      <c r="M170" s="43">
        <f t="shared" ca="1" si="29"/>
        <v>97.781126261923788</v>
      </c>
      <c r="N170" s="43">
        <f t="shared" ca="1" si="30"/>
        <v>1.0419298513089797E-3</v>
      </c>
      <c r="O170" s="43">
        <f t="shared" si="31"/>
        <v>97.679298245614021</v>
      </c>
      <c r="P170" s="43">
        <f t="shared" si="32"/>
        <v>1.0424728487886383E-3</v>
      </c>
      <c r="Q170" s="43">
        <f t="shared" si="33"/>
        <v>0.12369246754103497</v>
      </c>
      <c r="R170" s="144" t="e">
        <f t="shared" si="34"/>
        <v>#N/A</v>
      </c>
      <c r="S170" s="147" t="e">
        <f t="shared" si="35"/>
        <v>#N/A</v>
      </c>
    </row>
    <row r="171" spans="1:19">
      <c r="A171" s="144">
        <v>12.2</v>
      </c>
      <c r="B171" s="43">
        <v>8.6599999999999993E-3</v>
      </c>
      <c r="C171" s="43">
        <v>1.3919299999999999</v>
      </c>
      <c r="D171" s="43">
        <v>9.7014800000000001</v>
      </c>
      <c r="E171" s="147">
        <v>1.2</v>
      </c>
      <c r="F171" s="43"/>
      <c r="G171" s="39"/>
      <c r="H171" s="144">
        <f t="shared" si="24"/>
        <v>12.2</v>
      </c>
      <c r="I171" s="43">
        <f t="shared" si="25"/>
        <v>1.5637092731829574E-2</v>
      </c>
      <c r="J171" s="43">
        <f t="shared" si="26"/>
        <v>1.3919299999999999</v>
      </c>
      <c r="K171" s="43">
        <f t="shared" si="27"/>
        <v>3.812377415311391E-4</v>
      </c>
      <c r="L171" s="43">
        <f t="shared" ca="1" si="28"/>
        <v>0</v>
      </c>
      <c r="M171" s="43">
        <f t="shared" ca="1" si="29"/>
        <v>97.781126261923788</v>
      </c>
      <c r="N171" s="43">
        <f t="shared" ca="1" si="30"/>
        <v>1.0419298513089797E-3</v>
      </c>
      <c r="O171" s="43">
        <f t="shared" si="31"/>
        <v>97.679298245614021</v>
      </c>
      <c r="P171" s="43">
        <f t="shared" si="32"/>
        <v>1.0424728487886383E-3</v>
      </c>
      <c r="Q171" s="43">
        <f t="shared" si="33"/>
        <v>0.12369246754103497</v>
      </c>
      <c r="R171" s="144" t="e">
        <f t="shared" si="34"/>
        <v>#N/A</v>
      </c>
      <c r="S171" s="147" t="e">
        <f t="shared" si="35"/>
        <v>#N/A</v>
      </c>
    </row>
    <row r="172" spans="1:19">
      <c r="A172" s="144">
        <v>12.2</v>
      </c>
      <c r="B172" s="43">
        <v>8.6599999999999993E-3</v>
      </c>
      <c r="C172" s="43">
        <v>1.3919299999999999</v>
      </c>
      <c r="D172" s="43">
        <v>9.7014800000000001</v>
      </c>
      <c r="E172" s="147">
        <v>1.2</v>
      </c>
      <c r="F172" s="43"/>
      <c r="G172" s="39"/>
      <c r="H172" s="144">
        <f t="shared" si="24"/>
        <v>12.2</v>
      </c>
      <c r="I172" s="43">
        <f t="shared" si="25"/>
        <v>1.5637092731829574E-2</v>
      </c>
      <c r="J172" s="43">
        <f t="shared" si="26"/>
        <v>1.3919299999999999</v>
      </c>
      <c r="K172" s="43">
        <f t="shared" si="27"/>
        <v>3.812377415311391E-4</v>
      </c>
      <c r="L172" s="43">
        <f t="shared" ca="1" si="28"/>
        <v>0</v>
      </c>
      <c r="M172" s="43">
        <f t="shared" ca="1" si="29"/>
        <v>97.781126261923788</v>
      </c>
      <c r="N172" s="43">
        <f t="shared" ca="1" si="30"/>
        <v>1.0419298513089797E-3</v>
      </c>
      <c r="O172" s="43">
        <f t="shared" si="31"/>
        <v>97.679298245614021</v>
      </c>
      <c r="P172" s="43">
        <f t="shared" si="32"/>
        <v>1.0424728487886383E-3</v>
      </c>
      <c r="Q172" s="43">
        <f t="shared" si="33"/>
        <v>0.12369246754103497</v>
      </c>
      <c r="R172" s="144" t="e">
        <f t="shared" si="34"/>
        <v>#N/A</v>
      </c>
      <c r="S172" s="147" t="e">
        <f t="shared" si="35"/>
        <v>#N/A</v>
      </c>
    </row>
    <row r="173" spans="1:19">
      <c r="A173" s="144">
        <v>12.2</v>
      </c>
      <c r="B173" s="43">
        <v>8.6599999999999993E-3</v>
      </c>
      <c r="C173" s="43">
        <v>1.3919299999999999</v>
      </c>
      <c r="D173" s="43">
        <v>9.7014800000000001</v>
      </c>
      <c r="E173" s="147">
        <v>1.2</v>
      </c>
      <c r="F173" s="43"/>
      <c r="G173" s="39"/>
      <c r="H173" s="144">
        <f t="shared" si="24"/>
        <v>12.2</v>
      </c>
      <c r="I173" s="43">
        <f t="shared" si="25"/>
        <v>1.5637092731829574E-2</v>
      </c>
      <c r="J173" s="43">
        <f t="shared" si="26"/>
        <v>1.3919299999999999</v>
      </c>
      <c r="K173" s="43">
        <f t="shared" si="27"/>
        <v>3.812377415311391E-4</v>
      </c>
      <c r="L173" s="43">
        <f t="shared" ca="1" si="28"/>
        <v>0</v>
      </c>
      <c r="M173" s="43">
        <f t="shared" ca="1" si="29"/>
        <v>97.781126261923788</v>
      </c>
      <c r="N173" s="43">
        <f t="shared" ca="1" si="30"/>
        <v>1.0419298513089797E-3</v>
      </c>
      <c r="O173" s="43">
        <f t="shared" si="31"/>
        <v>97.679298245614021</v>
      </c>
      <c r="P173" s="43">
        <f t="shared" si="32"/>
        <v>1.0424728487886383E-3</v>
      </c>
      <c r="Q173" s="43">
        <f t="shared" si="33"/>
        <v>0.12369246754103497</v>
      </c>
      <c r="R173" s="144" t="e">
        <f t="shared" si="34"/>
        <v>#N/A</v>
      </c>
      <c r="S173" s="147" t="e">
        <f t="shared" si="35"/>
        <v>#N/A</v>
      </c>
    </row>
    <row r="174" spans="1:19">
      <c r="A174" s="144">
        <v>12.2</v>
      </c>
      <c r="B174" s="43">
        <v>8.6599999999999993E-3</v>
      </c>
      <c r="C174" s="43">
        <v>1.3919299999999999</v>
      </c>
      <c r="D174" s="43">
        <v>9.7014800000000001</v>
      </c>
      <c r="E174" s="147">
        <v>1.2</v>
      </c>
      <c r="F174" s="43"/>
      <c r="G174" s="39"/>
      <c r="H174" s="144">
        <f t="shared" si="24"/>
        <v>12.2</v>
      </c>
      <c r="I174" s="43">
        <f t="shared" si="25"/>
        <v>1.5637092731829574E-2</v>
      </c>
      <c r="J174" s="43">
        <f t="shared" si="26"/>
        <v>1.3919299999999999</v>
      </c>
      <c r="K174" s="43">
        <f t="shared" si="27"/>
        <v>3.812377415311391E-4</v>
      </c>
      <c r="L174" s="43">
        <f t="shared" ca="1" si="28"/>
        <v>0</v>
      </c>
      <c r="M174" s="43">
        <f t="shared" ca="1" si="29"/>
        <v>97.781126261923788</v>
      </c>
      <c r="N174" s="43">
        <f t="shared" ca="1" si="30"/>
        <v>1.0419298513089797E-3</v>
      </c>
      <c r="O174" s="43">
        <f t="shared" si="31"/>
        <v>97.679298245614021</v>
      </c>
      <c r="P174" s="43">
        <f t="shared" si="32"/>
        <v>1.0424728487886383E-3</v>
      </c>
      <c r="Q174" s="43">
        <f t="shared" si="33"/>
        <v>0.12369246754103497</v>
      </c>
      <c r="R174" s="144" t="e">
        <f t="shared" si="34"/>
        <v>#N/A</v>
      </c>
      <c r="S174" s="147" t="e">
        <f t="shared" si="35"/>
        <v>#N/A</v>
      </c>
    </row>
    <row r="175" spans="1:19">
      <c r="A175" s="144">
        <v>12.2</v>
      </c>
      <c r="B175" s="43">
        <v>8.6599999999999993E-3</v>
      </c>
      <c r="C175" s="43">
        <v>1.3919299999999999</v>
      </c>
      <c r="D175" s="43">
        <v>9.7014800000000001</v>
      </c>
      <c r="E175" s="147">
        <v>1.2</v>
      </c>
      <c r="F175" s="43"/>
      <c r="G175" s="39"/>
      <c r="H175" s="144">
        <f t="shared" si="24"/>
        <v>12.2</v>
      </c>
      <c r="I175" s="43">
        <f t="shared" si="25"/>
        <v>1.5637092731829574E-2</v>
      </c>
      <c r="J175" s="43">
        <f t="shared" si="26"/>
        <v>1.3919299999999999</v>
      </c>
      <c r="K175" s="43">
        <f t="shared" si="27"/>
        <v>3.812377415311391E-4</v>
      </c>
      <c r="L175" s="43">
        <f t="shared" ca="1" si="28"/>
        <v>0</v>
      </c>
      <c r="M175" s="43">
        <f t="shared" ca="1" si="29"/>
        <v>97.781126261923788</v>
      </c>
      <c r="N175" s="43">
        <f t="shared" ca="1" si="30"/>
        <v>1.0419298513089797E-3</v>
      </c>
      <c r="O175" s="43">
        <f t="shared" si="31"/>
        <v>97.679298245614021</v>
      </c>
      <c r="P175" s="43">
        <f t="shared" si="32"/>
        <v>1.0424728487886383E-3</v>
      </c>
      <c r="Q175" s="43">
        <f t="shared" si="33"/>
        <v>0.12369246754103497</v>
      </c>
      <c r="R175" s="144" t="e">
        <f t="shared" si="34"/>
        <v>#N/A</v>
      </c>
      <c r="S175" s="147" t="e">
        <f t="shared" si="35"/>
        <v>#N/A</v>
      </c>
    </row>
    <row r="176" spans="1:19">
      <c r="A176" s="144">
        <v>12.2</v>
      </c>
      <c r="B176" s="43">
        <v>8.6599999999999993E-3</v>
      </c>
      <c r="C176" s="43">
        <v>1.3919299999999999</v>
      </c>
      <c r="D176" s="43">
        <v>9.7014800000000001</v>
      </c>
      <c r="E176" s="147">
        <v>1.2</v>
      </c>
      <c r="F176" s="43"/>
      <c r="G176" s="39"/>
      <c r="H176" s="144">
        <f t="shared" si="24"/>
        <v>12.2</v>
      </c>
      <c r="I176" s="43">
        <f t="shared" si="25"/>
        <v>1.5637092731829574E-2</v>
      </c>
      <c r="J176" s="43">
        <f t="shared" si="26"/>
        <v>1.3919299999999999</v>
      </c>
      <c r="K176" s="43">
        <f t="shared" si="27"/>
        <v>3.812377415311391E-4</v>
      </c>
      <c r="L176" s="43">
        <f t="shared" ca="1" si="28"/>
        <v>0</v>
      </c>
      <c r="M176" s="43">
        <f t="shared" ca="1" si="29"/>
        <v>97.781126261923788</v>
      </c>
      <c r="N176" s="43">
        <f t="shared" ca="1" si="30"/>
        <v>1.0419298513089797E-3</v>
      </c>
      <c r="O176" s="43">
        <f t="shared" si="31"/>
        <v>97.679298245614021</v>
      </c>
      <c r="P176" s="43">
        <f t="shared" si="32"/>
        <v>1.0424728487886383E-3</v>
      </c>
      <c r="Q176" s="43">
        <f t="shared" si="33"/>
        <v>0.12369246754103497</v>
      </c>
      <c r="R176" s="144" t="e">
        <f t="shared" si="34"/>
        <v>#N/A</v>
      </c>
      <c r="S176" s="147" t="e">
        <f t="shared" si="35"/>
        <v>#N/A</v>
      </c>
    </row>
    <row r="177" spans="1:19">
      <c r="A177" s="144">
        <v>12.2</v>
      </c>
      <c r="B177" s="43">
        <v>8.6599999999999993E-3</v>
      </c>
      <c r="C177" s="43">
        <v>1.3919299999999999</v>
      </c>
      <c r="D177" s="43">
        <v>9.7014800000000001</v>
      </c>
      <c r="E177" s="147">
        <v>1.2</v>
      </c>
      <c r="F177" s="43"/>
      <c r="G177" s="39"/>
      <c r="H177" s="144">
        <f t="shared" si="24"/>
        <v>12.2</v>
      </c>
      <c r="I177" s="43">
        <f t="shared" si="25"/>
        <v>1.5637092731829574E-2</v>
      </c>
      <c r="J177" s="43">
        <f t="shared" si="26"/>
        <v>1.3919299999999999</v>
      </c>
      <c r="K177" s="43">
        <f t="shared" si="27"/>
        <v>3.812377415311391E-4</v>
      </c>
      <c r="L177" s="43">
        <f t="shared" ca="1" si="28"/>
        <v>0</v>
      </c>
      <c r="M177" s="43">
        <f t="shared" ca="1" si="29"/>
        <v>97.781126261923788</v>
      </c>
      <c r="N177" s="43">
        <f t="shared" ca="1" si="30"/>
        <v>1.0419298513089797E-3</v>
      </c>
      <c r="O177" s="43">
        <f t="shared" si="31"/>
        <v>97.679298245614021</v>
      </c>
      <c r="P177" s="43">
        <f t="shared" si="32"/>
        <v>1.0424728487886383E-3</v>
      </c>
      <c r="Q177" s="43">
        <f t="shared" si="33"/>
        <v>0.12369246754103497</v>
      </c>
      <c r="R177" s="144" t="e">
        <f t="shared" si="34"/>
        <v>#N/A</v>
      </c>
      <c r="S177" s="147" t="e">
        <f t="shared" si="35"/>
        <v>#N/A</v>
      </c>
    </row>
    <row r="178" spans="1:19">
      <c r="A178" s="144">
        <v>12.2</v>
      </c>
      <c r="B178" s="43">
        <v>8.6599999999999993E-3</v>
      </c>
      <c r="C178" s="43">
        <v>1.3919299999999999</v>
      </c>
      <c r="D178" s="43">
        <v>9.7014800000000001</v>
      </c>
      <c r="E178" s="147">
        <v>1.2</v>
      </c>
      <c r="F178" s="43"/>
      <c r="G178" s="39"/>
      <c r="H178" s="144">
        <f t="shared" si="24"/>
        <v>12.2</v>
      </c>
      <c r="I178" s="43">
        <f t="shared" si="25"/>
        <v>1.5637092731829574E-2</v>
      </c>
      <c r="J178" s="43">
        <f t="shared" si="26"/>
        <v>1.3919299999999999</v>
      </c>
      <c r="K178" s="43">
        <f t="shared" si="27"/>
        <v>3.812377415311391E-4</v>
      </c>
      <c r="L178" s="43">
        <f t="shared" ca="1" si="28"/>
        <v>0</v>
      </c>
      <c r="M178" s="43">
        <f t="shared" ca="1" si="29"/>
        <v>97.781126261923788</v>
      </c>
      <c r="N178" s="43">
        <f t="shared" ca="1" si="30"/>
        <v>1.0419298513089797E-3</v>
      </c>
      <c r="O178" s="43">
        <f t="shared" si="31"/>
        <v>97.679298245614021</v>
      </c>
      <c r="P178" s="43">
        <f t="shared" si="32"/>
        <v>1.0424728487886383E-3</v>
      </c>
      <c r="Q178" s="43">
        <f t="shared" si="33"/>
        <v>0.12369246754103497</v>
      </c>
      <c r="R178" s="144" t="e">
        <f t="shared" si="34"/>
        <v>#N/A</v>
      </c>
      <c r="S178" s="147" t="e">
        <f t="shared" si="35"/>
        <v>#N/A</v>
      </c>
    </row>
    <row r="179" spans="1:19">
      <c r="A179" s="144">
        <v>12.2</v>
      </c>
      <c r="B179" s="43">
        <v>8.6599999999999993E-3</v>
      </c>
      <c r="C179" s="43">
        <v>1.3919299999999999</v>
      </c>
      <c r="D179" s="43">
        <v>9.7014800000000001</v>
      </c>
      <c r="E179" s="147">
        <v>1.2</v>
      </c>
      <c r="F179" s="43"/>
      <c r="G179" s="39"/>
      <c r="H179" s="144">
        <f t="shared" si="24"/>
        <v>12.2</v>
      </c>
      <c r="I179" s="43">
        <f t="shared" si="25"/>
        <v>1.5637092731829574E-2</v>
      </c>
      <c r="J179" s="43">
        <f t="shared" si="26"/>
        <v>1.3919299999999999</v>
      </c>
      <c r="K179" s="43">
        <f t="shared" si="27"/>
        <v>3.812377415311391E-4</v>
      </c>
      <c r="L179" s="43">
        <f t="shared" ca="1" si="28"/>
        <v>0</v>
      </c>
      <c r="M179" s="43">
        <f t="shared" ca="1" si="29"/>
        <v>97.781126261923788</v>
      </c>
      <c r="N179" s="43">
        <f t="shared" ca="1" si="30"/>
        <v>1.0419298513089797E-3</v>
      </c>
      <c r="O179" s="43">
        <f t="shared" si="31"/>
        <v>97.679298245614021</v>
      </c>
      <c r="P179" s="43">
        <f t="shared" si="32"/>
        <v>1.0424728487886383E-3</v>
      </c>
      <c r="Q179" s="43">
        <f t="shared" si="33"/>
        <v>0.12369246754103497</v>
      </c>
      <c r="R179" s="144" t="e">
        <f t="shared" si="34"/>
        <v>#N/A</v>
      </c>
      <c r="S179" s="147" t="e">
        <f t="shared" si="35"/>
        <v>#N/A</v>
      </c>
    </row>
    <row r="180" spans="1:19">
      <c r="A180" s="144">
        <v>12.2</v>
      </c>
      <c r="B180" s="43">
        <v>8.6599999999999993E-3</v>
      </c>
      <c r="C180" s="43">
        <v>1.3919299999999999</v>
      </c>
      <c r="D180" s="43">
        <v>9.7014800000000001</v>
      </c>
      <c r="E180" s="147">
        <v>1.2</v>
      </c>
      <c r="F180" s="43"/>
      <c r="G180" s="39"/>
      <c r="H180" s="144">
        <f t="shared" si="24"/>
        <v>12.2</v>
      </c>
      <c r="I180" s="43">
        <f t="shared" si="25"/>
        <v>1.5637092731829574E-2</v>
      </c>
      <c r="J180" s="43">
        <f t="shared" si="26"/>
        <v>1.3919299999999999</v>
      </c>
      <c r="K180" s="43">
        <f t="shared" si="27"/>
        <v>3.812377415311391E-4</v>
      </c>
      <c r="L180" s="43">
        <f t="shared" ca="1" si="28"/>
        <v>0</v>
      </c>
      <c r="M180" s="43">
        <f t="shared" ca="1" si="29"/>
        <v>97.781126261923788</v>
      </c>
      <c r="N180" s="43">
        <f t="shared" ca="1" si="30"/>
        <v>1.0419298513089797E-3</v>
      </c>
      <c r="O180" s="43">
        <f t="shared" si="31"/>
        <v>97.679298245614021</v>
      </c>
      <c r="P180" s="43">
        <f t="shared" si="32"/>
        <v>1.0424728487886383E-3</v>
      </c>
      <c r="Q180" s="43">
        <f t="shared" si="33"/>
        <v>0.12369246754103497</v>
      </c>
      <c r="R180" s="144" t="e">
        <f t="shared" si="34"/>
        <v>#N/A</v>
      </c>
      <c r="S180" s="147" t="e">
        <f t="shared" si="35"/>
        <v>#N/A</v>
      </c>
    </row>
    <row r="181" spans="1:19">
      <c r="A181" s="144">
        <v>12.2</v>
      </c>
      <c r="B181" s="43">
        <v>8.6599999999999993E-3</v>
      </c>
      <c r="C181" s="43">
        <v>1.3919299999999999</v>
      </c>
      <c r="D181" s="43">
        <v>9.7014800000000001</v>
      </c>
      <c r="E181" s="147">
        <v>1.2</v>
      </c>
      <c r="F181" s="43"/>
      <c r="G181" s="39"/>
      <c r="H181" s="144">
        <f t="shared" si="24"/>
        <v>12.2</v>
      </c>
      <c r="I181" s="43">
        <f t="shared" si="25"/>
        <v>1.5637092731829574E-2</v>
      </c>
      <c r="J181" s="43">
        <f t="shared" si="26"/>
        <v>1.3919299999999999</v>
      </c>
      <c r="K181" s="43">
        <f t="shared" si="27"/>
        <v>3.812377415311391E-4</v>
      </c>
      <c r="L181" s="43">
        <f t="shared" ca="1" si="28"/>
        <v>0</v>
      </c>
      <c r="M181" s="43">
        <f t="shared" ca="1" si="29"/>
        <v>97.781126261923788</v>
      </c>
      <c r="N181" s="43">
        <f t="shared" ca="1" si="30"/>
        <v>1.0419298513089797E-3</v>
      </c>
      <c r="O181" s="43">
        <f t="shared" si="31"/>
        <v>97.679298245614021</v>
      </c>
      <c r="P181" s="43">
        <f t="shared" si="32"/>
        <v>1.0424728487886383E-3</v>
      </c>
      <c r="Q181" s="43">
        <f t="shared" si="33"/>
        <v>0.12369246754103497</v>
      </c>
      <c r="R181" s="144" t="e">
        <f t="shared" si="34"/>
        <v>#N/A</v>
      </c>
      <c r="S181" s="147" t="e">
        <f t="shared" si="35"/>
        <v>#N/A</v>
      </c>
    </row>
    <row r="182" spans="1:19">
      <c r="A182" s="144">
        <v>12.2</v>
      </c>
      <c r="B182" s="43">
        <v>8.6599999999999993E-3</v>
      </c>
      <c r="C182" s="43">
        <v>1.3919299999999999</v>
      </c>
      <c r="D182" s="43">
        <v>9.7014800000000001</v>
      </c>
      <c r="E182" s="147">
        <v>1.2</v>
      </c>
      <c r="F182" s="43"/>
      <c r="G182" s="39"/>
      <c r="H182" s="144">
        <f t="shared" si="24"/>
        <v>12.2</v>
      </c>
      <c r="I182" s="43">
        <f t="shared" si="25"/>
        <v>1.5637092731829574E-2</v>
      </c>
      <c r="J182" s="43">
        <f t="shared" si="26"/>
        <v>1.3919299999999999</v>
      </c>
      <c r="K182" s="43">
        <f t="shared" si="27"/>
        <v>3.812377415311391E-4</v>
      </c>
      <c r="L182" s="43">
        <f t="shared" ca="1" si="28"/>
        <v>0</v>
      </c>
      <c r="M182" s="43">
        <f t="shared" ca="1" si="29"/>
        <v>97.781126261923788</v>
      </c>
      <c r="N182" s="43">
        <f t="shared" ca="1" si="30"/>
        <v>1.0419298513089797E-3</v>
      </c>
      <c r="O182" s="43">
        <f t="shared" si="31"/>
        <v>97.679298245614021</v>
      </c>
      <c r="P182" s="43">
        <f t="shared" si="32"/>
        <v>1.0424728487886383E-3</v>
      </c>
      <c r="Q182" s="43">
        <f t="shared" si="33"/>
        <v>0.12369246754103497</v>
      </c>
      <c r="R182" s="144" t="e">
        <f t="shared" si="34"/>
        <v>#N/A</v>
      </c>
      <c r="S182" s="147" t="e">
        <f t="shared" si="35"/>
        <v>#N/A</v>
      </c>
    </row>
    <row r="183" spans="1:19">
      <c r="A183" s="144">
        <v>12.2</v>
      </c>
      <c r="B183" s="43">
        <v>8.6599999999999993E-3</v>
      </c>
      <c r="C183" s="43">
        <v>1.3919299999999999</v>
      </c>
      <c r="D183" s="43">
        <v>9.7014800000000001</v>
      </c>
      <c r="E183" s="147">
        <v>1.2</v>
      </c>
      <c r="F183" s="43"/>
      <c r="G183" s="39"/>
      <c r="H183" s="144">
        <f t="shared" si="24"/>
        <v>12.2</v>
      </c>
      <c r="I183" s="43">
        <f t="shared" si="25"/>
        <v>1.5637092731829574E-2</v>
      </c>
      <c r="J183" s="43">
        <f t="shared" si="26"/>
        <v>1.3919299999999999</v>
      </c>
      <c r="K183" s="43">
        <f t="shared" si="27"/>
        <v>3.812377415311391E-4</v>
      </c>
      <c r="L183" s="43">
        <f t="shared" ca="1" si="28"/>
        <v>0</v>
      </c>
      <c r="M183" s="43">
        <f t="shared" ca="1" si="29"/>
        <v>97.781126261923788</v>
      </c>
      <c r="N183" s="43">
        <f t="shared" ca="1" si="30"/>
        <v>1.0419298513089797E-3</v>
      </c>
      <c r="O183" s="43">
        <f t="shared" si="31"/>
        <v>97.679298245614021</v>
      </c>
      <c r="P183" s="43">
        <f t="shared" si="32"/>
        <v>1.0424728487886383E-3</v>
      </c>
      <c r="Q183" s="43">
        <f t="shared" si="33"/>
        <v>0.12369246754103497</v>
      </c>
      <c r="R183" s="144" t="e">
        <f t="shared" si="34"/>
        <v>#N/A</v>
      </c>
      <c r="S183" s="147" t="e">
        <f t="shared" si="35"/>
        <v>#N/A</v>
      </c>
    </row>
    <row r="184" spans="1:19">
      <c r="A184" s="144">
        <v>12.2</v>
      </c>
      <c r="B184" s="43">
        <v>8.6599999999999993E-3</v>
      </c>
      <c r="C184" s="43">
        <v>1.3919299999999999</v>
      </c>
      <c r="D184" s="43">
        <v>9.7014800000000001</v>
      </c>
      <c r="E184" s="147">
        <v>1.2</v>
      </c>
      <c r="F184" s="43"/>
      <c r="G184" s="39"/>
      <c r="H184" s="144">
        <f t="shared" si="24"/>
        <v>12.2</v>
      </c>
      <c r="I184" s="43">
        <f t="shared" si="25"/>
        <v>1.5637092731829574E-2</v>
      </c>
      <c r="J184" s="43">
        <f t="shared" si="26"/>
        <v>1.3919299999999999</v>
      </c>
      <c r="K184" s="43">
        <f t="shared" si="27"/>
        <v>3.812377415311391E-4</v>
      </c>
      <c r="L184" s="43">
        <f t="shared" ca="1" si="28"/>
        <v>0</v>
      </c>
      <c r="M184" s="43">
        <f t="shared" ca="1" si="29"/>
        <v>97.781126261923788</v>
      </c>
      <c r="N184" s="43">
        <f t="shared" ca="1" si="30"/>
        <v>1.0419298513089797E-3</v>
      </c>
      <c r="O184" s="43">
        <f t="shared" si="31"/>
        <v>97.679298245614021</v>
      </c>
      <c r="P184" s="43">
        <f t="shared" si="32"/>
        <v>1.0424728487886383E-3</v>
      </c>
      <c r="Q184" s="43">
        <f t="shared" si="33"/>
        <v>0.12369246754103497</v>
      </c>
      <c r="R184" s="144" t="e">
        <f t="shared" si="34"/>
        <v>#N/A</v>
      </c>
      <c r="S184" s="147" t="e">
        <f t="shared" si="35"/>
        <v>#N/A</v>
      </c>
    </row>
    <row r="185" spans="1:19">
      <c r="A185" s="144">
        <v>12.2</v>
      </c>
      <c r="B185" s="43">
        <v>8.6599999999999993E-3</v>
      </c>
      <c r="C185" s="43">
        <v>1.3919299999999999</v>
      </c>
      <c r="D185" s="43">
        <v>9.7014800000000001</v>
      </c>
      <c r="E185" s="147">
        <v>1.2</v>
      </c>
      <c r="F185" s="43"/>
      <c r="G185" s="39"/>
      <c r="H185" s="144">
        <f t="shared" si="24"/>
        <v>12.2</v>
      </c>
      <c r="I185" s="43">
        <f t="shared" si="25"/>
        <v>1.5637092731829574E-2</v>
      </c>
      <c r="J185" s="43">
        <f t="shared" si="26"/>
        <v>1.3919299999999999</v>
      </c>
      <c r="K185" s="43">
        <f t="shared" si="27"/>
        <v>3.812377415311391E-4</v>
      </c>
      <c r="L185" s="43">
        <f t="shared" ca="1" si="28"/>
        <v>0</v>
      </c>
      <c r="M185" s="43">
        <f t="shared" ca="1" si="29"/>
        <v>97.781126261923788</v>
      </c>
      <c r="N185" s="43">
        <f t="shared" ca="1" si="30"/>
        <v>1.0419298513089797E-3</v>
      </c>
      <c r="O185" s="43">
        <f t="shared" si="31"/>
        <v>97.679298245614021</v>
      </c>
      <c r="P185" s="43">
        <f t="shared" si="32"/>
        <v>1.0424728487886383E-3</v>
      </c>
      <c r="Q185" s="43">
        <f t="shared" si="33"/>
        <v>0.12369246754103497</v>
      </c>
      <c r="R185" s="144" t="e">
        <f t="shared" si="34"/>
        <v>#N/A</v>
      </c>
      <c r="S185" s="147" t="e">
        <f t="shared" si="35"/>
        <v>#N/A</v>
      </c>
    </row>
    <row r="186" spans="1:19">
      <c r="A186" s="144">
        <v>12.2</v>
      </c>
      <c r="B186" s="43">
        <v>8.6599999999999993E-3</v>
      </c>
      <c r="C186" s="43">
        <v>1.3919299999999999</v>
      </c>
      <c r="D186" s="43">
        <v>9.7014800000000001</v>
      </c>
      <c r="E186" s="147">
        <v>1.2</v>
      </c>
      <c r="F186" s="43"/>
      <c r="G186" s="39"/>
      <c r="H186" s="144">
        <f t="shared" si="24"/>
        <v>12.2</v>
      </c>
      <c r="I186" s="43">
        <f t="shared" si="25"/>
        <v>1.5637092731829574E-2</v>
      </c>
      <c r="J186" s="43">
        <f t="shared" si="26"/>
        <v>1.3919299999999999</v>
      </c>
      <c r="K186" s="43">
        <f t="shared" si="27"/>
        <v>3.812377415311391E-4</v>
      </c>
      <c r="L186" s="43">
        <f t="shared" ca="1" si="28"/>
        <v>0</v>
      </c>
      <c r="M186" s="43">
        <f t="shared" ca="1" si="29"/>
        <v>97.781126261923788</v>
      </c>
      <c r="N186" s="43">
        <f t="shared" ca="1" si="30"/>
        <v>1.0419298513089797E-3</v>
      </c>
      <c r="O186" s="43">
        <f t="shared" si="31"/>
        <v>97.679298245614021</v>
      </c>
      <c r="P186" s="43">
        <f t="shared" si="32"/>
        <v>1.0424728487886383E-3</v>
      </c>
      <c r="Q186" s="43">
        <f t="shared" si="33"/>
        <v>0.12369246754103497</v>
      </c>
      <c r="R186" s="144" t="e">
        <f t="shared" si="34"/>
        <v>#N/A</v>
      </c>
      <c r="S186" s="147" t="e">
        <f t="shared" si="35"/>
        <v>#N/A</v>
      </c>
    </row>
    <row r="187" spans="1:19">
      <c r="A187" s="144">
        <v>12.2</v>
      </c>
      <c r="B187" s="43">
        <v>8.6599999999999993E-3</v>
      </c>
      <c r="C187" s="43">
        <v>1.3919299999999999</v>
      </c>
      <c r="D187" s="43">
        <v>9.7014800000000001</v>
      </c>
      <c r="E187" s="147">
        <v>1.2</v>
      </c>
      <c r="F187" s="43"/>
      <c r="G187" s="39"/>
      <c r="H187" s="144">
        <f t="shared" si="24"/>
        <v>12.2</v>
      </c>
      <c r="I187" s="43">
        <f t="shared" si="25"/>
        <v>1.5637092731829574E-2</v>
      </c>
      <c r="J187" s="43">
        <f t="shared" si="26"/>
        <v>1.3919299999999999</v>
      </c>
      <c r="K187" s="43">
        <f t="shared" si="27"/>
        <v>3.812377415311391E-4</v>
      </c>
      <c r="L187" s="43">
        <f t="shared" ca="1" si="28"/>
        <v>0</v>
      </c>
      <c r="M187" s="43">
        <f t="shared" ca="1" si="29"/>
        <v>97.781126261923788</v>
      </c>
      <c r="N187" s="43">
        <f t="shared" ca="1" si="30"/>
        <v>1.0419298513089797E-3</v>
      </c>
      <c r="O187" s="43">
        <f t="shared" si="31"/>
        <v>97.679298245614021</v>
      </c>
      <c r="P187" s="43">
        <f t="shared" si="32"/>
        <v>1.0424728487886383E-3</v>
      </c>
      <c r="Q187" s="43">
        <f t="shared" si="33"/>
        <v>0.12369246754103497</v>
      </c>
      <c r="R187" s="144" t="e">
        <f t="shared" si="34"/>
        <v>#N/A</v>
      </c>
      <c r="S187" s="147" t="e">
        <f t="shared" si="35"/>
        <v>#N/A</v>
      </c>
    </row>
    <row r="188" spans="1:19">
      <c r="A188" s="144">
        <v>12.2</v>
      </c>
      <c r="B188" s="43">
        <v>8.6599999999999993E-3</v>
      </c>
      <c r="C188" s="43">
        <v>1.3919299999999999</v>
      </c>
      <c r="D188" s="43">
        <v>9.7014800000000001</v>
      </c>
      <c r="E188" s="147">
        <v>1.2</v>
      </c>
      <c r="F188" s="43"/>
      <c r="G188" s="39"/>
      <c r="H188" s="144">
        <f t="shared" si="24"/>
        <v>12.2</v>
      </c>
      <c r="I188" s="43">
        <f t="shared" si="25"/>
        <v>1.5637092731829574E-2</v>
      </c>
      <c r="J188" s="43">
        <f t="shared" si="26"/>
        <v>1.3919299999999999</v>
      </c>
      <c r="K188" s="43">
        <f t="shared" si="27"/>
        <v>3.812377415311391E-4</v>
      </c>
      <c r="L188" s="43">
        <f t="shared" ca="1" si="28"/>
        <v>0</v>
      </c>
      <c r="M188" s="43">
        <f t="shared" ca="1" si="29"/>
        <v>97.781126261923788</v>
      </c>
      <c r="N188" s="43">
        <f t="shared" ca="1" si="30"/>
        <v>1.0419298513089797E-3</v>
      </c>
      <c r="O188" s="43">
        <f t="shared" si="31"/>
        <v>97.679298245614021</v>
      </c>
      <c r="P188" s="43">
        <f t="shared" si="32"/>
        <v>1.0424728487886383E-3</v>
      </c>
      <c r="Q188" s="43">
        <f t="shared" si="33"/>
        <v>0.12369246754103497</v>
      </c>
      <c r="R188" s="144" t="e">
        <f t="shared" si="34"/>
        <v>#N/A</v>
      </c>
      <c r="S188" s="147" t="e">
        <f t="shared" si="35"/>
        <v>#N/A</v>
      </c>
    </row>
    <row r="189" spans="1:19">
      <c r="A189" s="144">
        <v>12.2</v>
      </c>
      <c r="B189" s="43">
        <v>8.6599999999999993E-3</v>
      </c>
      <c r="C189" s="43">
        <v>1.3919299999999999</v>
      </c>
      <c r="D189" s="43">
        <v>9.7014800000000001</v>
      </c>
      <c r="E189" s="147">
        <v>1.2</v>
      </c>
      <c r="F189" s="43"/>
      <c r="G189" s="39"/>
      <c r="H189" s="144">
        <f t="shared" si="24"/>
        <v>12.2</v>
      </c>
      <c r="I189" s="43">
        <f t="shared" si="25"/>
        <v>1.5637092731829574E-2</v>
      </c>
      <c r="J189" s="43">
        <f t="shared" si="26"/>
        <v>1.3919299999999999</v>
      </c>
      <c r="K189" s="43">
        <f t="shared" si="27"/>
        <v>3.812377415311391E-4</v>
      </c>
      <c r="L189" s="43">
        <f t="shared" ca="1" si="28"/>
        <v>0</v>
      </c>
      <c r="M189" s="43">
        <f t="shared" ca="1" si="29"/>
        <v>97.781126261923788</v>
      </c>
      <c r="N189" s="43">
        <f t="shared" ca="1" si="30"/>
        <v>1.0419298513089797E-3</v>
      </c>
      <c r="O189" s="43">
        <f t="shared" si="31"/>
        <v>97.679298245614021</v>
      </c>
      <c r="P189" s="43">
        <f t="shared" si="32"/>
        <v>1.0424728487886383E-3</v>
      </c>
      <c r="Q189" s="43">
        <f t="shared" si="33"/>
        <v>0.12369246754103497</v>
      </c>
      <c r="R189" s="144" t="e">
        <f t="shared" si="34"/>
        <v>#N/A</v>
      </c>
      <c r="S189" s="147" t="e">
        <f t="shared" si="35"/>
        <v>#N/A</v>
      </c>
    </row>
    <row r="190" spans="1:19">
      <c r="A190" s="144">
        <v>12.2</v>
      </c>
      <c r="B190" s="43">
        <v>8.6599999999999993E-3</v>
      </c>
      <c r="C190" s="43">
        <v>1.3919299999999999</v>
      </c>
      <c r="D190" s="43">
        <v>9.7014800000000001</v>
      </c>
      <c r="E190" s="147">
        <v>1.2</v>
      </c>
      <c r="F190" s="43"/>
      <c r="G190" s="39"/>
      <c r="H190" s="144">
        <f t="shared" si="24"/>
        <v>12.2</v>
      </c>
      <c r="I190" s="43">
        <f t="shared" si="25"/>
        <v>1.5637092731829574E-2</v>
      </c>
      <c r="J190" s="43">
        <f t="shared" si="26"/>
        <v>1.3919299999999999</v>
      </c>
      <c r="K190" s="43">
        <f t="shared" si="27"/>
        <v>3.812377415311391E-4</v>
      </c>
      <c r="L190" s="43">
        <f t="shared" ca="1" si="28"/>
        <v>0</v>
      </c>
      <c r="M190" s="43">
        <f t="shared" ca="1" si="29"/>
        <v>97.781126261923788</v>
      </c>
      <c r="N190" s="43">
        <f t="shared" ca="1" si="30"/>
        <v>1.0419298513089797E-3</v>
      </c>
      <c r="O190" s="43">
        <f t="shared" si="31"/>
        <v>97.679298245614021</v>
      </c>
      <c r="P190" s="43">
        <f t="shared" si="32"/>
        <v>1.0424728487886383E-3</v>
      </c>
      <c r="Q190" s="43">
        <f t="shared" si="33"/>
        <v>0.12369246754103497</v>
      </c>
      <c r="R190" s="144" t="e">
        <f t="shared" si="34"/>
        <v>#N/A</v>
      </c>
      <c r="S190" s="147" t="e">
        <f t="shared" si="35"/>
        <v>#N/A</v>
      </c>
    </row>
    <row r="191" spans="1:19">
      <c r="A191" s="144">
        <v>12.2</v>
      </c>
      <c r="B191" s="43">
        <v>8.6599999999999993E-3</v>
      </c>
      <c r="C191" s="43">
        <v>1.3919299999999999</v>
      </c>
      <c r="D191" s="43">
        <v>9.7014800000000001</v>
      </c>
      <c r="E191" s="147">
        <v>1.2</v>
      </c>
      <c r="F191" s="43"/>
      <c r="G191" s="39"/>
      <c r="H191" s="144">
        <f t="shared" si="24"/>
        <v>12.2</v>
      </c>
      <c r="I191" s="43">
        <f t="shared" si="25"/>
        <v>1.5637092731829574E-2</v>
      </c>
      <c r="J191" s="43">
        <f t="shared" si="26"/>
        <v>1.3919299999999999</v>
      </c>
      <c r="K191" s="43">
        <f t="shared" si="27"/>
        <v>3.812377415311391E-4</v>
      </c>
      <c r="L191" s="43">
        <f t="shared" ca="1" si="28"/>
        <v>0</v>
      </c>
      <c r="M191" s="43">
        <f t="shared" ca="1" si="29"/>
        <v>97.781126261923788</v>
      </c>
      <c r="N191" s="43">
        <f t="shared" ca="1" si="30"/>
        <v>1.0419298513089797E-3</v>
      </c>
      <c r="O191" s="43">
        <f t="shared" si="31"/>
        <v>97.679298245614021</v>
      </c>
      <c r="P191" s="43">
        <f t="shared" si="32"/>
        <v>1.0424728487886383E-3</v>
      </c>
      <c r="Q191" s="43">
        <f t="shared" si="33"/>
        <v>0.12369246754103497</v>
      </c>
      <c r="R191" s="144" t="e">
        <f t="shared" si="34"/>
        <v>#N/A</v>
      </c>
      <c r="S191" s="147" t="e">
        <f t="shared" si="35"/>
        <v>#N/A</v>
      </c>
    </row>
    <row r="192" spans="1:19">
      <c r="A192" s="144">
        <v>12.2</v>
      </c>
      <c r="B192" s="43">
        <v>8.6599999999999993E-3</v>
      </c>
      <c r="C192" s="43">
        <v>1.3919299999999999</v>
      </c>
      <c r="D192" s="43">
        <v>9.7014800000000001</v>
      </c>
      <c r="E192" s="147">
        <v>1.2</v>
      </c>
      <c r="F192" s="43"/>
      <c r="G192" s="39"/>
      <c r="H192" s="144">
        <f t="shared" si="24"/>
        <v>12.2</v>
      </c>
      <c r="I192" s="43">
        <f t="shared" si="25"/>
        <v>1.5637092731829574E-2</v>
      </c>
      <c r="J192" s="43">
        <f t="shared" si="26"/>
        <v>1.3919299999999999</v>
      </c>
      <c r="K192" s="43">
        <f t="shared" si="27"/>
        <v>3.812377415311391E-4</v>
      </c>
      <c r="L192" s="43">
        <f t="shared" ca="1" si="28"/>
        <v>0</v>
      </c>
      <c r="M192" s="43">
        <f t="shared" ca="1" si="29"/>
        <v>97.781126261923788</v>
      </c>
      <c r="N192" s="43">
        <f t="shared" ca="1" si="30"/>
        <v>1.0419298513089797E-3</v>
      </c>
      <c r="O192" s="43">
        <f t="shared" si="31"/>
        <v>97.679298245614021</v>
      </c>
      <c r="P192" s="43">
        <f t="shared" si="32"/>
        <v>1.0424728487886383E-3</v>
      </c>
      <c r="Q192" s="43">
        <f t="shared" si="33"/>
        <v>0.12369246754103497</v>
      </c>
      <c r="R192" s="144" t="e">
        <f t="shared" si="34"/>
        <v>#N/A</v>
      </c>
      <c r="S192" s="147" t="e">
        <f t="shared" si="35"/>
        <v>#N/A</v>
      </c>
    </row>
    <row r="193" spans="1:19">
      <c r="A193" s="144">
        <v>12.2</v>
      </c>
      <c r="B193" s="43">
        <v>8.6599999999999993E-3</v>
      </c>
      <c r="C193" s="43">
        <v>1.3919299999999999</v>
      </c>
      <c r="D193" s="43">
        <v>9.7014800000000001</v>
      </c>
      <c r="E193" s="147">
        <v>1.2</v>
      </c>
      <c r="F193" s="43"/>
      <c r="G193" s="39"/>
      <c r="H193" s="144">
        <f t="shared" si="24"/>
        <v>12.2</v>
      </c>
      <c r="I193" s="43">
        <f t="shared" si="25"/>
        <v>1.5637092731829574E-2</v>
      </c>
      <c r="J193" s="43">
        <f t="shared" si="26"/>
        <v>1.3919299999999999</v>
      </c>
      <c r="K193" s="43">
        <f t="shared" si="27"/>
        <v>3.812377415311391E-4</v>
      </c>
      <c r="L193" s="43">
        <f t="shared" ca="1" si="28"/>
        <v>0</v>
      </c>
      <c r="M193" s="43">
        <f t="shared" ca="1" si="29"/>
        <v>97.781126261923788</v>
      </c>
      <c r="N193" s="43">
        <f t="shared" ca="1" si="30"/>
        <v>1.0419298513089797E-3</v>
      </c>
      <c r="O193" s="43">
        <f t="shared" si="31"/>
        <v>97.679298245614021</v>
      </c>
      <c r="P193" s="43">
        <f t="shared" si="32"/>
        <v>1.0424728487886383E-3</v>
      </c>
      <c r="Q193" s="43">
        <f t="shared" si="33"/>
        <v>0.12369246754103497</v>
      </c>
      <c r="R193" s="144" t="e">
        <f t="shared" si="34"/>
        <v>#N/A</v>
      </c>
      <c r="S193" s="147" t="e">
        <f t="shared" si="35"/>
        <v>#N/A</v>
      </c>
    </row>
    <row r="194" spans="1:19">
      <c r="A194" s="144">
        <v>12.2</v>
      </c>
      <c r="B194" s="43">
        <v>8.6599999999999993E-3</v>
      </c>
      <c r="C194" s="43">
        <v>1.3919299999999999</v>
      </c>
      <c r="D194" s="43">
        <v>9.7014800000000001</v>
      </c>
      <c r="E194" s="147">
        <v>1.2</v>
      </c>
      <c r="F194" s="43"/>
      <c r="G194" s="39"/>
      <c r="H194" s="144">
        <f t="shared" si="24"/>
        <v>12.2</v>
      </c>
      <c r="I194" s="43">
        <f t="shared" si="25"/>
        <v>1.5637092731829574E-2</v>
      </c>
      <c r="J194" s="43">
        <f t="shared" si="26"/>
        <v>1.3919299999999999</v>
      </c>
      <c r="K194" s="43">
        <f t="shared" si="27"/>
        <v>3.812377415311391E-4</v>
      </c>
      <c r="L194" s="43">
        <f t="shared" ca="1" si="28"/>
        <v>0</v>
      </c>
      <c r="M194" s="43">
        <f t="shared" ca="1" si="29"/>
        <v>97.781126261923788</v>
      </c>
      <c r="N194" s="43">
        <f t="shared" ca="1" si="30"/>
        <v>1.0419298513089797E-3</v>
      </c>
      <c r="O194" s="43">
        <f t="shared" si="31"/>
        <v>97.679298245614021</v>
      </c>
      <c r="P194" s="43">
        <f t="shared" si="32"/>
        <v>1.0424728487886383E-3</v>
      </c>
      <c r="Q194" s="43">
        <f t="shared" si="33"/>
        <v>0.12369246754103497</v>
      </c>
      <c r="R194" s="144" t="e">
        <f t="shared" si="34"/>
        <v>#N/A</v>
      </c>
      <c r="S194" s="147" t="e">
        <f t="shared" si="35"/>
        <v>#N/A</v>
      </c>
    </row>
    <row r="195" spans="1:19">
      <c r="A195" s="144">
        <v>12.2</v>
      </c>
      <c r="B195" s="43">
        <v>8.6599999999999993E-3</v>
      </c>
      <c r="C195" s="43">
        <v>1.3919299999999999</v>
      </c>
      <c r="D195" s="43">
        <v>9.7014800000000001</v>
      </c>
      <c r="E195" s="147">
        <v>1.2</v>
      </c>
      <c r="F195" s="43"/>
      <c r="G195" s="39"/>
      <c r="H195" s="144">
        <f t="shared" si="24"/>
        <v>12.2</v>
      </c>
      <c r="I195" s="43">
        <f t="shared" si="25"/>
        <v>1.5637092731829574E-2</v>
      </c>
      <c r="J195" s="43">
        <f t="shared" si="26"/>
        <v>1.3919299999999999</v>
      </c>
      <c r="K195" s="43">
        <f t="shared" si="27"/>
        <v>3.812377415311391E-4</v>
      </c>
      <c r="L195" s="43">
        <f t="shared" ca="1" si="28"/>
        <v>0</v>
      </c>
      <c r="M195" s="43">
        <f t="shared" ca="1" si="29"/>
        <v>97.781126261923788</v>
      </c>
      <c r="N195" s="43">
        <f t="shared" ca="1" si="30"/>
        <v>1.0419298513089797E-3</v>
      </c>
      <c r="O195" s="43">
        <f t="shared" si="31"/>
        <v>97.679298245614021</v>
      </c>
      <c r="P195" s="43">
        <f t="shared" si="32"/>
        <v>1.0424728487886383E-3</v>
      </c>
      <c r="Q195" s="43">
        <f t="shared" si="33"/>
        <v>0.12369246754103497</v>
      </c>
      <c r="R195" s="144" t="e">
        <f t="shared" si="34"/>
        <v>#N/A</v>
      </c>
      <c r="S195" s="147" t="e">
        <f t="shared" si="35"/>
        <v>#N/A</v>
      </c>
    </row>
    <row r="196" spans="1:19">
      <c r="A196" s="144">
        <v>12.2</v>
      </c>
      <c r="B196" s="43">
        <v>8.6599999999999993E-3</v>
      </c>
      <c r="C196" s="43">
        <v>1.3919299999999999</v>
      </c>
      <c r="D196" s="43">
        <v>9.7014800000000001</v>
      </c>
      <c r="E196" s="147">
        <v>1.2</v>
      </c>
      <c r="F196" s="43"/>
      <c r="G196" s="39"/>
      <c r="H196" s="144">
        <f t="shared" si="24"/>
        <v>12.2</v>
      </c>
      <c r="I196" s="43">
        <f t="shared" si="25"/>
        <v>1.5637092731829574E-2</v>
      </c>
      <c r="J196" s="43">
        <f t="shared" si="26"/>
        <v>1.3919299999999999</v>
      </c>
      <c r="K196" s="43">
        <f t="shared" si="27"/>
        <v>3.812377415311391E-4</v>
      </c>
      <c r="L196" s="43">
        <f t="shared" ca="1" si="28"/>
        <v>0</v>
      </c>
      <c r="M196" s="43">
        <f t="shared" ca="1" si="29"/>
        <v>97.781126261923788</v>
      </c>
      <c r="N196" s="43">
        <f t="shared" ca="1" si="30"/>
        <v>1.0419298513089797E-3</v>
      </c>
      <c r="O196" s="43">
        <f t="shared" si="31"/>
        <v>97.679298245614021</v>
      </c>
      <c r="P196" s="43">
        <f t="shared" si="32"/>
        <v>1.0424728487886383E-3</v>
      </c>
      <c r="Q196" s="43">
        <f t="shared" si="33"/>
        <v>0.12369246754103497</v>
      </c>
      <c r="R196" s="144" t="e">
        <f t="shared" si="34"/>
        <v>#N/A</v>
      </c>
      <c r="S196" s="147" t="e">
        <f t="shared" si="35"/>
        <v>#N/A</v>
      </c>
    </row>
    <row r="197" spans="1:19">
      <c r="A197" s="144">
        <v>12.2</v>
      </c>
      <c r="B197" s="43">
        <v>8.6599999999999993E-3</v>
      </c>
      <c r="C197" s="43">
        <v>1.3919299999999999</v>
      </c>
      <c r="D197" s="43">
        <v>9.7014800000000001</v>
      </c>
      <c r="E197" s="147">
        <v>1.2</v>
      </c>
      <c r="F197" s="43"/>
      <c r="G197" s="39"/>
      <c r="H197" s="144">
        <f t="shared" si="24"/>
        <v>12.2</v>
      </c>
      <c r="I197" s="43">
        <f t="shared" si="25"/>
        <v>1.5637092731829574E-2</v>
      </c>
      <c r="J197" s="43">
        <f t="shared" si="26"/>
        <v>1.3919299999999999</v>
      </c>
      <c r="K197" s="43">
        <f t="shared" si="27"/>
        <v>3.812377415311391E-4</v>
      </c>
      <c r="L197" s="43">
        <f t="shared" ca="1" si="28"/>
        <v>0</v>
      </c>
      <c r="M197" s="43">
        <f t="shared" ca="1" si="29"/>
        <v>97.781126261923788</v>
      </c>
      <c r="N197" s="43">
        <f t="shared" ca="1" si="30"/>
        <v>1.0419298513089797E-3</v>
      </c>
      <c r="O197" s="43">
        <f t="shared" si="31"/>
        <v>97.679298245614021</v>
      </c>
      <c r="P197" s="43">
        <f t="shared" si="32"/>
        <v>1.0424728487886383E-3</v>
      </c>
      <c r="Q197" s="43">
        <f t="shared" si="33"/>
        <v>0.12369246754103497</v>
      </c>
      <c r="R197" s="144" t="e">
        <f t="shared" si="34"/>
        <v>#N/A</v>
      </c>
      <c r="S197" s="147" t="e">
        <f t="shared" si="35"/>
        <v>#N/A</v>
      </c>
    </row>
    <row r="198" spans="1:19">
      <c r="A198" s="144">
        <v>12.2</v>
      </c>
      <c r="B198" s="43">
        <v>8.6599999999999993E-3</v>
      </c>
      <c r="C198" s="43">
        <v>1.3919299999999999</v>
      </c>
      <c r="D198" s="43">
        <v>9.7014800000000001</v>
      </c>
      <c r="E198" s="147">
        <v>1.2</v>
      </c>
      <c r="F198" s="43"/>
      <c r="G198" s="39"/>
      <c r="H198" s="144">
        <f t="shared" si="24"/>
        <v>12.2</v>
      </c>
      <c r="I198" s="43">
        <f t="shared" si="25"/>
        <v>1.5637092731829574E-2</v>
      </c>
      <c r="J198" s="43">
        <f t="shared" si="26"/>
        <v>1.3919299999999999</v>
      </c>
      <c r="K198" s="43">
        <f t="shared" si="27"/>
        <v>3.812377415311391E-4</v>
      </c>
      <c r="L198" s="43">
        <f t="shared" ca="1" si="28"/>
        <v>0</v>
      </c>
      <c r="M198" s="43">
        <f t="shared" ca="1" si="29"/>
        <v>97.781126261923788</v>
      </c>
      <c r="N198" s="43">
        <f t="shared" ca="1" si="30"/>
        <v>1.0419298513089797E-3</v>
      </c>
      <c r="O198" s="43">
        <f t="shared" si="31"/>
        <v>97.679298245614021</v>
      </c>
      <c r="P198" s="43">
        <f t="shared" si="32"/>
        <v>1.0424728487886383E-3</v>
      </c>
      <c r="Q198" s="43">
        <f t="shared" si="33"/>
        <v>0.12369246754103497</v>
      </c>
      <c r="R198" s="144" t="e">
        <f t="shared" si="34"/>
        <v>#N/A</v>
      </c>
      <c r="S198" s="147" t="e">
        <f t="shared" si="35"/>
        <v>#N/A</v>
      </c>
    </row>
    <row r="199" spans="1:19">
      <c r="A199" s="144">
        <v>12.2</v>
      </c>
      <c r="B199" s="43">
        <v>8.6599999999999993E-3</v>
      </c>
      <c r="C199" s="43">
        <v>1.3919299999999999</v>
      </c>
      <c r="D199" s="43">
        <v>9.7014800000000001</v>
      </c>
      <c r="E199" s="147">
        <v>1.2</v>
      </c>
      <c r="F199" s="43"/>
      <c r="G199" s="39"/>
      <c r="H199" s="144">
        <f t="shared" si="24"/>
        <v>12.2</v>
      </c>
      <c r="I199" s="43">
        <f t="shared" si="25"/>
        <v>1.5637092731829574E-2</v>
      </c>
      <c r="J199" s="43">
        <f t="shared" si="26"/>
        <v>1.3919299999999999</v>
      </c>
      <c r="K199" s="43">
        <f t="shared" si="27"/>
        <v>3.812377415311391E-4</v>
      </c>
      <c r="L199" s="43">
        <f t="shared" ca="1" si="28"/>
        <v>0</v>
      </c>
      <c r="M199" s="43">
        <f t="shared" ca="1" si="29"/>
        <v>97.781126261923788</v>
      </c>
      <c r="N199" s="43">
        <f t="shared" ca="1" si="30"/>
        <v>1.0419298513089797E-3</v>
      </c>
      <c r="O199" s="43">
        <f t="shared" si="31"/>
        <v>97.679298245614021</v>
      </c>
      <c r="P199" s="43">
        <f t="shared" si="32"/>
        <v>1.0424728487886383E-3</v>
      </c>
      <c r="Q199" s="43">
        <f t="shared" si="33"/>
        <v>0.12369246754103497</v>
      </c>
      <c r="R199" s="144" t="e">
        <f t="shared" si="34"/>
        <v>#N/A</v>
      </c>
      <c r="S199" s="147" t="e">
        <f t="shared" si="35"/>
        <v>#N/A</v>
      </c>
    </row>
    <row r="200" spans="1:19">
      <c r="A200" s="144">
        <v>12.2</v>
      </c>
      <c r="B200" s="43">
        <v>8.6599999999999993E-3</v>
      </c>
      <c r="C200" s="43">
        <v>1.3919299999999999</v>
      </c>
      <c r="D200" s="43">
        <v>9.7014800000000001</v>
      </c>
      <c r="E200" s="147">
        <v>1.2</v>
      </c>
      <c r="F200" s="43"/>
      <c r="G200" s="39"/>
      <c r="H200" s="144">
        <f t="shared" si="24"/>
        <v>12.2</v>
      </c>
      <c r="I200" s="43">
        <f t="shared" si="25"/>
        <v>1.5637092731829574E-2</v>
      </c>
      <c r="J200" s="43">
        <f t="shared" si="26"/>
        <v>1.3919299999999999</v>
      </c>
      <c r="K200" s="43">
        <f t="shared" si="27"/>
        <v>3.812377415311391E-4</v>
      </c>
      <c r="L200" s="43">
        <f t="shared" ca="1" si="28"/>
        <v>0</v>
      </c>
      <c r="M200" s="43">
        <f t="shared" ca="1" si="29"/>
        <v>97.781126261923788</v>
      </c>
      <c r="N200" s="43">
        <f t="shared" ca="1" si="30"/>
        <v>1.0419298513089797E-3</v>
      </c>
      <c r="O200" s="43">
        <f t="shared" si="31"/>
        <v>97.679298245614021</v>
      </c>
      <c r="P200" s="43">
        <f t="shared" si="32"/>
        <v>1.0424728487886383E-3</v>
      </c>
      <c r="Q200" s="43">
        <f t="shared" si="33"/>
        <v>0.12369246754103497</v>
      </c>
      <c r="R200" s="144" t="e">
        <f t="shared" si="34"/>
        <v>#N/A</v>
      </c>
      <c r="S200" s="147" t="e">
        <f t="shared" si="35"/>
        <v>#N/A</v>
      </c>
    </row>
    <row r="201" spans="1:19">
      <c r="A201" s="144">
        <v>12.2</v>
      </c>
      <c r="B201" s="43">
        <v>8.6599999999999993E-3</v>
      </c>
      <c r="C201" s="43">
        <v>1.3919299999999999</v>
      </c>
      <c r="D201" s="43">
        <v>9.7014800000000001</v>
      </c>
      <c r="E201" s="147">
        <v>1.2</v>
      </c>
      <c r="F201" s="43"/>
      <c r="G201" s="39"/>
      <c r="H201" s="144">
        <f t="shared" si="24"/>
        <v>12.2</v>
      </c>
      <c r="I201" s="43">
        <f t="shared" si="25"/>
        <v>1.5637092731829574E-2</v>
      </c>
      <c r="J201" s="43">
        <f t="shared" si="26"/>
        <v>1.3919299999999999</v>
      </c>
      <c r="K201" s="43">
        <f t="shared" si="27"/>
        <v>3.812377415311391E-4</v>
      </c>
      <c r="L201" s="43">
        <f t="shared" ca="1" si="28"/>
        <v>0</v>
      </c>
      <c r="M201" s="43">
        <f t="shared" ca="1" si="29"/>
        <v>97.781126261923788</v>
      </c>
      <c r="N201" s="43">
        <f t="shared" ca="1" si="30"/>
        <v>1.0419298513089797E-3</v>
      </c>
      <c r="O201" s="43">
        <f t="shared" si="31"/>
        <v>97.679298245614021</v>
      </c>
      <c r="P201" s="43">
        <f t="shared" si="32"/>
        <v>1.0424728487886383E-3</v>
      </c>
      <c r="Q201" s="43">
        <f t="shared" si="33"/>
        <v>0.12369246754103497</v>
      </c>
      <c r="R201" s="144" t="e">
        <f t="shared" si="34"/>
        <v>#N/A</v>
      </c>
      <c r="S201" s="147" t="e">
        <f t="shared" si="35"/>
        <v>#N/A</v>
      </c>
    </row>
    <row r="202" spans="1:19">
      <c r="A202" s="144">
        <v>12.2</v>
      </c>
      <c r="B202" s="43">
        <v>8.6599999999999993E-3</v>
      </c>
      <c r="C202" s="43">
        <v>1.3919299999999999</v>
      </c>
      <c r="D202" s="43">
        <v>9.7014800000000001</v>
      </c>
      <c r="E202" s="147">
        <v>1.2</v>
      </c>
      <c r="F202" s="43"/>
      <c r="G202" s="39"/>
      <c r="H202" s="144">
        <f t="shared" si="24"/>
        <v>12.2</v>
      </c>
      <c r="I202" s="43">
        <f t="shared" si="25"/>
        <v>1.5637092731829574E-2</v>
      </c>
      <c r="J202" s="43">
        <f t="shared" si="26"/>
        <v>1.3919299999999999</v>
      </c>
      <c r="K202" s="43">
        <f t="shared" si="27"/>
        <v>3.812377415311391E-4</v>
      </c>
      <c r="L202" s="43">
        <f t="shared" ca="1" si="28"/>
        <v>0</v>
      </c>
      <c r="M202" s="43">
        <f t="shared" ca="1" si="29"/>
        <v>97.781126261923788</v>
      </c>
      <c r="N202" s="43">
        <f t="shared" ca="1" si="30"/>
        <v>1.0419298513089797E-3</v>
      </c>
      <c r="O202" s="43">
        <f t="shared" si="31"/>
        <v>97.679298245614021</v>
      </c>
      <c r="P202" s="43">
        <f t="shared" si="32"/>
        <v>1.0424728487886383E-3</v>
      </c>
      <c r="Q202" s="43">
        <f t="shared" si="33"/>
        <v>0.12369246754103497</v>
      </c>
      <c r="R202" s="144" t="e">
        <f t="shared" si="34"/>
        <v>#N/A</v>
      </c>
      <c r="S202" s="147" t="e">
        <f t="shared" si="35"/>
        <v>#N/A</v>
      </c>
    </row>
    <row r="203" spans="1:19">
      <c r="A203" s="144">
        <v>12.2</v>
      </c>
      <c r="B203" s="43">
        <v>8.6599999999999993E-3</v>
      </c>
      <c r="C203" s="43">
        <v>1.3919299999999999</v>
      </c>
      <c r="D203" s="43">
        <v>9.7014800000000001</v>
      </c>
      <c r="E203" s="147">
        <v>1.2</v>
      </c>
      <c r="F203" s="43"/>
      <c r="G203" s="39"/>
      <c r="H203" s="144">
        <f t="shared" si="24"/>
        <v>12.2</v>
      </c>
      <c r="I203" s="43">
        <f t="shared" si="25"/>
        <v>1.5637092731829574E-2</v>
      </c>
      <c r="J203" s="43">
        <f t="shared" si="26"/>
        <v>1.3919299999999999</v>
      </c>
      <c r="K203" s="43">
        <f t="shared" si="27"/>
        <v>3.812377415311391E-4</v>
      </c>
      <c r="L203" s="43">
        <f t="shared" ca="1" si="28"/>
        <v>0</v>
      </c>
      <c r="M203" s="43">
        <f t="shared" ca="1" si="29"/>
        <v>97.781126261923788</v>
      </c>
      <c r="N203" s="43">
        <f t="shared" ca="1" si="30"/>
        <v>1.0419298513089797E-3</v>
      </c>
      <c r="O203" s="43">
        <f t="shared" si="31"/>
        <v>97.679298245614021</v>
      </c>
      <c r="P203" s="43">
        <f t="shared" si="32"/>
        <v>1.0424728487886383E-3</v>
      </c>
      <c r="Q203" s="43">
        <f t="shared" si="33"/>
        <v>0.12369246754103497</v>
      </c>
      <c r="R203" s="144" t="e">
        <f t="shared" si="34"/>
        <v>#N/A</v>
      </c>
      <c r="S203" s="147" t="e">
        <f t="shared" si="35"/>
        <v>#N/A</v>
      </c>
    </row>
    <row r="204" spans="1:19">
      <c r="A204" s="144">
        <v>12.2</v>
      </c>
      <c r="B204" s="43">
        <v>8.6599999999999993E-3</v>
      </c>
      <c r="C204" s="43">
        <v>1.3919299999999999</v>
      </c>
      <c r="D204" s="43">
        <v>9.7014800000000001</v>
      </c>
      <c r="E204" s="147">
        <v>1.2</v>
      </c>
      <c r="F204" s="43"/>
      <c r="G204" s="39"/>
      <c r="H204" s="144">
        <f t="shared" si="24"/>
        <v>12.2</v>
      </c>
      <c r="I204" s="43">
        <f t="shared" si="25"/>
        <v>1.5637092731829574E-2</v>
      </c>
      <c r="J204" s="43">
        <f t="shared" si="26"/>
        <v>1.3919299999999999</v>
      </c>
      <c r="K204" s="43">
        <f t="shared" si="27"/>
        <v>3.812377415311391E-4</v>
      </c>
      <c r="L204" s="43">
        <f t="shared" ca="1" si="28"/>
        <v>0</v>
      </c>
      <c r="M204" s="43">
        <f t="shared" ca="1" si="29"/>
        <v>97.781126261923788</v>
      </c>
      <c r="N204" s="43">
        <f t="shared" ca="1" si="30"/>
        <v>1.0419298513089797E-3</v>
      </c>
      <c r="O204" s="43">
        <f t="shared" si="31"/>
        <v>97.679298245614021</v>
      </c>
      <c r="P204" s="43">
        <f t="shared" si="32"/>
        <v>1.0424728487886383E-3</v>
      </c>
      <c r="Q204" s="43">
        <f t="shared" si="33"/>
        <v>0.12369246754103497</v>
      </c>
      <c r="R204" s="144" t="e">
        <f t="shared" si="34"/>
        <v>#N/A</v>
      </c>
      <c r="S204" s="147" t="e">
        <f t="shared" si="35"/>
        <v>#N/A</v>
      </c>
    </row>
    <row r="205" spans="1:19">
      <c r="A205" s="144">
        <v>12.2</v>
      </c>
      <c r="B205" s="43">
        <v>8.6599999999999993E-3</v>
      </c>
      <c r="C205" s="43">
        <v>1.3919299999999999</v>
      </c>
      <c r="D205" s="43">
        <v>9.7014800000000001</v>
      </c>
      <c r="E205" s="147">
        <v>1.2</v>
      </c>
      <c r="F205" s="43"/>
      <c r="G205" s="39"/>
      <c r="H205" s="144">
        <f t="shared" si="24"/>
        <v>12.2</v>
      </c>
      <c r="I205" s="43">
        <f t="shared" si="25"/>
        <v>1.5637092731829574E-2</v>
      </c>
      <c r="J205" s="43">
        <f t="shared" si="26"/>
        <v>1.3919299999999999</v>
      </c>
      <c r="K205" s="43">
        <f t="shared" si="27"/>
        <v>3.812377415311391E-4</v>
      </c>
      <c r="L205" s="43">
        <f t="shared" ca="1" si="28"/>
        <v>0</v>
      </c>
      <c r="M205" s="43">
        <f t="shared" ca="1" si="29"/>
        <v>97.781126261923788</v>
      </c>
      <c r="N205" s="43">
        <f t="shared" ca="1" si="30"/>
        <v>1.0419298513089797E-3</v>
      </c>
      <c r="O205" s="43">
        <f t="shared" si="31"/>
        <v>97.679298245614021</v>
      </c>
      <c r="P205" s="43">
        <f t="shared" si="32"/>
        <v>1.0424728487886383E-3</v>
      </c>
      <c r="Q205" s="43">
        <f t="shared" si="33"/>
        <v>0.12369246754103497</v>
      </c>
      <c r="R205" s="144" t="e">
        <f t="shared" si="34"/>
        <v>#N/A</v>
      </c>
      <c r="S205" s="147" t="e">
        <f t="shared" si="35"/>
        <v>#N/A</v>
      </c>
    </row>
    <row r="206" spans="1:19">
      <c r="A206" s="144">
        <v>12.2</v>
      </c>
      <c r="B206" s="43">
        <v>8.6599999999999993E-3</v>
      </c>
      <c r="C206" s="43">
        <v>1.3919299999999999</v>
      </c>
      <c r="D206" s="43">
        <v>9.7014800000000001</v>
      </c>
      <c r="E206" s="147">
        <v>1.2</v>
      </c>
      <c r="F206" s="43"/>
      <c r="G206" s="39"/>
      <c r="H206" s="144">
        <f t="shared" si="24"/>
        <v>12.2</v>
      </c>
      <c r="I206" s="43">
        <f t="shared" si="25"/>
        <v>1.5637092731829574E-2</v>
      </c>
      <c r="J206" s="43">
        <f t="shared" si="26"/>
        <v>1.3919299999999999</v>
      </c>
      <c r="K206" s="43">
        <f t="shared" si="27"/>
        <v>3.812377415311391E-4</v>
      </c>
      <c r="L206" s="43">
        <f t="shared" ca="1" si="28"/>
        <v>0</v>
      </c>
      <c r="M206" s="43">
        <f t="shared" ca="1" si="29"/>
        <v>97.781126261923788</v>
      </c>
      <c r="N206" s="43">
        <f t="shared" ca="1" si="30"/>
        <v>1.0419298513089797E-3</v>
      </c>
      <c r="O206" s="43">
        <f t="shared" si="31"/>
        <v>97.679298245614021</v>
      </c>
      <c r="P206" s="43">
        <f t="shared" si="32"/>
        <v>1.0424728487886383E-3</v>
      </c>
      <c r="Q206" s="43">
        <f t="shared" si="33"/>
        <v>0.12369246754103497</v>
      </c>
      <c r="R206" s="144" t="e">
        <f t="shared" si="34"/>
        <v>#N/A</v>
      </c>
      <c r="S206" s="147" t="e">
        <f t="shared" si="35"/>
        <v>#N/A</v>
      </c>
    </row>
    <row r="207" spans="1:19">
      <c r="A207" s="144">
        <v>12.2</v>
      </c>
      <c r="B207" s="43">
        <v>8.6599999999999993E-3</v>
      </c>
      <c r="C207" s="43">
        <v>1.3919299999999999</v>
      </c>
      <c r="D207" s="43">
        <v>9.7014800000000001</v>
      </c>
      <c r="E207" s="147">
        <v>1.2</v>
      </c>
      <c r="F207" s="43"/>
      <c r="G207" s="39"/>
      <c r="H207" s="144">
        <f t="shared" si="24"/>
        <v>12.2</v>
      </c>
      <c r="I207" s="43">
        <f t="shared" si="25"/>
        <v>1.5637092731829574E-2</v>
      </c>
      <c r="J207" s="43">
        <f t="shared" si="26"/>
        <v>1.3919299999999999</v>
      </c>
      <c r="K207" s="43">
        <f t="shared" si="27"/>
        <v>3.812377415311391E-4</v>
      </c>
      <c r="L207" s="43">
        <f t="shared" ca="1" si="28"/>
        <v>0</v>
      </c>
      <c r="M207" s="43">
        <f t="shared" ca="1" si="29"/>
        <v>97.781126261923788</v>
      </c>
      <c r="N207" s="43">
        <f t="shared" ca="1" si="30"/>
        <v>1.0419298513089797E-3</v>
      </c>
      <c r="O207" s="43">
        <f t="shared" si="31"/>
        <v>97.679298245614021</v>
      </c>
      <c r="P207" s="43">
        <f t="shared" si="32"/>
        <v>1.0424728487886383E-3</v>
      </c>
      <c r="Q207" s="43">
        <f t="shared" si="33"/>
        <v>0.12369246754103497</v>
      </c>
      <c r="R207" s="144" t="e">
        <f t="shared" si="34"/>
        <v>#N/A</v>
      </c>
      <c r="S207" s="147" t="e">
        <f t="shared" si="35"/>
        <v>#N/A</v>
      </c>
    </row>
    <row r="208" spans="1:19">
      <c r="A208" s="144">
        <v>12.2</v>
      </c>
      <c r="B208" s="43">
        <v>8.6599999999999993E-3</v>
      </c>
      <c r="C208" s="43">
        <v>1.3919299999999999</v>
      </c>
      <c r="D208" s="43">
        <v>9.7014800000000001</v>
      </c>
      <c r="E208" s="147">
        <v>1.2</v>
      </c>
      <c r="F208" s="43"/>
      <c r="G208" s="39"/>
      <c r="H208" s="144">
        <f t="shared" ref="H208:H271" si="36">A208</f>
        <v>12.2</v>
      </c>
      <c r="I208" s="43">
        <f t="shared" ref="I208:I271" si="37">B208+$G$7</f>
        <v>1.5637092731829574E-2</v>
      </c>
      <c r="J208" s="43">
        <f t="shared" ref="J208:J271" si="38">C208</f>
        <v>1.3919299999999999</v>
      </c>
      <c r="K208" s="43">
        <f t="shared" ref="K208:K271" si="39">(P208-(O208/$I$9))</f>
        <v>3.812377415311391E-4</v>
      </c>
      <c r="L208" s="43">
        <f t="shared" ref="L208:L271" ca="1" si="40">IF(I208&lt;$I$5,(LN(D208/$D$15))/LN(($I$10*$D$15)/((B208+$I$10)*D208)),#N/A)</f>
        <v>0</v>
      </c>
      <c r="M208" s="43">
        <f t="shared" ref="M208:M271" ca="1" si="41">IF(I208&lt;$I$5,O208*(1+P208),#N/A)</f>
        <v>97.781126261923788</v>
      </c>
      <c r="N208" s="43">
        <f t="shared" ref="N208:N271" ca="1" si="42">IF(I208&lt;$I$5,LN(1+P208),#N/A)</f>
        <v>1.0419298513089797E-3</v>
      </c>
      <c r="O208" s="43">
        <f t="shared" ref="O208:O271" si="43">(C208*1000)/$I$7</f>
        <v>97.679298245614021</v>
      </c>
      <c r="P208" s="43">
        <f t="shared" ref="P208:P271" si="44">I208/$I$10</f>
        <v>1.0424728487886383E-3</v>
      </c>
      <c r="Q208" s="43">
        <f t="shared" ref="Q208:Q271" si="45">E208/$D$15</f>
        <v>0.12369246754103497</v>
      </c>
      <c r="R208" s="144" t="e">
        <f t="shared" ref="R208:R271" si="46">IF(AND(($N$8/100)&lt;K208,($N$9/100)&gt;K208),LN(1-Q208),#N/A)</f>
        <v>#N/A</v>
      </c>
      <c r="S208" s="147" t="e">
        <f t="shared" ref="S208:S271" si="47">IF(AND(($N$8/100)&lt;K208,($N$9/100)&gt;K208),LN(1+P208),#N/A)</f>
        <v>#N/A</v>
      </c>
    </row>
    <row r="209" spans="1:19">
      <c r="A209" s="144">
        <v>12.2</v>
      </c>
      <c r="B209" s="43">
        <v>8.6599999999999993E-3</v>
      </c>
      <c r="C209" s="43">
        <v>1.3919299999999999</v>
      </c>
      <c r="D209" s="43">
        <v>9.7014800000000001</v>
      </c>
      <c r="E209" s="147">
        <v>1.2</v>
      </c>
      <c r="F209" s="43"/>
      <c r="G209" s="39"/>
      <c r="H209" s="144">
        <f t="shared" si="36"/>
        <v>12.2</v>
      </c>
      <c r="I209" s="43">
        <f t="shared" si="37"/>
        <v>1.5637092731829574E-2</v>
      </c>
      <c r="J209" s="43">
        <f t="shared" si="38"/>
        <v>1.3919299999999999</v>
      </c>
      <c r="K209" s="43">
        <f t="shared" si="39"/>
        <v>3.812377415311391E-4</v>
      </c>
      <c r="L209" s="43">
        <f t="shared" ca="1" si="40"/>
        <v>0</v>
      </c>
      <c r="M209" s="43">
        <f t="shared" ca="1" si="41"/>
        <v>97.781126261923788</v>
      </c>
      <c r="N209" s="43">
        <f t="shared" ca="1" si="42"/>
        <v>1.0419298513089797E-3</v>
      </c>
      <c r="O209" s="43">
        <f t="shared" si="43"/>
        <v>97.679298245614021</v>
      </c>
      <c r="P209" s="43">
        <f t="shared" si="44"/>
        <v>1.0424728487886383E-3</v>
      </c>
      <c r="Q209" s="43">
        <f t="shared" si="45"/>
        <v>0.12369246754103497</v>
      </c>
      <c r="R209" s="144" t="e">
        <f t="shared" si="46"/>
        <v>#N/A</v>
      </c>
      <c r="S209" s="147" t="e">
        <f t="shared" si="47"/>
        <v>#N/A</v>
      </c>
    </row>
    <row r="210" spans="1:19">
      <c r="A210" s="144">
        <v>12.2</v>
      </c>
      <c r="B210" s="43">
        <v>8.6599999999999993E-3</v>
      </c>
      <c r="C210" s="43">
        <v>1.3919299999999999</v>
      </c>
      <c r="D210" s="43">
        <v>9.7014800000000001</v>
      </c>
      <c r="E210" s="147">
        <v>1.2</v>
      </c>
      <c r="F210" s="43"/>
      <c r="G210" s="39"/>
      <c r="H210" s="144">
        <f t="shared" si="36"/>
        <v>12.2</v>
      </c>
      <c r="I210" s="43">
        <f t="shared" si="37"/>
        <v>1.5637092731829574E-2</v>
      </c>
      <c r="J210" s="43">
        <f t="shared" si="38"/>
        <v>1.3919299999999999</v>
      </c>
      <c r="K210" s="43">
        <f t="shared" si="39"/>
        <v>3.812377415311391E-4</v>
      </c>
      <c r="L210" s="43">
        <f t="shared" ca="1" si="40"/>
        <v>0</v>
      </c>
      <c r="M210" s="43">
        <f t="shared" ca="1" si="41"/>
        <v>97.781126261923788</v>
      </c>
      <c r="N210" s="43">
        <f t="shared" ca="1" si="42"/>
        <v>1.0419298513089797E-3</v>
      </c>
      <c r="O210" s="43">
        <f t="shared" si="43"/>
        <v>97.679298245614021</v>
      </c>
      <c r="P210" s="43">
        <f t="shared" si="44"/>
        <v>1.0424728487886383E-3</v>
      </c>
      <c r="Q210" s="43">
        <f t="shared" si="45"/>
        <v>0.12369246754103497</v>
      </c>
      <c r="R210" s="144" t="e">
        <f t="shared" si="46"/>
        <v>#N/A</v>
      </c>
      <c r="S210" s="147" t="e">
        <f t="shared" si="47"/>
        <v>#N/A</v>
      </c>
    </row>
    <row r="211" spans="1:19">
      <c r="A211" s="144">
        <v>12.2</v>
      </c>
      <c r="B211" s="43">
        <v>8.6599999999999993E-3</v>
      </c>
      <c r="C211" s="43">
        <v>1.3919299999999999</v>
      </c>
      <c r="D211" s="43">
        <v>9.7014800000000001</v>
      </c>
      <c r="E211" s="147">
        <v>1.2</v>
      </c>
      <c r="F211" s="43"/>
      <c r="G211" s="39"/>
      <c r="H211" s="144">
        <f t="shared" si="36"/>
        <v>12.2</v>
      </c>
      <c r="I211" s="43">
        <f t="shared" si="37"/>
        <v>1.5637092731829574E-2</v>
      </c>
      <c r="J211" s="43">
        <f t="shared" si="38"/>
        <v>1.3919299999999999</v>
      </c>
      <c r="K211" s="43">
        <f t="shared" si="39"/>
        <v>3.812377415311391E-4</v>
      </c>
      <c r="L211" s="43">
        <f t="shared" ca="1" si="40"/>
        <v>0</v>
      </c>
      <c r="M211" s="43">
        <f t="shared" ca="1" si="41"/>
        <v>97.781126261923788</v>
      </c>
      <c r="N211" s="43">
        <f t="shared" ca="1" si="42"/>
        <v>1.0419298513089797E-3</v>
      </c>
      <c r="O211" s="43">
        <f t="shared" si="43"/>
        <v>97.679298245614021</v>
      </c>
      <c r="P211" s="43">
        <f t="shared" si="44"/>
        <v>1.0424728487886383E-3</v>
      </c>
      <c r="Q211" s="43">
        <f t="shared" si="45"/>
        <v>0.12369246754103497</v>
      </c>
      <c r="R211" s="144" t="e">
        <f t="shared" si="46"/>
        <v>#N/A</v>
      </c>
      <c r="S211" s="147" t="e">
        <f t="shared" si="47"/>
        <v>#N/A</v>
      </c>
    </row>
    <row r="212" spans="1:19">
      <c r="A212" s="144">
        <v>12.2</v>
      </c>
      <c r="B212" s="43">
        <v>8.6599999999999993E-3</v>
      </c>
      <c r="C212" s="43">
        <v>1.3919299999999999</v>
      </c>
      <c r="D212" s="43">
        <v>9.7014800000000001</v>
      </c>
      <c r="E212" s="147">
        <v>1.2</v>
      </c>
      <c r="F212" s="43"/>
      <c r="G212" s="39"/>
      <c r="H212" s="144">
        <f t="shared" si="36"/>
        <v>12.2</v>
      </c>
      <c r="I212" s="43">
        <f t="shared" si="37"/>
        <v>1.5637092731829574E-2</v>
      </c>
      <c r="J212" s="43">
        <f t="shared" si="38"/>
        <v>1.3919299999999999</v>
      </c>
      <c r="K212" s="43">
        <f t="shared" si="39"/>
        <v>3.812377415311391E-4</v>
      </c>
      <c r="L212" s="43">
        <f t="shared" ca="1" si="40"/>
        <v>0</v>
      </c>
      <c r="M212" s="43">
        <f t="shared" ca="1" si="41"/>
        <v>97.781126261923788</v>
      </c>
      <c r="N212" s="43">
        <f t="shared" ca="1" si="42"/>
        <v>1.0419298513089797E-3</v>
      </c>
      <c r="O212" s="43">
        <f t="shared" si="43"/>
        <v>97.679298245614021</v>
      </c>
      <c r="P212" s="43">
        <f t="shared" si="44"/>
        <v>1.0424728487886383E-3</v>
      </c>
      <c r="Q212" s="43">
        <f t="shared" si="45"/>
        <v>0.12369246754103497</v>
      </c>
      <c r="R212" s="144" t="e">
        <f t="shared" si="46"/>
        <v>#N/A</v>
      </c>
      <c r="S212" s="147" t="e">
        <f t="shared" si="47"/>
        <v>#N/A</v>
      </c>
    </row>
    <row r="213" spans="1:19">
      <c r="A213" s="144">
        <v>12.2</v>
      </c>
      <c r="B213" s="43">
        <v>8.6599999999999993E-3</v>
      </c>
      <c r="C213" s="43">
        <v>1.3919299999999999</v>
      </c>
      <c r="D213" s="43">
        <v>9.7014800000000001</v>
      </c>
      <c r="E213" s="147">
        <v>1.2</v>
      </c>
      <c r="F213" s="43"/>
      <c r="G213" s="39"/>
      <c r="H213" s="144">
        <f t="shared" si="36"/>
        <v>12.2</v>
      </c>
      <c r="I213" s="43">
        <f t="shared" si="37"/>
        <v>1.5637092731829574E-2</v>
      </c>
      <c r="J213" s="43">
        <f t="shared" si="38"/>
        <v>1.3919299999999999</v>
      </c>
      <c r="K213" s="43">
        <f t="shared" si="39"/>
        <v>3.812377415311391E-4</v>
      </c>
      <c r="L213" s="43">
        <f t="shared" ca="1" si="40"/>
        <v>0</v>
      </c>
      <c r="M213" s="43">
        <f t="shared" ca="1" si="41"/>
        <v>97.781126261923788</v>
      </c>
      <c r="N213" s="43">
        <f t="shared" ca="1" si="42"/>
        <v>1.0419298513089797E-3</v>
      </c>
      <c r="O213" s="43">
        <f t="shared" si="43"/>
        <v>97.679298245614021</v>
      </c>
      <c r="P213" s="43">
        <f t="shared" si="44"/>
        <v>1.0424728487886383E-3</v>
      </c>
      <c r="Q213" s="43">
        <f t="shared" si="45"/>
        <v>0.12369246754103497</v>
      </c>
      <c r="R213" s="144" t="e">
        <f t="shared" si="46"/>
        <v>#N/A</v>
      </c>
      <c r="S213" s="147" t="e">
        <f t="shared" si="47"/>
        <v>#N/A</v>
      </c>
    </row>
    <row r="214" spans="1:19">
      <c r="A214" s="144">
        <v>12.2</v>
      </c>
      <c r="B214" s="43">
        <v>8.6599999999999993E-3</v>
      </c>
      <c r="C214" s="43">
        <v>1.3919299999999999</v>
      </c>
      <c r="D214" s="43">
        <v>9.7014800000000001</v>
      </c>
      <c r="E214" s="147">
        <v>1.2</v>
      </c>
      <c r="F214" s="43"/>
      <c r="G214" s="39"/>
      <c r="H214" s="144">
        <f t="shared" si="36"/>
        <v>12.2</v>
      </c>
      <c r="I214" s="43">
        <f t="shared" si="37"/>
        <v>1.5637092731829574E-2</v>
      </c>
      <c r="J214" s="43">
        <f t="shared" si="38"/>
        <v>1.3919299999999999</v>
      </c>
      <c r="K214" s="43">
        <f t="shared" si="39"/>
        <v>3.812377415311391E-4</v>
      </c>
      <c r="L214" s="43">
        <f t="shared" ca="1" si="40"/>
        <v>0</v>
      </c>
      <c r="M214" s="43">
        <f t="shared" ca="1" si="41"/>
        <v>97.781126261923788</v>
      </c>
      <c r="N214" s="43">
        <f t="shared" ca="1" si="42"/>
        <v>1.0419298513089797E-3</v>
      </c>
      <c r="O214" s="43">
        <f t="shared" si="43"/>
        <v>97.679298245614021</v>
      </c>
      <c r="P214" s="43">
        <f t="shared" si="44"/>
        <v>1.0424728487886383E-3</v>
      </c>
      <c r="Q214" s="43">
        <f t="shared" si="45"/>
        <v>0.12369246754103497</v>
      </c>
      <c r="R214" s="144" t="e">
        <f t="shared" si="46"/>
        <v>#N/A</v>
      </c>
      <c r="S214" s="147" t="e">
        <f t="shared" si="47"/>
        <v>#N/A</v>
      </c>
    </row>
    <row r="215" spans="1:19">
      <c r="A215" s="144">
        <v>12.2</v>
      </c>
      <c r="B215" s="43">
        <v>8.6599999999999993E-3</v>
      </c>
      <c r="C215" s="43">
        <v>1.3919299999999999</v>
      </c>
      <c r="D215" s="43">
        <v>9.7014800000000001</v>
      </c>
      <c r="E215" s="147">
        <v>1.2</v>
      </c>
      <c r="F215" s="43"/>
      <c r="G215" s="39"/>
      <c r="H215" s="144">
        <f t="shared" si="36"/>
        <v>12.2</v>
      </c>
      <c r="I215" s="43">
        <f t="shared" si="37"/>
        <v>1.5637092731829574E-2</v>
      </c>
      <c r="J215" s="43">
        <f t="shared" si="38"/>
        <v>1.3919299999999999</v>
      </c>
      <c r="K215" s="43">
        <f t="shared" si="39"/>
        <v>3.812377415311391E-4</v>
      </c>
      <c r="L215" s="43">
        <f t="shared" ca="1" si="40"/>
        <v>0</v>
      </c>
      <c r="M215" s="43">
        <f t="shared" ca="1" si="41"/>
        <v>97.781126261923788</v>
      </c>
      <c r="N215" s="43">
        <f t="shared" ca="1" si="42"/>
        <v>1.0419298513089797E-3</v>
      </c>
      <c r="O215" s="43">
        <f t="shared" si="43"/>
        <v>97.679298245614021</v>
      </c>
      <c r="P215" s="43">
        <f t="shared" si="44"/>
        <v>1.0424728487886383E-3</v>
      </c>
      <c r="Q215" s="43">
        <f t="shared" si="45"/>
        <v>0.12369246754103497</v>
      </c>
      <c r="R215" s="144" t="e">
        <f t="shared" si="46"/>
        <v>#N/A</v>
      </c>
      <c r="S215" s="147" t="e">
        <f t="shared" si="47"/>
        <v>#N/A</v>
      </c>
    </row>
    <row r="216" spans="1:19">
      <c r="A216" s="144">
        <v>12.2</v>
      </c>
      <c r="B216" s="43">
        <v>8.6599999999999993E-3</v>
      </c>
      <c r="C216" s="43">
        <v>1.3919299999999999</v>
      </c>
      <c r="D216" s="43">
        <v>9.7014800000000001</v>
      </c>
      <c r="E216" s="147">
        <v>1.2</v>
      </c>
      <c r="F216" s="43"/>
      <c r="G216" s="39"/>
      <c r="H216" s="144">
        <f t="shared" si="36"/>
        <v>12.2</v>
      </c>
      <c r="I216" s="43">
        <f t="shared" si="37"/>
        <v>1.5637092731829574E-2</v>
      </c>
      <c r="J216" s="43">
        <f t="shared" si="38"/>
        <v>1.3919299999999999</v>
      </c>
      <c r="K216" s="43">
        <f t="shared" si="39"/>
        <v>3.812377415311391E-4</v>
      </c>
      <c r="L216" s="43">
        <f t="shared" ca="1" si="40"/>
        <v>0</v>
      </c>
      <c r="M216" s="43">
        <f t="shared" ca="1" si="41"/>
        <v>97.781126261923788</v>
      </c>
      <c r="N216" s="43">
        <f t="shared" ca="1" si="42"/>
        <v>1.0419298513089797E-3</v>
      </c>
      <c r="O216" s="43">
        <f t="shared" si="43"/>
        <v>97.679298245614021</v>
      </c>
      <c r="P216" s="43">
        <f t="shared" si="44"/>
        <v>1.0424728487886383E-3</v>
      </c>
      <c r="Q216" s="43">
        <f t="shared" si="45"/>
        <v>0.12369246754103497</v>
      </c>
      <c r="R216" s="144" t="e">
        <f t="shared" si="46"/>
        <v>#N/A</v>
      </c>
      <c r="S216" s="147" t="e">
        <f t="shared" si="47"/>
        <v>#N/A</v>
      </c>
    </row>
    <row r="217" spans="1:19">
      <c r="A217" s="144">
        <v>12.2</v>
      </c>
      <c r="B217" s="43">
        <v>8.6599999999999993E-3</v>
      </c>
      <c r="C217" s="43">
        <v>1.3919299999999999</v>
      </c>
      <c r="D217" s="43">
        <v>9.7014800000000001</v>
      </c>
      <c r="E217" s="147">
        <v>1.2</v>
      </c>
      <c r="F217" s="43"/>
      <c r="G217" s="39"/>
      <c r="H217" s="144">
        <f t="shared" si="36"/>
        <v>12.2</v>
      </c>
      <c r="I217" s="43">
        <f t="shared" si="37"/>
        <v>1.5637092731829574E-2</v>
      </c>
      <c r="J217" s="43">
        <f t="shared" si="38"/>
        <v>1.3919299999999999</v>
      </c>
      <c r="K217" s="43">
        <f t="shared" si="39"/>
        <v>3.812377415311391E-4</v>
      </c>
      <c r="L217" s="43">
        <f t="shared" ca="1" si="40"/>
        <v>0</v>
      </c>
      <c r="M217" s="43">
        <f t="shared" ca="1" si="41"/>
        <v>97.781126261923788</v>
      </c>
      <c r="N217" s="43">
        <f t="shared" ca="1" si="42"/>
        <v>1.0419298513089797E-3</v>
      </c>
      <c r="O217" s="43">
        <f t="shared" si="43"/>
        <v>97.679298245614021</v>
      </c>
      <c r="P217" s="43">
        <f t="shared" si="44"/>
        <v>1.0424728487886383E-3</v>
      </c>
      <c r="Q217" s="43">
        <f t="shared" si="45"/>
        <v>0.12369246754103497</v>
      </c>
      <c r="R217" s="144" t="e">
        <f t="shared" si="46"/>
        <v>#N/A</v>
      </c>
      <c r="S217" s="147" t="e">
        <f t="shared" si="47"/>
        <v>#N/A</v>
      </c>
    </row>
    <row r="218" spans="1:19">
      <c r="A218" s="144">
        <v>12.2</v>
      </c>
      <c r="B218" s="43">
        <v>8.6599999999999993E-3</v>
      </c>
      <c r="C218" s="43">
        <v>1.3919299999999999</v>
      </c>
      <c r="D218" s="43">
        <v>9.7014800000000001</v>
      </c>
      <c r="E218" s="147">
        <v>1.2</v>
      </c>
      <c r="F218" s="43"/>
      <c r="G218" s="39"/>
      <c r="H218" s="144">
        <f t="shared" si="36"/>
        <v>12.2</v>
      </c>
      <c r="I218" s="43">
        <f t="shared" si="37"/>
        <v>1.5637092731829574E-2</v>
      </c>
      <c r="J218" s="43">
        <f t="shared" si="38"/>
        <v>1.3919299999999999</v>
      </c>
      <c r="K218" s="43">
        <f t="shared" si="39"/>
        <v>3.812377415311391E-4</v>
      </c>
      <c r="L218" s="43">
        <f t="shared" ca="1" si="40"/>
        <v>0</v>
      </c>
      <c r="M218" s="43">
        <f t="shared" ca="1" si="41"/>
        <v>97.781126261923788</v>
      </c>
      <c r="N218" s="43">
        <f t="shared" ca="1" si="42"/>
        <v>1.0419298513089797E-3</v>
      </c>
      <c r="O218" s="43">
        <f t="shared" si="43"/>
        <v>97.679298245614021</v>
      </c>
      <c r="P218" s="43">
        <f t="shared" si="44"/>
        <v>1.0424728487886383E-3</v>
      </c>
      <c r="Q218" s="43">
        <f t="shared" si="45"/>
        <v>0.12369246754103497</v>
      </c>
      <c r="R218" s="144" t="e">
        <f t="shared" si="46"/>
        <v>#N/A</v>
      </c>
      <c r="S218" s="147" t="e">
        <f t="shared" si="47"/>
        <v>#N/A</v>
      </c>
    </row>
    <row r="219" spans="1:19">
      <c r="A219" s="144">
        <v>12.2</v>
      </c>
      <c r="B219" s="43">
        <v>8.6599999999999993E-3</v>
      </c>
      <c r="C219" s="43">
        <v>1.3919299999999999</v>
      </c>
      <c r="D219" s="43">
        <v>9.7014800000000001</v>
      </c>
      <c r="E219" s="147">
        <v>1.2</v>
      </c>
      <c r="F219" s="43"/>
      <c r="G219" s="39"/>
      <c r="H219" s="144">
        <f t="shared" si="36"/>
        <v>12.2</v>
      </c>
      <c r="I219" s="43">
        <f t="shared" si="37"/>
        <v>1.5637092731829574E-2</v>
      </c>
      <c r="J219" s="43">
        <f t="shared" si="38"/>
        <v>1.3919299999999999</v>
      </c>
      <c r="K219" s="43">
        <f t="shared" si="39"/>
        <v>3.812377415311391E-4</v>
      </c>
      <c r="L219" s="43">
        <f t="shared" ca="1" si="40"/>
        <v>0</v>
      </c>
      <c r="M219" s="43">
        <f t="shared" ca="1" si="41"/>
        <v>97.781126261923788</v>
      </c>
      <c r="N219" s="43">
        <f t="shared" ca="1" si="42"/>
        <v>1.0419298513089797E-3</v>
      </c>
      <c r="O219" s="43">
        <f t="shared" si="43"/>
        <v>97.679298245614021</v>
      </c>
      <c r="P219" s="43">
        <f t="shared" si="44"/>
        <v>1.0424728487886383E-3</v>
      </c>
      <c r="Q219" s="43">
        <f t="shared" si="45"/>
        <v>0.12369246754103497</v>
      </c>
      <c r="R219" s="144" t="e">
        <f t="shared" si="46"/>
        <v>#N/A</v>
      </c>
      <c r="S219" s="147" t="e">
        <f t="shared" si="47"/>
        <v>#N/A</v>
      </c>
    </row>
    <row r="220" spans="1:19">
      <c r="A220" s="144">
        <v>12.2</v>
      </c>
      <c r="B220" s="43">
        <v>8.6599999999999993E-3</v>
      </c>
      <c r="C220" s="43">
        <v>1.3919299999999999</v>
      </c>
      <c r="D220" s="43">
        <v>9.7014800000000001</v>
      </c>
      <c r="E220" s="147">
        <v>1.2</v>
      </c>
      <c r="F220" s="43"/>
      <c r="G220" s="39"/>
      <c r="H220" s="144">
        <f t="shared" si="36"/>
        <v>12.2</v>
      </c>
      <c r="I220" s="43">
        <f t="shared" si="37"/>
        <v>1.5637092731829574E-2</v>
      </c>
      <c r="J220" s="43">
        <f t="shared" si="38"/>
        <v>1.3919299999999999</v>
      </c>
      <c r="K220" s="43">
        <f t="shared" si="39"/>
        <v>3.812377415311391E-4</v>
      </c>
      <c r="L220" s="43">
        <f t="shared" ca="1" si="40"/>
        <v>0</v>
      </c>
      <c r="M220" s="43">
        <f t="shared" ca="1" si="41"/>
        <v>97.781126261923788</v>
      </c>
      <c r="N220" s="43">
        <f t="shared" ca="1" si="42"/>
        <v>1.0419298513089797E-3</v>
      </c>
      <c r="O220" s="43">
        <f t="shared" si="43"/>
        <v>97.679298245614021</v>
      </c>
      <c r="P220" s="43">
        <f t="shared" si="44"/>
        <v>1.0424728487886383E-3</v>
      </c>
      <c r="Q220" s="43">
        <f t="shared" si="45"/>
        <v>0.12369246754103497</v>
      </c>
      <c r="R220" s="144" t="e">
        <f t="shared" si="46"/>
        <v>#N/A</v>
      </c>
      <c r="S220" s="147" t="e">
        <f t="shared" si="47"/>
        <v>#N/A</v>
      </c>
    </row>
    <row r="221" spans="1:19">
      <c r="A221" s="144">
        <v>12.2</v>
      </c>
      <c r="B221" s="43">
        <v>8.6599999999999993E-3</v>
      </c>
      <c r="C221" s="43">
        <v>1.3919299999999999</v>
      </c>
      <c r="D221" s="43">
        <v>9.7014800000000001</v>
      </c>
      <c r="E221" s="147">
        <v>1.2</v>
      </c>
      <c r="F221" s="43"/>
      <c r="G221" s="39"/>
      <c r="H221" s="144">
        <f t="shared" si="36"/>
        <v>12.2</v>
      </c>
      <c r="I221" s="43">
        <f t="shared" si="37"/>
        <v>1.5637092731829574E-2</v>
      </c>
      <c r="J221" s="43">
        <f t="shared" si="38"/>
        <v>1.3919299999999999</v>
      </c>
      <c r="K221" s="43">
        <f t="shared" si="39"/>
        <v>3.812377415311391E-4</v>
      </c>
      <c r="L221" s="43">
        <f t="shared" ca="1" si="40"/>
        <v>0</v>
      </c>
      <c r="M221" s="43">
        <f t="shared" ca="1" si="41"/>
        <v>97.781126261923788</v>
      </c>
      <c r="N221" s="43">
        <f t="shared" ca="1" si="42"/>
        <v>1.0419298513089797E-3</v>
      </c>
      <c r="O221" s="43">
        <f t="shared" si="43"/>
        <v>97.679298245614021</v>
      </c>
      <c r="P221" s="43">
        <f t="shared" si="44"/>
        <v>1.0424728487886383E-3</v>
      </c>
      <c r="Q221" s="43">
        <f t="shared" si="45"/>
        <v>0.12369246754103497</v>
      </c>
      <c r="R221" s="144" t="e">
        <f t="shared" si="46"/>
        <v>#N/A</v>
      </c>
      <c r="S221" s="147" t="e">
        <f t="shared" si="47"/>
        <v>#N/A</v>
      </c>
    </row>
    <row r="222" spans="1:19">
      <c r="A222" s="144">
        <v>12.2</v>
      </c>
      <c r="B222" s="43">
        <v>8.6599999999999993E-3</v>
      </c>
      <c r="C222" s="43">
        <v>1.3919299999999999</v>
      </c>
      <c r="D222" s="43">
        <v>9.7014800000000001</v>
      </c>
      <c r="E222" s="147">
        <v>1.2</v>
      </c>
      <c r="F222" s="43"/>
      <c r="G222" s="39"/>
      <c r="H222" s="144">
        <f t="shared" si="36"/>
        <v>12.2</v>
      </c>
      <c r="I222" s="43">
        <f t="shared" si="37"/>
        <v>1.5637092731829574E-2</v>
      </c>
      <c r="J222" s="43">
        <f t="shared" si="38"/>
        <v>1.3919299999999999</v>
      </c>
      <c r="K222" s="43">
        <f t="shared" si="39"/>
        <v>3.812377415311391E-4</v>
      </c>
      <c r="L222" s="43">
        <f t="shared" ca="1" si="40"/>
        <v>0</v>
      </c>
      <c r="M222" s="43">
        <f t="shared" ca="1" si="41"/>
        <v>97.781126261923788</v>
      </c>
      <c r="N222" s="43">
        <f t="shared" ca="1" si="42"/>
        <v>1.0419298513089797E-3</v>
      </c>
      <c r="O222" s="43">
        <f t="shared" si="43"/>
        <v>97.679298245614021</v>
      </c>
      <c r="P222" s="43">
        <f t="shared" si="44"/>
        <v>1.0424728487886383E-3</v>
      </c>
      <c r="Q222" s="43">
        <f t="shared" si="45"/>
        <v>0.12369246754103497</v>
      </c>
      <c r="R222" s="144" t="e">
        <f t="shared" si="46"/>
        <v>#N/A</v>
      </c>
      <c r="S222" s="147" t="e">
        <f t="shared" si="47"/>
        <v>#N/A</v>
      </c>
    </row>
    <row r="223" spans="1:19">
      <c r="A223" s="144">
        <v>12.2</v>
      </c>
      <c r="B223" s="43">
        <v>8.6599999999999993E-3</v>
      </c>
      <c r="C223" s="43">
        <v>1.3919299999999999</v>
      </c>
      <c r="D223" s="43">
        <v>9.7014800000000001</v>
      </c>
      <c r="E223" s="147">
        <v>1.2</v>
      </c>
      <c r="F223" s="43"/>
      <c r="G223" s="39"/>
      <c r="H223" s="144">
        <f t="shared" si="36"/>
        <v>12.2</v>
      </c>
      <c r="I223" s="43">
        <f t="shared" si="37"/>
        <v>1.5637092731829574E-2</v>
      </c>
      <c r="J223" s="43">
        <f t="shared" si="38"/>
        <v>1.3919299999999999</v>
      </c>
      <c r="K223" s="43">
        <f t="shared" si="39"/>
        <v>3.812377415311391E-4</v>
      </c>
      <c r="L223" s="43">
        <f t="shared" ca="1" si="40"/>
        <v>0</v>
      </c>
      <c r="M223" s="43">
        <f t="shared" ca="1" si="41"/>
        <v>97.781126261923788</v>
      </c>
      <c r="N223" s="43">
        <f t="shared" ca="1" si="42"/>
        <v>1.0419298513089797E-3</v>
      </c>
      <c r="O223" s="43">
        <f t="shared" si="43"/>
        <v>97.679298245614021</v>
      </c>
      <c r="P223" s="43">
        <f t="shared" si="44"/>
        <v>1.0424728487886383E-3</v>
      </c>
      <c r="Q223" s="43">
        <f t="shared" si="45"/>
        <v>0.12369246754103497</v>
      </c>
      <c r="R223" s="144" t="e">
        <f t="shared" si="46"/>
        <v>#N/A</v>
      </c>
      <c r="S223" s="147" t="e">
        <f t="shared" si="47"/>
        <v>#N/A</v>
      </c>
    </row>
    <row r="224" spans="1:19">
      <c r="A224" s="144">
        <v>12.2</v>
      </c>
      <c r="B224" s="43">
        <v>8.6599999999999993E-3</v>
      </c>
      <c r="C224" s="43">
        <v>1.3919299999999999</v>
      </c>
      <c r="D224" s="43">
        <v>9.7014800000000001</v>
      </c>
      <c r="E224" s="147">
        <v>1.2</v>
      </c>
      <c r="F224" s="43"/>
      <c r="G224" s="39"/>
      <c r="H224" s="144">
        <f t="shared" si="36"/>
        <v>12.2</v>
      </c>
      <c r="I224" s="43">
        <f t="shared" si="37"/>
        <v>1.5637092731829574E-2</v>
      </c>
      <c r="J224" s="43">
        <f t="shared" si="38"/>
        <v>1.3919299999999999</v>
      </c>
      <c r="K224" s="43">
        <f t="shared" si="39"/>
        <v>3.812377415311391E-4</v>
      </c>
      <c r="L224" s="43">
        <f t="shared" ca="1" si="40"/>
        <v>0</v>
      </c>
      <c r="M224" s="43">
        <f t="shared" ca="1" si="41"/>
        <v>97.781126261923788</v>
      </c>
      <c r="N224" s="43">
        <f t="shared" ca="1" si="42"/>
        <v>1.0419298513089797E-3</v>
      </c>
      <c r="O224" s="43">
        <f t="shared" si="43"/>
        <v>97.679298245614021</v>
      </c>
      <c r="P224" s="43">
        <f t="shared" si="44"/>
        <v>1.0424728487886383E-3</v>
      </c>
      <c r="Q224" s="43">
        <f t="shared" si="45"/>
        <v>0.12369246754103497</v>
      </c>
      <c r="R224" s="144" t="e">
        <f t="shared" si="46"/>
        <v>#N/A</v>
      </c>
      <c r="S224" s="147" t="e">
        <f t="shared" si="47"/>
        <v>#N/A</v>
      </c>
    </row>
    <row r="225" spans="1:19">
      <c r="A225" s="144">
        <v>12.2</v>
      </c>
      <c r="B225" s="43">
        <v>8.6599999999999993E-3</v>
      </c>
      <c r="C225" s="43">
        <v>1.3919299999999999</v>
      </c>
      <c r="D225" s="43">
        <v>9.7014800000000001</v>
      </c>
      <c r="E225" s="147">
        <v>1.2</v>
      </c>
      <c r="F225" s="43"/>
      <c r="G225" s="39"/>
      <c r="H225" s="144">
        <f t="shared" si="36"/>
        <v>12.2</v>
      </c>
      <c r="I225" s="43">
        <f t="shared" si="37"/>
        <v>1.5637092731829574E-2</v>
      </c>
      <c r="J225" s="43">
        <f t="shared" si="38"/>
        <v>1.3919299999999999</v>
      </c>
      <c r="K225" s="43">
        <f t="shared" si="39"/>
        <v>3.812377415311391E-4</v>
      </c>
      <c r="L225" s="43">
        <f t="shared" ca="1" si="40"/>
        <v>0</v>
      </c>
      <c r="M225" s="43">
        <f t="shared" ca="1" si="41"/>
        <v>97.781126261923788</v>
      </c>
      <c r="N225" s="43">
        <f t="shared" ca="1" si="42"/>
        <v>1.0419298513089797E-3</v>
      </c>
      <c r="O225" s="43">
        <f t="shared" si="43"/>
        <v>97.679298245614021</v>
      </c>
      <c r="P225" s="43">
        <f t="shared" si="44"/>
        <v>1.0424728487886383E-3</v>
      </c>
      <c r="Q225" s="43">
        <f t="shared" si="45"/>
        <v>0.12369246754103497</v>
      </c>
      <c r="R225" s="144" t="e">
        <f t="shared" si="46"/>
        <v>#N/A</v>
      </c>
      <c r="S225" s="147" t="e">
        <f t="shared" si="47"/>
        <v>#N/A</v>
      </c>
    </row>
    <row r="226" spans="1:19">
      <c r="A226" s="144">
        <v>12.2</v>
      </c>
      <c r="B226" s="43">
        <v>8.6599999999999993E-3</v>
      </c>
      <c r="C226" s="43">
        <v>1.3919299999999999</v>
      </c>
      <c r="D226" s="43">
        <v>9.7014800000000001</v>
      </c>
      <c r="E226" s="147">
        <v>1.2</v>
      </c>
      <c r="F226" s="43"/>
      <c r="G226" s="39"/>
      <c r="H226" s="144">
        <f t="shared" si="36"/>
        <v>12.2</v>
      </c>
      <c r="I226" s="43">
        <f t="shared" si="37"/>
        <v>1.5637092731829574E-2</v>
      </c>
      <c r="J226" s="43">
        <f t="shared" si="38"/>
        <v>1.3919299999999999</v>
      </c>
      <c r="K226" s="43">
        <f t="shared" si="39"/>
        <v>3.812377415311391E-4</v>
      </c>
      <c r="L226" s="43">
        <f t="shared" ca="1" si="40"/>
        <v>0</v>
      </c>
      <c r="M226" s="43">
        <f t="shared" ca="1" si="41"/>
        <v>97.781126261923788</v>
      </c>
      <c r="N226" s="43">
        <f t="shared" ca="1" si="42"/>
        <v>1.0419298513089797E-3</v>
      </c>
      <c r="O226" s="43">
        <f t="shared" si="43"/>
        <v>97.679298245614021</v>
      </c>
      <c r="P226" s="43">
        <f t="shared" si="44"/>
        <v>1.0424728487886383E-3</v>
      </c>
      <c r="Q226" s="43">
        <f t="shared" si="45"/>
        <v>0.12369246754103497</v>
      </c>
      <c r="R226" s="144" t="e">
        <f t="shared" si="46"/>
        <v>#N/A</v>
      </c>
      <c r="S226" s="147" t="e">
        <f t="shared" si="47"/>
        <v>#N/A</v>
      </c>
    </row>
    <row r="227" spans="1:19">
      <c r="A227" s="144">
        <v>12.2</v>
      </c>
      <c r="B227" s="43">
        <v>8.6599999999999993E-3</v>
      </c>
      <c r="C227" s="43">
        <v>1.3919299999999999</v>
      </c>
      <c r="D227" s="43">
        <v>9.7014800000000001</v>
      </c>
      <c r="E227" s="147">
        <v>1.2</v>
      </c>
      <c r="F227" s="43"/>
      <c r="G227" s="39"/>
      <c r="H227" s="144">
        <f t="shared" si="36"/>
        <v>12.2</v>
      </c>
      <c r="I227" s="43">
        <f t="shared" si="37"/>
        <v>1.5637092731829574E-2</v>
      </c>
      <c r="J227" s="43">
        <f t="shared" si="38"/>
        <v>1.3919299999999999</v>
      </c>
      <c r="K227" s="43">
        <f t="shared" si="39"/>
        <v>3.812377415311391E-4</v>
      </c>
      <c r="L227" s="43">
        <f t="shared" ca="1" si="40"/>
        <v>0</v>
      </c>
      <c r="M227" s="43">
        <f t="shared" ca="1" si="41"/>
        <v>97.781126261923788</v>
      </c>
      <c r="N227" s="43">
        <f t="shared" ca="1" si="42"/>
        <v>1.0419298513089797E-3</v>
      </c>
      <c r="O227" s="43">
        <f t="shared" si="43"/>
        <v>97.679298245614021</v>
      </c>
      <c r="P227" s="43">
        <f t="shared" si="44"/>
        <v>1.0424728487886383E-3</v>
      </c>
      <c r="Q227" s="43">
        <f t="shared" si="45"/>
        <v>0.12369246754103497</v>
      </c>
      <c r="R227" s="144" t="e">
        <f t="shared" si="46"/>
        <v>#N/A</v>
      </c>
      <c r="S227" s="147" t="e">
        <f t="shared" si="47"/>
        <v>#N/A</v>
      </c>
    </row>
    <row r="228" spans="1:19">
      <c r="A228" s="144">
        <v>12.2</v>
      </c>
      <c r="B228" s="43">
        <v>8.6599999999999993E-3</v>
      </c>
      <c r="C228" s="43">
        <v>1.3919299999999999</v>
      </c>
      <c r="D228" s="43">
        <v>9.7014800000000001</v>
      </c>
      <c r="E228" s="147">
        <v>1.2</v>
      </c>
      <c r="F228" s="43"/>
      <c r="G228" s="39"/>
      <c r="H228" s="144">
        <f t="shared" si="36"/>
        <v>12.2</v>
      </c>
      <c r="I228" s="43">
        <f t="shared" si="37"/>
        <v>1.5637092731829574E-2</v>
      </c>
      <c r="J228" s="43">
        <f t="shared" si="38"/>
        <v>1.3919299999999999</v>
      </c>
      <c r="K228" s="43">
        <f t="shared" si="39"/>
        <v>3.812377415311391E-4</v>
      </c>
      <c r="L228" s="43">
        <f t="shared" ca="1" si="40"/>
        <v>0</v>
      </c>
      <c r="M228" s="43">
        <f t="shared" ca="1" si="41"/>
        <v>97.781126261923788</v>
      </c>
      <c r="N228" s="43">
        <f t="shared" ca="1" si="42"/>
        <v>1.0419298513089797E-3</v>
      </c>
      <c r="O228" s="43">
        <f t="shared" si="43"/>
        <v>97.679298245614021</v>
      </c>
      <c r="P228" s="43">
        <f t="shared" si="44"/>
        <v>1.0424728487886383E-3</v>
      </c>
      <c r="Q228" s="43">
        <f t="shared" si="45"/>
        <v>0.12369246754103497</v>
      </c>
      <c r="R228" s="144" t="e">
        <f t="shared" si="46"/>
        <v>#N/A</v>
      </c>
      <c r="S228" s="147" t="e">
        <f t="shared" si="47"/>
        <v>#N/A</v>
      </c>
    </row>
    <row r="229" spans="1:19">
      <c r="A229" s="144">
        <v>12.2</v>
      </c>
      <c r="B229" s="43">
        <v>8.6599999999999993E-3</v>
      </c>
      <c r="C229" s="43">
        <v>1.3919299999999999</v>
      </c>
      <c r="D229" s="43">
        <v>9.7014800000000001</v>
      </c>
      <c r="E229" s="147">
        <v>1.2</v>
      </c>
      <c r="F229" s="43"/>
      <c r="G229" s="39"/>
      <c r="H229" s="144">
        <f t="shared" si="36"/>
        <v>12.2</v>
      </c>
      <c r="I229" s="43">
        <f t="shared" si="37"/>
        <v>1.5637092731829574E-2</v>
      </c>
      <c r="J229" s="43">
        <f t="shared" si="38"/>
        <v>1.3919299999999999</v>
      </c>
      <c r="K229" s="43">
        <f t="shared" si="39"/>
        <v>3.812377415311391E-4</v>
      </c>
      <c r="L229" s="43">
        <f t="shared" ca="1" si="40"/>
        <v>0</v>
      </c>
      <c r="M229" s="43">
        <f t="shared" ca="1" si="41"/>
        <v>97.781126261923788</v>
      </c>
      <c r="N229" s="43">
        <f t="shared" ca="1" si="42"/>
        <v>1.0419298513089797E-3</v>
      </c>
      <c r="O229" s="43">
        <f t="shared" si="43"/>
        <v>97.679298245614021</v>
      </c>
      <c r="P229" s="43">
        <f t="shared" si="44"/>
        <v>1.0424728487886383E-3</v>
      </c>
      <c r="Q229" s="43">
        <f t="shared" si="45"/>
        <v>0.12369246754103497</v>
      </c>
      <c r="R229" s="144" t="e">
        <f t="shared" si="46"/>
        <v>#N/A</v>
      </c>
      <c r="S229" s="147" t="e">
        <f t="shared" si="47"/>
        <v>#N/A</v>
      </c>
    </row>
    <row r="230" spans="1:19">
      <c r="A230" s="144">
        <v>12.2</v>
      </c>
      <c r="B230" s="43">
        <v>8.6599999999999993E-3</v>
      </c>
      <c r="C230" s="43">
        <v>1.3919299999999999</v>
      </c>
      <c r="D230" s="43">
        <v>9.7014800000000001</v>
      </c>
      <c r="E230" s="147">
        <v>1.2</v>
      </c>
      <c r="F230" s="43"/>
      <c r="G230" s="39"/>
      <c r="H230" s="144">
        <f t="shared" si="36"/>
        <v>12.2</v>
      </c>
      <c r="I230" s="43">
        <f t="shared" si="37"/>
        <v>1.5637092731829574E-2</v>
      </c>
      <c r="J230" s="43">
        <f t="shared" si="38"/>
        <v>1.3919299999999999</v>
      </c>
      <c r="K230" s="43">
        <f t="shared" si="39"/>
        <v>3.812377415311391E-4</v>
      </c>
      <c r="L230" s="43">
        <f t="shared" ca="1" si="40"/>
        <v>0</v>
      </c>
      <c r="M230" s="43">
        <f t="shared" ca="1" si="41"/>
        <v>97.781126261923788</v>
      </c>
      <c r="N230" s="43">
        <f t="shared" ca="1" si="42"/>
        <v>1.0419298513089797E-3</v>
      </c>
      <c r="O230" s="43">
        <f t="shared" si="43"/>
        <v>97.679298245614021</v>
      </c>
      <c r="P230" s="43">
        <f t="shared" si="44"/>
        <v>1.0424728487886383E-3</v>
      </c>
      <c r="Q230" s="43">
        <f t="shared" si="45"/>
        <v>0.12369246754103497</v>
      </c>
      <c r="R230" s="144" t="e">
        <f t="shared" si="46"/>
        <v>#N/A</v>
      </c>
      <c r="S230" s="147" t="e">
        <f t="shared" si="47"/>
        <v>#N/A</v>
      </c>
    </row>
    <row r="231" spans="1:19">
      <c r="A231" s="144">
        <v>12.2</v>
      </c>
      <c r="B231" s="43">
        <v>8.6599999999999993E-3</v>
      </c>
      <c r="C231" s="43">
        <v>1.3919299999999999</v>
      </c>
      <c r="D231" s="43">
        <v>9.7014800000000001</v>
      </c>
      <c r="E231" s="147">
        <v>1.2</v>
      </c>
      <c r="F231" s="43"/>
      <c r="G231" s="39"/>
      <c r="H231" s="144">
        <f t="shared" si="36"/>
        <v>12.2</v>
      </c>
      <c r="I231" s="43">
        <f t="shared" si="37"/>
        <v>1.5637092731829574E-2</v>
      </c>
      <c r="J231" s="43">
        <f t="shared" si="38"/>
        <v>1.3919299999999999</v>
      </c>
      <c r="K231" s="43">
        <f t="shared" si="39"/>
        <v>3.812377415311391E-4</v>
      </c>
      <c r="L231" s="43">
        <f t="shared" ca="1" si="40"/>
        <v>0</v>
      </c>
      <c r="M231" s="43">
        <f t="shared" ca="1" si="41"/>
        <v>97.781126261923788</v>
      </c>
      <c r="N231" s="43">
        <f t="shared" ca="1" si="42"/>
        <v>1.0419298513089797E-3</v>
      </c>
      <c r="O231" s="43">
        <f t="shared" si="43"/>
        <v>97.679298245614021</v>
      </c>
      <c r="P231" s="43">
        <f t="shared" si="44"/>
        <v>1.0424728487886383E-3</v>
      </c>
      <c r="Q231" s="43">
        <f t="shared" si="45"/>
        <v>0.12369246754103497</v>
      </c>
      <c r="R231" s="144" t="e">
        <f t="shared" si="46"/>
        <v>#N/A</v>
      </c>
      <c r="S231" s="147" t="e">
        <f t="shared" si="47"/>
        <v>#N/A</v>
      </c>
    </row>
    <row r="232" spans="1:19">
      <c r="A232" s="144">
        <v>12.2</v>
      </c>
      <c r="B232" s="43">
        <v>8.6599999999999993E-3</v>
      </c>
      <c r="C232" s="43">
        <v>1.3919299999999999</v>
      </c>
      <c r="D232" s="43">
        <v>9.7014800000000001</v>
      </c>
      <c r="E232" s="147">
        <v>1.2</v>
      </c>
      <c r="F232" s="43"/>
      <c r="G232" s="39"/>
      <c r="H232" s="144">
        <f t="shared" si="36"/>
        <v>12.2</v>
      </c>
      <c r="I232" s="43">
        <f t="shared" si="37"/>
        <v>1.5637092731829574E-2</v>
      </c>
      <c r="J232" s="43">
        <f t="shared" si="38"/>
        <v>1.3919299999999999</v>
      </c>
      <c r="K232" s="43">
        <f t="shared" si="39"/>
        <v>3.812377415311391E-4</v>
      </c>
      <c r="L232" s="43">
        <f t="shared" ca="1" si="40"/>
        <v>0</v>
      </c>
      <c r="M232" s="43">
        <f t="shared" ca="1" si="41"/>
        <v>97.781126261923788</v>
      </c>
      <c r="N232" s="43">
        <f t="shared" ca="1" si="42"/>
        <v>1.0419298513089797E-3</v>
      </c>
      <c r="O232" s="43">
        <f t="shared" si="43"/>
        <v>97.679298245614021</v>
      </c>
      <c r="P232" s="43">
        <f t="shared" si="44"/>
        <v>1.0424728487886383E-3</v>
      </c>
      <c r="Q232" s="43">
        <f t="shared" si="45"/>
        <v>0.12369246754103497</v>
      </c>
      <c r="R232" s="144" t="e">
        <f t="shared" si="46"/>
        <v>#N/A</v>
      </c>
      <c r="S232" s="147" t="e">
        <f t="shared" si="47"/>
        <v>#N/A</v>
      </c>
    </row>
    <row r="233" spans="1:19">
      <c r="A233" s="144">
        <v>12.2</v>
      </c>
      <c r="B233" s="43">
        <v>8.6599999999999993E-3</v>
      </c>
      <c r="C233" s="43">
        <v>1.3919299999999999</v>
      </c>
      <c r="D233" s="43">
        <v>9.7014800000000001</v>
      </c>
      <c r="E233" s="147">
        <v>1.2</v>
      </c>
      <c r="F233" s="43"/>
      <c r="G233" s="39"/>
      <c r="H233" s="144">
        <f t="shared" si="36"/>
        <v>12.2</v>
      </c>
      <c r="I233" s="43">
        <f t="shared" si="37"/>
        <v>1.5637092731829574E-2</v>
      </c>
      <c r="J233" s="43">
        <f t="shared" si="38"/>
        <v>1.3919299999999999</v>
      </c>
      <c r="K233" s="43">
        <f t="shared" si="39"/>
        <v>3.812377415311391E-4</v>
      </c>
      <c r="L233" s="43">
        <f t="shared" ca="1" si="40"/>
        <v>0</v>
      </c>
      <c r="M233" s="43">
        <f t="shared" ca="1" si="41"/>
        <v>97.781126261923788</v>
      </c>
      <c r="N233" s="43">
        <f t="shared" ca="1" si="42"/>
        <v>1.0419298513089797E-3</v>
      </c>
      <c r="O233" s="43">
        <f t="shared" si="43"/>
        <v>97.679298245614021</v>
      </c>
      <c r="P233" s="43">
        <f t="shared" si="44"/>
        <v>1.0424728487886383E-3</v>
      </c>
      <c r="Q233" s="43">
        <f t="shared" si="45"/>
        <v>0.12369246754103497</v>
      </c>
      <c r="R233" s="144" t="e">
        <f t="shared" si="46"/>
        <v>#N/A</v>
      </c>
      <c r="S233" s="147" t="e">
        <f t="shared" si="47"/>
        <v>#N/A</v>
      </c>
    </row>
    <row r="234" spans="1:19">
      <c r="A234" s="144">
        <v>12.2</v>
      </c>
      <c r="B234" s="43">
        <v>8.6599999999999993E-3</v>
      </c>
      <c r="C234" s="43">
        <v>1.3919299999999999</v>
      </c>
      <c r="D234" s="43">
        <v>9.7014800000000001</v>
      </c>
      <c r="E234" s="147">
        <v>1.2</v>
      </c>
      <c r="F234" s="43"/>
      <c r="G234" s="39"/>
      <c r="H234" s="144">
        <f t="shared" si="36"/>
        <v>12.2</v>
      </c>
      <c r="I234" s="43">
        <f t="shared" si="37"/>
        <v>1.5637092731829574E-2</v>
      </c>
      <c r="J234" s="43">
        <f t="shared" si="38"/>
        <v>1.3919299999999999</v>
      </c>
      <c r="K234" s="43">
        <f t="shared" si="39"/>
        <v>3.812377415311391E-4</v>
      </c>
      <c r="L234" s="43">
        <f t="shared" ca="1" si="40"/>
        <v>0</v>
      </c>
      <c r="M234" s="43">
        <f t="shared" ca="1" si="41"/>
        <v>97.781126261923788</v>
      </c>
      <c r="N234" s="43">
        <f t="shared" ca="1" si="42"/>
        <v>1.0419298513089797E-3</v>
      </c>
      <c r="O234" s="43">
        <f t="shared" si="43"/>
        <v>97.679298245614021</v>
      </c>
      <c r="P234" s="43">
        <f t="shared" si="44"/>
        <v>1.0424728487886383E-3</v>
      </c>
      <c r="Q234" s="43">
        <f t="shared" si="45"/>
        <v>0.12369246754103497</v>
      </c>
      <c r="R234" s="144" t="e">
        <f t="shared" si="46"/>
        <v>#N/A</v>
      </c>
      <c r="S234" s="147" t="e">
        <f t="shared" si="47"/>
        <v>#N/A</v>
      </c>
    </row>
    <row r="235" spans="1:19">
      <c r="A235" s="144">
        <v>12.2</v>
      </c>
      <c r="B235" s="43">
        <v>8.6599999999999993E-3</v>
      </c>
      <c r="C235" s="43">
        <v>1.3919299999999999</v>
      </c>
      <c r="D235" s="43">
        <v>9.7014800000000001</v>
      </c>
      <c r="E235" s="147">
        <v>1.2</v>
      </c>
      <c r="F235" s="43"/>
      <c r="G235" s="39"/>
      <c r="H235" s="144">
        <f t="shared" si="36"/>
        <v>12.2</v>
      </c>
      <c r="I235" s="43">
        <f t="shared" si="37"/>
        <v>1.5637092731829574E-2</v>
      </c>
      <c r="J235" s="43">
        <f t="shared" si="38"/>
        <v>1.3919299999999999</v>
      </c>
      <c r="K235" s="43">
        <f t="shared" si="39"/>
        <v>3.812377415311391E-4</v>
      </c>
      <c r="L235" s="43">
        <f t="shared" ca="1" si="40"/>
        <v>0</v>
      </c>
      <c r="M235" s="43">
        <f t="shared" ca="1" si="41"/>
        <v>97.781126261923788</v>
      </c>
      <c r="N235" s="43">
        <f t="shared" ca="1" si="42"/>
        <v>1.0419298513089797E-3</v>
      </c>
      <c r="O235" s="43">
        <f t="shared" si="43"/>
        <v>97.679298245614021</v>
      </c>
      <c r="P235" s="43">
        <f t="shared" si="44"/>
        <v>1.0424728487886383E-3</v>
      </c>
      <c r="Q235" s="43">
        <f t="shared" si="45"/>
        <v>0.12369246754103497</v>
      </c>
      <c r="R235" s="144" t="e">
        <f t="shared" si="46"/>
        <v>#N/A</v>
      </c>
      <c r="S235" s="147" t="e">
        <f t="shared" si="47"/>
        <v>#N/A</v>
      </c>
    </row>
    <row r="236" spans="1:19">
      <c r="A236" s="144">
        <v>12.2</v>
      </c>
      <c r="B236" s="43">
        <v>8.6599999999999993E-3</v>
      </c>
      <c r="C236" s="43">
        <v>1.3919299999999999</v>
      </c>
      <c r="D236" s="43">
        <v>9.7014800000000001</v>
      </c>
      <c r="E236" s="147">
        <v>1.2</v>
      </c>
      <c r="F236" s="43"/>
      <c r="G236" s="39"/>
      <c r="H236" s="144">
        <f t="shared" si="36"/>
        <v>12.2</v>
      </c>
      <c r="I236" s="43">
        <f t="shared" si="37"/>
        <v>1.5637092731829574E-2</v>
      </c>
      <c r="J236" s="43">
        <f t="shared" si="38"/>
        <v>1.3919299999999999</v>
      </c>
      <c r="K236" s="43">
        <f t="shared" si="39"/>
        <v>3.812377415311391E-4</v>
      </c>
      <c r="L236" s="43">
        <f t="shared" ca="1" si="40"/>
        <v>0</v>
      </c>
      <c r="M236" s="43">
        <f t="shared" ca="1" si="41"/>
        <v>97.781126261923788</v>
      </c>
      <c r="N236" s="43">
        <f t="shared" ca="1" si="42"/>
        <v>1.0419298513089797E-3</v>
      </c>
      <c r="O236" s="43">
        <f t="shared" si="43"/>
        <v>97.679298245614021</v>
      </c>
      <c r="P236" s="43">
        <f t="shared" si="44"/>
        <v>1.0424728487886383E-3</v>
      </c>
      <c r="Q236" s="43">
        <f t="shared" si="45"/>
        <v>0.12369246754103497</v>
      </c>
      <c r="R236" s="144" t="e">
        <f t="shared" si="46"/>
        <v>#N/A</v>
      </c>
      <c r="S236" s="147" t="e">
        <f t="shared" si="47"/>
        <v>#N/A</v>
      </c>
    </row>
    <row r="237" spans="1:19">
      <c r="A237" s="144">
        <v>12.2</v>
      </c>
      <c r="B237" s="43">
        <v>8.6599999999999993E-3</v>
      </c>
      <c r="C237" s="43">
        <v>1.3919299999999999</v>
      </c>
      <c r="D237" s="43">
        <v>9.7014800000000001</v>
      </c>
      <c r="E237" s="147">
        <v>1.2</v>
      </c>
      <c r="F237" s="43"/>
      <c r="G237" s="39"/>
      <c r="H237" s="144">
        <f t="shared" si="36"/>
        <v>12.2</v>
      </c>
      <c r="I237" s="43">
        <f t="shared" si="37"/>
        <v>1.5637092731829574E-2</v>
      </c>
      <c r="J237" s="43">
        <f t="shared" si="38"/>
        <v>1.3919299999999999</v>
      </c>
      <c r="K237" s="43">
        <f t="shared" si="39"/>
        <v>3.812377415311391E-4</v>
      </c>
      <c r="L237" s="43">
        <f t="shared" ca="1" si="40"/>
        <v>0</v>
      </c>
      <c r="M237" s="43">
        <f t="shared" ca="1" si="41"/>
        <v>97.781126261923788</v>
      </c>
      <c r="N237" s="43">
        <f t="shared" ca="1" si="42"/>
        <v>1.0419298513089797E-3</v>
      </c>
      <c r="O237" s="43">
        <f t="shared" si="43"/>
        <v>97.679298245614021</v>
      </c>
      <c r="P237" s="43">
        <f t="shared" si="44"/>
        <v>1.0424728487886383E-3</v>
      </c>
      <c r="Q237" s="43">
        <f t="shared" si="45"/>
        <v>0.12369246754103497</v>
      </c>
      <c r="R237" s="144" t="e">
        <f t="shared" si="46"/>
        <v>#N/A</v>
      </c>
      <c r="S237" s="147" t="e">
        <f t="shared" si="47"/>
        <v>#N/A</v>
      </c>
    </row>
    <row r="238" spans="1:19">
      <c r="A238" s="144">
        <v>12.2</v>
      </c>
      <c r="B238" s="43">
        <v>8.6599999999999993E-3</v>
      </c>
      <c r="C238" s="43">
        <v>1.3919299999999999</v>
      </c>
      <c r="D238" s="43">
        <v>9.7014800000000001</v>
      </c>
      <c r="E238" s="147">
        <v>1.2</v>
      </c>
      <c r="F238" s="43"/>
      <c r="G238" s="39"/>
      <c r="H238" s="144">
        <f t="shared" si="36"/>
        <v>12.2</v>
      </c>
      <c r="I238" s="43">
        <f t="shared" si="37"/>
        <v>1.5637092731829574E-2</v>
      </c>
      <c r="J238" s="43">
        <f t="shared" si="38"/>
        <v>1.3919299999999999</v>
      </c>
      <c r="K238" s="43">
        <f t="shared" si="39"/>
        <v>3.812377415311391E-4</v>
      </c>
      <c r="L238" s="43">
        <f t="shared" ca="1" si="40"/>
        <v>0</v>
      </c>
      <c r="M238" s="43">
        <f t="shared" ca="1" si="41"/>
        <v>97.781126261923788</v>
      </c>
      <c r="N238" s="43">
        <f t="shared" ca="1" si="42"/>
        <v>1.0419298513089797E-3</v>
      </c>
      <c r="O238" s="43">
        <f t="shared" si="43"/>
        <v>97.679298245614021</v>
      </c>
      <c r="P238" s="43">
        <f t="shared" si="44"/>
        <v>1.0424728487886383E-3</v>
      </c>
      <c r="Q238" s="43">
        <f t="shared" si="45"/>
        <v>0.12369246754103497</v>
      </c>
      <c r="R238" s="144" t="e">
        <f t="shared" si="46"/>
        <v>#N/A</v>
      </c>
      <c r="S238" s="147" t="e">
        <f t="shared" si="47"/>
        <v>#N/A</v>
      </c>
    </row>
    <row r="239" spans="1:19">
      <c r="A239" s="144">
        <v>12.2</v>
      </c>
      <c r="B239" s="43">
        <v>8.6599999999999993E-3</v>
      </c>
      <c r="C239" s="43">
        <v>1.3919299999999999</v>
      </c>
      <c r="D239" s="43">
        <v>9.7014800000000001</v>
      </c>
      <c r="E239" s="147">
        <v>1.2</v>
      </c>
      <c r="F239" s="43"/>
      <c r="G239" s="39"/>
      <c r="H239" s="144">
        <f t="shared" si="36"/>
        <v>12.2</v>
      </c>
      <c r="I239" s="43">
        <f t="shared" si="37"/>
        <v>1.5637092731829574E-2</v>
      </c>
      <c r="J239" s="43">
        <f t="shared" si="38"/>
        <v>1.3919299999999999</v>
      </c>
      <c r="K239" s="43">
        <f t="shared" si="39"/>
        <v>3.812377415311391E-4</v>
      </c>
      <c r="L239" s="43">
        <f t="shared" ca="1" si="40"/>
        <v>0</v>
      </c>
      <c r="M239" s="43">
        <f t="shared" ca="1" si="41"/>
        <v>97.781126261923788</v>
      </c>
      <c r="N239" s="43">
        <f t="shared" ca="1" si="42"/>
        <v>1.0419298513089797E-3</v>
      </c>
      <c r="O239" s="43">
        <f t="shared" si="43"/>
        <v>97.679298245614021</v>
      </c>
      <c r="P239" s="43">
        <f t="shared" si="44"/>
        <v>1.0424728487886383E-3</v>
      </c>
      <c r="Q239" s="43">
        <f t="shared" si="45"/>
        <v>0.12369246754103497</v>
      </c>
      <c r="R239" s="144" t="e">
        <f t="shared" si="46"/>
        <v>#N/A</v>
      </c>
      <c r="S239" s="147" t="e">
        <f t="shared" si="47"/>
        <v>#N/A</v>
      </c>
    </row>
    <row r="240" spans="1:19">
      <c r="A240" s="144">
        <v>12.2</v>
      </c>
      <c r="B240" s="43">
        <v>8.6599999999999993E-3</v>
      </c>
      <c r="C240" s="43">
        <v>1.3919299999999999</v>
      </c>
      <c r="D240" s="43">
        <v>9.7014800000000001</v>
      </c>
      <c r="E240" s="147">
        <v>1.2</v>
      </c>
      <c r="F240" s="43"/>
      <c r="G240" s="39"/>
      <c r="H240" s="144">
        <f t="shared" si="36"/>
        <v>12.2</v>
      </c>
      <c r="I240" s="43">
        <f t="shared" si="37"/>
        <v>1.5637092731829574E-2</v>
      </c>
      <c r="J240" s="43">
        <f t="shared" si="38"/>
        <v>1.3919299999999999</v>
      </c>
      <c r="K240" s="43">
        <f t="shared" si="39"/>
        <v>3.812377415311391E-4</v>
      </c>
      <c r="L240" s="43">
        <f t="shared" ca="1" si="40"/>
        <v>0</v>
      </c>
      <c r="M240" s="43">
        <f t="shared" ca="1" si="41"/>
        <v>97.781126261923788</v>
      </c>
      <c r="N240" s="43">
        <f t="shared" ca="1" si="42"/>
        <v>1.0419298513089797E-3</v>
      </c>
      <c r="O240" s="43">
        <f t="shared" si="43"/>
        <v>97.679298245614021</v>
      </c>
      <c r="P240" s="43">
        <f t="shared" si="44"/>
        <v>1.0424728487886383E-3</v>
      </c>
      <c r="Q240" s="43">
        <f t="shared" si="45"/>
        <v>0.12369246754103497</v>
      </c>
      <c r="R240" s="144" t="e">
        <f t="shared" si="46"/>
        <v>#N/A</v>
      </c>
      <c r="S240" s="147" t="e">
        <f t="shared" si="47"/>
        <v>#N/A</v>
      </c>
    </row>
    <row r="241" spans="1:19">
      <c r="A241" s="144">
        <v>12.2</v>
      </c>
      <c r="B241" s="43">
        <v>8.6599999999999993E-3</v>
      </c>
      <c r="C241" s="43">
        <v>1.3919299999999999</v>
      </c>
      <c r="D241" s="43">
        <v>9.7014800000000001</v>
      </c>
      <c r="E241" s="147">
        <v>1.2</v>
      </c>
      <c r="F241" s="43"/>
      <c r="G241" s="39"/>
      <c r="H241" s="144">
        <f t="shared" si="36"/>
        <v>12.2</v>
      </c>
      <c r="I241" s="43">
        <f t="shared" si="37"/>
        <v>1.5637092731829574E-2</v>
      </c>
      <c r="J241" s="43">
        <f t="shared" si="38"/>
        <v>1.3919299999999999</v>
      </c>
      <c r="K241" s="43">
        <f t="shared" si="39"/>
        <v>3.812377415311391E-4</v>
      </c>
      <c r="L241" s="43">
        <f t="shared" ca="1" si="40"/>
        <v>0</v>
      </c>
      <c r="M241" s="43">
        <f t="shared" ca="1" si="41"/>
        <v>97.781126261923788</v>
      </c>
      <c r="N241" s="43">
        <f t="shared" ca="1" si="42"/>
        <v>1.0419298513089797E-3</v>
      </c>
      <c r="O241" s="43">
        <f t="shared" si="43"/>
        <v>97.679298245614021</v>
      </c>
      <c r="P241" s="43">
        <f t="shared" si="44"/>
        <v>1.0424728487886383E-3</v>
      </c>
      <c r="Q241" s="43">
        <f t="shared" si="45"/>
        <v>0.12369246754103497</v>
      </c>
      <c r="R241" s="144" t="e">
        <f t="shared" si="46"/>
        <v>#N/A</v>
      </c>
      <c r="S241" s="147" t="e">
        <f t="shared" si="47"/>
        <v>#N/A</v>
      </c>
    </row>
    <row r="242" spans="1:19">
      <c r="A242" s="144">
        <v>12.2</v>
      </c>
      <c r="B242" s="43">
        <v>8.6599999999999993E-3</v>
      </c>
      <c r="C242" s="43">
        <v>1.3919299999999999</v>
      </c>
      <c r="D242" s="43">
        <v>9.7014800000000001</v>
      </c>
      <c r="E242" s="147">
        <v>1.2</v>
      </c>
      <c r="F242" s="43"/>
      <c r="G242" s="39"/>
      <c r="H242" s="144">
        <f t="shared" si="36"/>
        <v>12.2</v>
      </c>
      <c r="I242" s="43">
        <f t="shared" si="37"/>
        <v>1.5637092731829574E-2</v>
      </c>
      <c r="J242" s="43">
        <f t="shared" si="38"/>
        <v>1.3919299999999999</v>
      </c>
      <c r="K242" s="43">
        <f t="shared" si="39"/>
        <v>3.812377415311391E-4</v>
      </c>
      <c r="L242" s="43">
        <f t="shared" ca="1" si="40"/>
        <v>0</v>
      </c>
      <c r="M242" s="43">
        <f t="shared" ca="1" si="41"/>
        <v>97.781126261923788</v>
      </c>
      <c r="N242" s="43">
        <f t="shared" ca="1" si="42"/>
        <v>1.0419298513089797E-3</v>
      </c>
      <c r="O242" s="43">
        <f t="shared" si="43"/>
        <v>97.679298245614021</v>
      </c>
      <c r="P242" s="43">
        <f t="shared" si="44"/>
        <v>1.0424728487886383E-3</v>
      </c>
      <c r="Q242" s="43">
        <f t="shared" si="45"/>
        <v>0.12369246754103497</v>
      </c>
      <c r="R242" s="144" t="e">
        <f t="shared" si="46"/>
        <v>#N/A</v>
      </c>
      <c r="S242" s="147" t="e">
        <f t="shared" si="47"/>
        <v>#N/A</v>
      </c>
    </row>
    <row r="243" spans="1:19">
      <c r="A243" s="144">
        <v>12.2</v>
      </c>
      <c r="B243" s="43">
        <v>8.6599999999999993E-3</v>
      </c>
      <c r="C243" s="43">
        <v>1.3919299999999999</v>
      </c>
      <c r="D243" s="43">
        <v>9.7014800000000001</v>
      </c>
      <c r="E243" s="147">
        <v>1.2</v>
      </c>
      <c r="F243" s="43"/>
      <c r="G243" s="39"/>
      <c r="H243" s="144">
        <f t="shared" si="36"/>
        <v>12.2</v>
      </c>
      <c r="I243" s="43">
        <f t="shared" si="37"/>
        <v>1.5637092731829574E-2</v>
      </c>
      <c r="J243" s="43">
        <f t="shared" si="38"/>
        <v>1.3919299999999999</v>
      </c>
      <c r="K243" s="43">
        <f t="shared" si="39"/>
        <v>3.812377415311391E-4</v>
      </c>
      <c r="L243" s="43">
        <f t="shared" ca="1" si="40"/>
        <v>0</v>
      </c>
      <c r="M243" s="43">
        <f t="shared" ca="1" si="41"/>
        <v>97.781126261923788</v>
      </c>
      <c r="N243" s="43">
        <f t="shared" ca="1" si="42"/>
        <v>1.0419298513089797E-3</v>
      </c>
      <c r="O243" s="43">
        <f t="shared" si="43"/>
        <v>97.679298245614021</v>
      </c>
      <c r="P243" s="43">
        <f t="shared" si="44"/>
        <v>1.0424728487886383E-3</v>
      </c>
      <c r="Q243" s="43">
        <f t="shared" si="45"/>
        <v>0.12369246754103497</v>
      </c>
      <c r="R243" s="144" t="e">
        <f t="shared" si="46"/>
        <v>#N/A</v>
      </c>
      <c r="S243" s="147" t="e">
        <f t="shared" si="47"/>
        <v>#N/A</v>
      </c>
    </row>
    <row r="244" spans="1:19">
      <c r="A244" s="144">
        <v>12.2</v>
      </c>
      <c r="B244" s="43">
        <v>8.6599999999999993E-3</v>
      </c>
      <c r="C244" s="43">
        <v>1.3919299999999999</v>
      </c>
      <c r="D244" s="43">
        <v>9.7014800000000001</v>
      </c>
      <c r="E244" s="147">
        <v>1.2</v>
      </c>
      <c r="F244" s="43"/>
      <c r="G244" s="39"/>
      <c r="H244" s="144">
        <f t="shared" si="36"/>
        <v>12.2</v>
      </c>
      <c r="I244" s="43">
        <f t="shared" si="37"/>
        <v>1.5637092731829574E-2</v>
      </c>
      <c r="J244" s="43">
        <f t="shared" si="38"/>
        <v>1.3919299999999999</v>
      </c>
      <c r="K244" s="43">
        <f t="shared" si="39"/>
        <v>3.812377415311391E-4</v>
      </c>
      <c r="L244" s="43">
        <f t="shared" ca="1" si="40"/>
        <v>0</v>
      </c>
      <c r="M244" s="43">
        <f t="shared" ca="1" si="41"/>
        <v>97.781126261923788</v>
      </c>
      <c r="N244" s="43">
        <f t="shared" ca="1" si="42"/>
        <v>1.0419298513089797E-3</v>
      </c>
      <c r="O244" s="43">
        <f t="shared" si="43"/>
        <v>97.679298245614021</v>
      </c>
      <c r="P244" s="43">
        <f t="shared" si="44"/>
        <v>1.0424728487886383E-3</v>
      </c>
      <c r="Q244" s="43">
        <f t="shared" si="45"/>
        <v>0.12369246754103497</v>
      </c>
      <c r="R244" s="144" t="e">
        <f t="shared" si="46"/>
        <v>#N/A</v>
      </c>
      <c r="S244" s="147" t="e">
        <f t="shared" si="47"/>
        <v>#N/A</v>
      </c>
    </row>
    <row r="245" spans="1:19">
      <c r="A245" s="144">
        <v>12.2</v>
      </c>
      <c r="B245" s="43">
        <v>8.6599999999999993E-3</v>
      </c>
      <c r="C245" s="43">
        <v>1.3919299999999999</v>
      </c>
      <c r="D245" s="43">
        <v>9.7014800000000001</v>
      </c>
      <c r="E245" s="147">
        <v>1.2</v>
      </c>
      <c r="F245" s="43"/>
      <c r="G245" s="39"/>
      <c r="H245" s="144">
        <f t="shared" si="36"/>
        <v>12.2</v>
      </c>
      <c r="I245" s="43">
        <f t="shared" si="37"/>
        <v>1.5637092731829574E-2</v>
      </c>
      <c r="J245" s="43">
        <f t="shared" si="38"/>
        <v>1.3919299999999999</v>
      </c>
      <c r="K245" s="43">
        <f t="shared" si="39"/>
        <v>3.812377415311391E-4</v>
      </c>
      <c r="L245" s="43">
        <f t="shared" ca="1" si="40"/>
        <v>0</v>
      </c>
      <c r="M245" s="43">
        <f t="shared" ca="1" si="41"/>
        <v>97.781126261923788</v>
      </c>
      <c r="N245" s="43">
        <f t="shared" ca="1" si="42"/>
        <v>1.0419298513089797E-3</v>
      </c>
      <c r="O245" s="43">
        <f t="shared" si="43"/>
        <v>97.679298245614021</v>
      </c>
      <c r="P245" s="43">
        <f t="shared" si="44"/>
        <v>1.0424728487886383E-3</v>
      </c>
      <c r="Q245" s="43">
        <f t="shared" si="45"/>
        <v>0.12369246754103497</v>
      </c>
      <c r="R245" s="144" t="e">
        <f t="shared" si="46"/>
        <v>#N/A</v>
      </c>
      <c r="S245" s="147" t="e">
        <f t="shared" si="47"/>
        <v>#N/A</v>
      </c>
    </row>
    <row r="246" spans="1:19">
      <c r="A246" s="144">
        <v>12.2</v>
      </c>
      <c r="B246" s="43">
        <v>8.6599999999999993E-3</v>
      </c>
      <c r="C246" s="43">
        <v>1.3919299999999999</v>
      </c>
      <c r="D246" s="43">
        <v>9.7014800000000001</v>
      </c>
      <c r="E246" s="147">
        <v>1.2</v>
      </c>
      <c r="F246" s="43"/>
      <c r="G246" s="39"/>
      <c r="H246" s="144">
        <f t="shared" si="36"/>
        <v>12.2</v>
      </c>
      <c r="I246" s="43">
        <f t="shared" si="37"/>
        <v>1.5637092731829574E-2</v>
      </c>
      <c r="J246" s="43">
        <f t="shared" si="38"/>
        <v>1.3919299999999999</v>
      </c>
      <c r="K246" s="43">
        <f t="shared" si="39"/>
        <v>3.812377415311391E-4</v>
      </c>
      <c r="L246" s="43">
        <f t="shared" ca="1" si="40"/>
        <v>0</v>
      </c>
      <c r="M246" s="43">
        <f t="shared" ca="1" si="41"/>
        <v>97.781126261923788</v>
      </c>
      <c r="N246" s="43">
        <f t="shared" ca="1" si="42"/>
        <v>1.0419298513089797E-3</v>
      </c>
      <c r="O246" s="43">
        <f t="shared" si="43"/>
        <v>97.679298245614021</v>
      </c>
      <c r="P246" s="43">
        <f t="shared" si="44"/>
        <v>1.0424728487886383E-3</v>
      </c>
      <c r="Q246" s="43">
        <f t="shared" si="45"/>
        <v>0.12369246754103497</v>
      </c>
      <c r="R246" s="144" t="e">
        <f t="shared" si="46"/>
        <v>#N/A</v>
      </c>
      <c r="S246" s="147" t="e">
        <f t="shared" si="47"/>
        <v>#N/A</v>
      </c>
    </row>
    <row r="247" spans="1:19">
      <c r="A247" s="144">
        <v>12.2</v>
      </c>
      <c r="B247" s="43">
        <v>8.6599999999999993E-3</v>
      </c>
      <c r="C247" s="43">
        <v>1.3919299999999999</v>
      </c>
      <c r="D247" s="43">
        <v>9.7014800000000001</v>
      </c>
      <c r="E247" s="147">
        <v>1.2</v>
      </c>
      <c r="F247" s="43"/>
      <c r="G247" s="39"/>
      <c r="H247" s="144">
        <f t="shared" si="36"/>
        <v>12.2</v>
      </c>
      <c r="I247" s="43">
        <f t="shared" si="37"/>
        <v>1.5637092731829574E-2</v>
      </c>
      <c r="J247" s="43">
        <f t="shared" si="38"/>
        <v>1.3919299999999999</v>
      </c>
      <c r="K247" s="43">
        <f t="shared" si="39"/>
        <v>3.812377415311391E-4</v>
      </c>
      <c r="L247" s="43">
        <f t="shared" ca="1" si="40"/>
        <v>0</v>
      </c>
      <c r="M247" s="43">
        <f t="shared" ca="1" si="41"/>
        <v>97.781126261923788</v>
      </c>
      <c r="N247" s="43">
        <f t="shared" ca="1" si="42"/>
        <v>1.0419298513089797E-3</v>
      </c>
      <c r="O247" s="43">
        <f t="shared" si="43"/>
        <v>97.679298245614021</v>
      </c>
      <c r="P247" s="43">
        <f t="shared" si="44"/>
        <v>1.0424728487886383E-3</v>
      </c>
      <c r="Q247" s="43">
        <f t="shared" si="45"/>
        <v>0.12369246754103497</v>
      </c>
      <c r="R247" s="144" t="e">
        <f t="shared" si="46"/>
        <v>#N/A</v>
      </c>
      <c r="S247" s="147" t="e">
        <f t="shared" si="47"/>
        <v>#N/A</v>
      </c>
    </row>
    <row r="248" spans="1:19">
      <c r="A248" s="144">
        <v>12.2</v>
      </c>
      <c r="B248" s="43">
        <v>8.6599999999999993E-3</v>
      </c>
      <c r="C248" s="43">
        <v>1.3919299999999999</v>
      </c>
      <c r="D248" s="43">
        <v>9.7014800000000001</v>
      </c>
      <c r="E248" s="147">
        <v>1.2</v>
      </c>
      <c r="F248" s="43"/>
      <c r="G248" s="39"/>
      <c r="H248" s="144">
        <f t="shared" si="36"/>
        <v>12.2</v>
      </c>
      <c r="I248" s="43">
        <f t="shared" si="37"/>
        <v>1.5637092731829574E-2</v>
      </c>
      <c r="J248" s="43">
        <f t="shared" si="38"/>
        <v>1.3919299999999999</v>
      </c>
      <c r="K248" s="43">
        <f t="shared" si="39"/>
        <v>3.812377415311391E-4</v>
      </c>
      <c r="L248" s="43">
        <f t="shared" ca="1" si="40"/>
        <v>0</v>
      </c>
      <c r="M248" s="43">
        <f t="shared" ca="1" si="41"/>
        <v>97.781126261923788</v>
      </c>
      <c r="N248" s="43">
        <f t="shared" ca="1" si="42"/>
        <v>1.0419298513089797E-3</v>
      </c>
      <c r="O248" s="43">
        <f t="shared" si="43"/>
        <v>97.679298245614021</v>
      </c>
      <c r="P248" s="43">
        <f t="shared" si="44"/>
        <v>1.0424728487886383E-3</v>
      </c>
      <c r="Q248" s="43">
        <f t="shared" si="45"/>
        <v>0.12369246754103497</v>
      </c>
      <c r="R248" s="144" t="e">
        <f t="shared" si="46"/>
        <v>#N/A</v>
      </c>
      <c r="S248" s="147" t="e">
        <f t="shared" si="47"/>
        <v>#N/A</v>
      </c>
    </row>
    <row r="249" spans="1:19">
      <c r="A249" s="144">
        <v>12.2</v>
      </c>
      <c r="B249" s="43">
        <v>8.6599999999999993E-3</v>
      </c>
      <c r="C249" s="43">
        <v>1.3919299999999999</v>
      </c>
      <c r="D249" s="43">
        <v>9.7014800000000001</v>
      </c>
      <c r="E249" s="147">
        <v>1.2</v>
      </c>
      <c r="F249" s="43"/>
      <c r="G249" s="39"/>
      <c r="H249" s="144">
        <f t="shared" si="36"/>
        <v>12.2</v>
      </c>
      <c r="I249" s="43">
        <f t="shared" si="37"/>
        <v>1.5637092731829574E-2</v>
      </c>
      <c r="J249" s="43">
        <f t="shared" si="38"/>
        <v>1.3919299999999999</v>
      </c>
      <c r="K249" s="43">
        <f t="shared" si="39"/>
        <v>3.812377415311391E-4</v>
      </c>
      <c r="L249" s="43">
        <f t="shared" ca="1" si="40"/>
        <v>0</v>
      </c>
      <c r="M249" s="43">
        <f t="shared" ca="1" si="41"/>
        <v>97.781126261923788</v>
      </c>
      <c r="N249" s="43">
        <f t="shared" ca="1" si="42"/>
        <v>1.0419298513089797E-3</v>
      </c>
      <c r="O249" s="43">
        <f t="shared" si="43"/>
        <v>97.679298245614021</v>
      </c>
      <c r="P249" s="43">
        <f t="shared" si="44"/>
        <v>1.0424728487886383E-3</v>
      </c>
      <c r="Q249" s="43">
        <f t="shared" si="45"/>
        <v>0.12369246754103497</v>
      </c>
      <c r="R249" s="144" t="e">
        <f t="shared" si="46"/>
        <v>#N/A</v>
      </c>
      <c r="S249" s="147" t="e">
        <f t="shared" si="47"/>
        <v>#N/A</v>
      </c>
    </row>
    <row r="250" spans="1:19">
      <c r="A250" s="144">
        <v>12.2</v>
      </c>
      <c r="B250" s="43">
        <v>8.6599999999999993E-3</v>
      </c>
      <c r="C250" s="43">
        <v>1.3919299999999999</v>
      </c>
      <c r="D250" s="43">
        <v>9.7014800000000001</v>
      </c>
      <c r="E250" s="147">
        <v>1.2</v>
      </c>
      <c r="F250" s="43"/>
      <c r="G250" s="39"/>
      <c r="H250" s="144">
        <f t="shared" si="36"/>
        <v>12.2</v>
      </c>
      <c r="I250" s="43">
        <f t="shared" si="37"/>
        <v>1.5637092731829574E-2</v>
      </c>
      <c r="J250" s="43">
        <f t="shared" si="38"/>
        <v>1.3919299999999999</v>
      </c>
      <c r="K250" s="43">
        <f t="shared" si="39"/>
        <v>3.812377415311391E-4</v>
      </c>
      <c r="L250" s="43">
        <f t="shared" ca="1" si="40"/>
        <v>0</v>
      </c>
      <c r="M250" s="43">
        <f t="shared" ca="1" si="41"/>
        <v>97.781126261923788</v>
      </c>
      <c r="N250" s="43">
        <f t="shared" ca="1" si="42"/>
        <v>1.0419298513089797E-3</v>
      </c>
      <c r="O250" s="43">
        <f t="shared" si="43"/>
        <v>97.679298245614021</v>
      </c>
      <c r="P250" s="43">
        <f t="shared" si="44"/>
        <v>1.0424728487886383E-3</v>
      </c>
      <c r="Q250" s="43">
        <f t="shared" si="45"/>
        <v>0.12369246754103497</v>
      </c>
      <c r="R250" s="144" t="e">
        <f t="shared" si="46"/>
        <v>#N/A</v>
      </c>
      <c r="S250" s="147" t="e">
        <f t="shared" si="47"/>
        <v>#N/A</v>
      </c>
    </row>
    <row r="251" spans="1:19">
      <c r="A251" s="144">
        <v>12.2</v>
      </c>
      <c r="B251" s="43">
        <v>8.6599999999999993E-3</v>
      </c>
      <c r="C251" s="43">
        <v>1.3919299999999999</v>
      </c>
      <c r="D251" s="43">
        <v>9.7014800000000001</v>
      </c>
      <c r="E251" s="147">
        <v>1.2</v>
      </c>
      <c r="F251" s="43"/>
      <c r="G251" s="39"/>
      <c r="H251" s="144">
        <f t="shared" si="36"/>
        <v>12.2</v>
      </c>
      <c r="I251" s="43">
        <f t="shared" si="37"/>
        <v>1.5637092731829574E-2</v>
      </c>
      <c r="J251" s="43">
        <f t="shared" si="38"/>
        <v>1.3919299999999999</v>
      </c>
      <c r="K251" s="43">
        <f t="shared" si="39"/>
        <v>3.812377415311391E-4</v>
      </c>
      <c r="L251" s="43">
        <f t="shared" ca="1" si="40"/>
        <v>0</v>
      </c>
      <c r="M251" s="43">
        <f t="shared" ca="1" si="41"/>
        <v>97.781126261923788</v>
      </c>
      <c r="N251" s="43">
        <f t="shared" ca="1" si="42"/>
        <v>1.0419298513089797E-3</v>
      </c>
      <c r="O251" s="43">
        <f t="shared" si="43"/>
        <v>97.679298245614021</v>
      </c>
      <c r="P251" s="43">
        <f t="shared" si="44"/>
        <v>1.0424728487886383E-3</v>
      </c>
      <c r="Q251" s="43">
        <f t="shared" si="45"/>
        <v>0.12369246754103497</v>
      </c>
      <c r="R251" s="144" t="e">
        <f t="shared" si="46"/>
        <v>#N/A</v>
      </c>
      <c r="S251" s="147" t="e">
        <f t="shared" si="47"/>
        <v>#N/A</v>
      </c>
    </row>
    <row r="252" spans="1:19">
      <c r="A252" s="144">
        <v>12.2</v>
      </c>
      <c r="B252" s="43">
        <v>8.6599999999999993E-3</v>
      </c>
      <c r="C252" s="43">
        <v>1.3919299999999999</v>
      </c>
      <c r="D252" s="43">
        <v>9.7014800000000001</v>
      </c>
      <c r="E252" s="147">
        <v>1.2</v>
      </c>
      <c r="F252" s="43"/>
      <c r="G252" s="39"/>
      <c r="H252" s="144">
        <f t="shared" si="36"/>
        <v>12.2</v>
      </c>
      <c r="I252" s="43">
        <f t="shared" si="37"/>
        <v>1.5637092731829574E-2</v>
      </c>
      <c r="J252" s="43">
        <f t="shared" si="38"/>
        <v>1.3919299999999999</v>
      </c>
      <c r="K252" s="43">
        <f t="shared" si="39"/>
        <v>3.812377415311391E-4</v>
      </c>
      <c r="L252" s="43">
        <f t="shared" ca="1" si="40"/>
        <v>0</v>
      </c>
      <c r="M252" s="43">
        <f t="shared" ca="1" si="41"/>
        <v>97.781126261923788</v>
      </c>
      <c r="N252" s="43">
        <f t="shared" ca="1" si="42"/>
        <v>1.0419298513089797E-3</v>
      </c>
      <c r="O252" s="43">
        <f t="shared" si="43"/>
        <v>97.679298245614021</v>
      </c>
      <c r="P252" s="43">
        <f t="shared" si="44"/>
        <v>1.0424728487886383E-3</v>
      </c>
      <c r="Q252" s="43">
        <f t="shared" si="45"/>
        <v>0.12369246754103497</v>
      </c>
      <c r="R252" s="144" t="e">
        <f t="shared" si="46"/>
        <v>#N/A</v>
      </c>
      <c r="S252" s="147" t="e">
        <f t="shared" si="47"/>
        <v>#N/A</v>
      </c>
    </row>
    <row r="253" spans="1:19">
      <c r="A253" s="144">
        <v>12.2</v>
      </c>
      <c r="B253" s="43">
        <v>8.6599999999999993E-3</v>
      </c>
      <c r="C253" s="43">
        <v>1.3919299999999999</v>
      </c>
      <c r="D253" s="43">
        <v>9.7014800000000001</v>
      </c>
      <c r="E253" s="147">
        <v>1.2</v>
      </c>
      <c r="F253" s="43"/>
      <c r="G253" s="39"/>
      <c r="H253" s="144">
        <f t="shared" si="36"/>
        <v>12.2</v>
      </c>
      <c r="I253" s="43">
        <f t="shared" si="37"/>
        <v>1.5637092731829574E-2</v>
      </c>
      <c r="J253" s="43">
        <f t="shared" si="38"/>
        <v>1.3919299999999999</v>
      </c>
      <c r="K253" s="43">
        <f t="shared" si="39"/>
        <v>3.812377415311391E-4</v>
      </c>
      <c r="L253" s="43">
        <f t="shared" ca="1" si="40"/>
        <v>0</v>
      </c>
      <c r="M253" s="43">
        <f t="shared" ca="1" si="41"/>
        <v>97.781126261923788</v>
      </c>
      <c r="N253" s="43">
        <f t="shared" ca="1" si="42"/>
        <v>1.0419298513089797E-3</v>
      </c>
      <c r="O253" s="43">
        <f t="shared" si="43"/>
        <v>97.679298245614021</v>
      </c>
      <c r="P253" s="43">
        <f t="shared" si="44"/>
        <v>1.0424728487886383E-3</v>
      </c>
      <c r="Q253" s="43">
        <f t="shared" si="45"/>
        <v>0.12369246754103497</v>
      </c>
      <c r="R253" s="144" t="e">
        <f t="shared" si="46"/>
        <v>#N/A</v>
      </c>
      <c r="S253" s="147" t="e">
        <f t="shared" si="47"/>
        <v>#N/A</v>
      </c>
    </row>
    <row r="254" spans="1:19">
      <c r="A254" s="144">
        <v>12.2</v>
      </c>
      <c r="B254" s="43">
        <v>8.6599999999999993E-3</v>
      </c>
      <c r="C254" s="43">
        <v>1.3919299999999999</v>
      </c>
      <c r="D254" s="43">
        <v>9.7014800000000001</v>
      </c>
      <c r="E254" s="147">
        <v>1.2</v>
      </c>
      <c r="F254" s="43"/>
      <c r="G254" s="39"/>
      <c r="H254" s="144">
        <f t="shared" si="36"/>
        <v>12.2</v>
      </c>
      <c r="I254" s="43">
        <f t="shared" si="37"/>
        <v>1.5637092731829574E-2</v>
      </c>
      <c r="J254" s="43">
        <f t="shared" si="38"/>
        <v>1.3919299999999999</v>
      </c>
      <c r="K254" s="43">
        <f t="shared" si="39"/>
        <v>3.812377415311391E-4</v>
      </c>
      <c r="L254" s="43">
        <f t="shared" ca="1" si="40"/>
        <v>0</v>
      </c>
      <c r="M254" s="43">
        <f t="shared" ca="1" si="41"/>
        <v>97.781126261923788</v>
      </c>
      <c r="N254" s="43">
        <f t="shared" ca="1" si="42"/>
        <v>1.0419298513089797E-3</v>
      </c>
      <c r="O254" s="43">
        <f t="shared" si="43"/>
        <v>97.679298245614021</v>
      </c>
      <c r="P254" s="43">
        <f t="shared" si="44"/>
        <v>1.0424728487886383E-3</v>
      </c>
      <c r="Q254" s="43">
        <f t="shared" si="45"/>
        <v>0.12369246754103497</v>
      </c>
      <c r="R254" s="144" t="e">
        <f t="shared" si="46"/>
        <v>#N/A</v>
      </c>
      <c r="S254" s="147" t="e">
        <f t="shared" si="47"/>
        <v>#N/A</v>
      </c>
    </row>
    <row r="255" spans="1:19">
      <c r="A255" s="144">
        <v>12.2</v>
      </c>
      <c r="B255" s="43">
        <v>8.6599999999999993E-3</v>
      </c>
      <c r="C255" s="43">
        <v>1.3919299999999999</v>
      </c>
      <c r="D255" s="43">
        <v>9.7014800000000001</v>
      </c>
      <c r="E255" s="147">
        <v>1.2</v>
      </c>
      <c r="F255" s="43"/>
      <c r="G255" s="39"/>
      <c r="H255" s="144">
        <f t="shared" si="36"/>
        <v>12.2</v>
      </c>
      <c r="I255" s="43">
        <f t="shared" si="37"/>
        <v>1.5637092731829574E-2</v>
      </c>
      <c r="J255" s="43">
        <f t="shared" si="38"/>
        <v>1.3919299999999999</v>
      </c>
      <c r="K255" s="43">
        <f t="shared" si="39"/>
        <v>3.812377415311391E-4</v>
      </c>
      <c r="L255" s="43">
        <f t="shared" ca="1" si="40"/>
        <v>0</v>
      </c>
      <c r="M255" s="43">
        <f t="shared" ca="1" si="41"/>
        <v>97.781126261923788</v>
      </c>
      <c r="N255" s="43">
        <f t="shared" ca="1" si="42"/>
        <v>1.0419298513089797E-3</v>
      </c>
      <c r="O255" s="43">
        <f t="shared" si="43"/>
        <v>97.679298245614021</v>
      </c>
      <c r="P255" s="43">
        <f t="shared" si="44"/>
        <v>1.0424728487886383E-3</v>
      </c>
      <c r="Q255" s="43">
        <f t="shared" si="45"/>
        <v>0.12369246754103497</v>
      </c>
      <c r="R255" s="144" t="e">
        <f t="shared" si="46"/>
        <v>#N/A</v>
      </c>
      <c r="S255" s="147" t="e">
        <f t="shared" si="47"/>
        <v>#N/A</v>
      </c>
    </row>
    <row r="256" spans="1:19">
      <c r="A256" s="144">
        <v>12.2</v>
      </c>
      <c r="B256" s="43">
        <v>8.6599999999999993E-3</v>
      </c>
      <c r="C256" s="43">
        <v>1.3919299999999999</v>
      </c>
      <c r="D256" s="43">
        <v>9.7014800000000001</v>
      </c>
      <c r="E256" s="147">
        <v>1.2</v>
      </c>
      <c r="F256" s="43"/>
      <c r="G256" s="39"/>
      <c r="H256" s="144">
        <f t="shared" si="36"/>
        <v>12.2</v>
      </c>
      <c r="I256" s="43">
        <f t="shared" si="37"/>
        <v>1.5637092731829574E-2</v>
      </c>
      <c r="J256" s="43">
        <f t="shared" si="38"/>
        <v>1.3919299999999999</v>
      </c>
      <c r="K256" s="43">
        <f t="shared" si="39"/>
        <v>3.812377415311391E-4</v>
      </c>
      <c r="L256" s="43">
        <f t="shared" ca="1" si="40"/>
        <v>0</v>
      </c>
      <c r="M256" s="43">
        <f t="shared" ca="1" si="41"/>
        <v>97.781126261923788</v>
      </c>
      <c r="N256" s="43">
        <f t="shared" ca="1" si="42"/>
        <v>1.0419298513089797E-3</v>
      </c>
      <c r="O256" s="43">
        <f t="shared" si="43"/>
        <v>97.679298245614021</v>
      </c>
      <c r="P256" s="43">
        <f t="shared" si="44"/>
        <v>1.0424728487886383E-3</v>
      </c>
      <c r="Q256" s="43">
        <f t="shared" si="45"/>
        <v>0.12369246754103497</v>
      </c>
      <c r="R256" s="144" t="e">
        <f t="shared" si="46"/>
        <v>#N/A</v>
      </c>
      <c r="S256" s="147" t="e">
        <f t="shared" si="47"/>
        <v>#N/A</v>
      </c>
    </row>
    <row r="257" spans="1:19">
      <c r="A257" s="144">
        <v>12.2</v>
      </c>
      <c r="B257" s="43">
        <v>8.6599999999999993E-3</v>
      </c>
      <c r="C257" s="43">
        <v>1.3919299999999999</v>
      </c>
      <c r="D257" s="43">
        <v>9.7014800000000001</v>
      </c>
      <c r="E257" s="147">
        <v>1.2</v>
      </c>
      <c r="F257" s="43"/>
      <c r="G257" s="39"/>
      <c r="H257" s="144">
        <f t="shared" si="36"/>
        <v>12.2</v>
      </c>
      <c r="I257" s="43">
        <f t="shared" si="37"/>
        <v>1.5637092731829574E-2</v>
      </c>
      <c r="J257" s="43">
        <f t="shared" si="38"/>
        <v>1.3919299999999999</v>
      </c>
      <c r="K257" s="43">
        <f t="shared" si="39"/>
        <v>3.812377415311391E-4</v>
      </c>
      <c r="L257" s="43">
        <f t="shared" ca="1" si="40"/>
        <v>0</v>
      </c>
      <c r="M257" s="43">
        <f t="shared" ca="1" si="41"/>
        <v>97.781126261923788</v>
      </c>
      <c r="N257" s="43">
        <f t="shared" ca="1" si="42"/>
        <v>1.0419298513089797E-3</v>
      </c>
      <c r="O257" s="43">
        <f t="shared" si="43"/>
        <v>97.679298245614021</v>
      </c>
      <c r="P257" s="43">
        <f t="shared" si="44"/>
        <v>1.0424728487886383E-3</v>
      </c>
      <c r="Q257" s="43">
        <f t="shared" si="45"/>
        <v>0.12369246754103497</v>
      </c>
      <c r="R257" s="144" t="e">
        <f t="shared" si="46"/>
        <v>#N/A</v>
      </c>
      <c r="S257" s="147" t="e">
        <f t="shared" si="47"/>
        <v>#N/A</v>
      </c>
    </row>
    <row r="258" spans="1:19">
      <c r="A258" s="144">
        <v>12.2</v>
      </c>
      <c r="B258" s="43">
        <v>8.6599999999999993E-3</v>
      </c>
      <c r="C258" s="43">
        <v>1.3919299999999999</v>
      </c>
      <c r="D258" s="43">
        <v>9.7014800000000001</v>
      </c>
      <c r="E258" s="147">
        <v>1.2</v>
      </c>
      <c r="F258" s="43"/>
      <c r="G258" s="39"/>
      <c r="H258" s="144">
        <f t="shared" si="36"/>
        <v>12.2</v>
      </c>
      <c r="I258" s="43">
        <f t="shared" si="37"/>
        <v>1.5637092731829574E-2</v>
      </c>
      <c r="J258" s="43">
        <f t="shared" si="38"/>
        <v>1.3919299999999999</v>
      </c>
      <c r="K258" s="43">
        <f t="shared" si="39"/>
        <v>3.812377415311391E-4</v>
      </c>
      <c r="L258" s="43">
        <f t="shared" ca="1" si="40"/>
        <v>0</v>
      </c>
      <c r="M258" s="43">
        <f t="shared" ca="1" si="41"/>
        <v>97.781126261923788</v>
      </c>
      <c r="N258" s="43">
        <f t="shared" ca="1" si="42"/>
        <v>1.0419298513089797E-3</v>
      </c>
      <c r="O258" s="43">
        <f t="shared" si="43"/>
        <v>97.679298245614021</v>
      </c>
      <c r="P258" s="43">
        <f t="shared" si="44"/>
        <v>1.0424728487886383E-3</v>
      </c>
      <c r="Q258" s="43">
        <f t="shared" si="45"/>
        <v>0.12369246754103497</v>
      </c>
      <c r="R258" s="144" t="e">
        <f t="shared" si="46"/>
        <v>#N/A</v>
      </c>
      <c r="S258" s="147" t="e">
        <f t="shared" si="47"/>
        <v>#N/A</v>
      </c>
    </row>
    <row r="259" spans="1:19">
      <c r="A259" s="144">
        <v>12.2</v>
      </c>
      <c r="B259" s="43">
        <v>8.6599999999999993E-3</v>
      </c>
      <c r="C259" s="43">
        <v>1.3919299999999999</v>
      </c>
      <c r="D259" s="43">
        <v>9.7014800000000001</v>
      </c>
      <c r="E259" s="147">
        <v>1.2</v>
      </c>
      <c r="F259" s="43"/>
      <c r="G259" s="39"/>
      <c r="H259" s="144">
        <f t="shared" si="36"/>
        <v>12.2</v>
      </c>
      <c r="I259" s="43">
        <f t="shared" si="37"/>
        <v>1.5637092731829574E-2</v>
      </c>
      <c r="J259" s="43">
        <f t="shared" si="38"/>
        <v>1.3919299999999999</v>
      </c>
      <c r="K259" s="43">
        <f t="shared" si="39"/>
        <v>3.812377415311391E-4</v>
      </c>
      <c r="L259" s="43">
        <f t="shared" ca="1" si="40"/>
        <v>0</v>
      </c>
      <c r="M259" s="43">
        <f t="shared" ca="1" si="41"/>
        <v>97.781126261923788</v>
      </c>
      <c r="N259" s="43">
        <f t="shared" ca="1" si="42"/>
        <v>1.0419298513089797E-3</v>
      </c>
      <c r="O259" s="43">
        <f t="shared" si="43"/>
        <v>97.679298245614021</v>
      </c>
      <c r="P259" s="43">
        <f t="shared" si="44"/>
        <v>1.0424728487886383E-3</v>
      </c>
      <c r="Q259" s="43">
        <f t="shared" si="45"/>
        <v>0.12369246754103497</v>
      </c>
      <c r="R259" s="144" t="e">
        <f t="shared" si="46"/>
        <v>#N/A</v>
      </c>
      <c r="S259" s="147" t="e">
        <f t="shared" si="47"/>
        <v>#N/A</v>
      </c>
    </row>
    <row r="260" spans="1:19">
      <c r="A260" s="144">
        <v>12.2</v>
      </c>
      <c r="B260" s="43">
        <v>8.6599999999999993E-3</v>
      </c>
      <c r="C260" s="43">
        <v>1.3919299999999999</v>
      </c>
      <c r="D260" s="43">
        <v>9.7014800000000001</v>
      </c>
      <c r="E260" s="147">
        <v>1.2</v>
      </c>
      <c r="F260" s="43"/>
      <c r="G260" s="39"/>
      <c r="H260" s="144">
        <f t="shared" si="36"/>
        <v>12.2</v>
      </c>
      <c r="I260" s="43">
        <f t="shared" si="37"/>
        <v>1.5637092731829574E-2</v>
      </c>
      <c r="J260" s="43">
        <f t="shared" si="38"/>
        <v>1.3919299999999999</v>
      </c>
      <c r="K260" s="43">
        <f t="shared" si="39"/>
        <v>3.812377415311391E-4</v>
      </c>
      <c r="L260" s="43">
        <f t="shared" ca="1" si="40"/>
        <v>0</v>
      </c>
      <c r="M260" s="43">
        <f t="shared" ca="1" si="41"/>
        <v>97.781126261923788</v>
      </c>
      <c r="N260" s="43">
        <f t="shared" ca="1" si="42"/>
        <v>1.0419298513089797E-3</v>
      </c>
      <c r="O260" s="43">
        <f t="shared" si="43"/>
        <v>97.679298245614021</v>
      </c>
      <c r="P260" s="43">
        <f t="shared" si="44"/>
        <v>1.0424728487886383E-3</v>
      </c>
      <c r="Q260" s="43">
        <f t="shared" si="45"/>
        <v>0.12369246754103497</v>
      </c>
      <c r="R260" s="144" t="e">
        <f t="shared" si="46"/>
        <v>#N/A</v>
      </c>
      <c r="S260" s="147" t="e">
        <f t="shared" si="47"/>
        <v>#N/A</v>
      </c>
    </row>
    <row r="261" spans="1:19">
      <c r="A261" s="144">
        <v>12.2</v>
      </c>
      <c r="B261" s="43">
        <v>8.6599999999999993E-3</v>
      </c>
      <c r="C261" s="43">
        <v>1.3919299999999999</v>
      </c>
      <c r="D261" s="43">
        <v>9.7014800000000001</v>
      </c>
      <c r="E261" s="147">
        <v>1.2</v>
      </c>
      <c r="F261" s="43"/>
      <c r="G261" s="39"/>
      <c r="H261" s="144">
        <f t="shared" si="36"/>
        <v>12.2</v>
      </c>
      <c r="I261" s="43">
        <f t="shared" si="37"/>
        <v>1.5637092731829574E-2</v>
      </c>
      <c r="J261" s="43">
        <f t="shared" si="38"/>
        <v>1.3919299999999999</v>
      </c>
      <c r="K261" s="43">
        <f t="shared" si="39"/>
        <v>3.812377415311391E-4</v>
      </c>
      <c r="L261" s="43">
        <f t="shared" ca="1" si="40"/>
        <v>0</v>
      </c>
      <c r="M261" s="43">
        <f t="shared" ca="1" si="41"/>
        <v>97.781126261923788</v>
      </c>
      <c r="N261" s="43">
        <f t="shared" ca="1" si="42"/>
        <v>1.0419298513089797E-3</v>
      </c>
      <c r="O261" s="43">
        <f t="shared" si="43"/>
        <v>97.679298245614021</v>
      </c>
      <c r="P261" s="43">
        <f t="shared" si="44"/>
        <v>1.0424728487886383E-3</v>
      </c>
      <c r="Q261" s="43">
        <f t="shared" si="45"/>
        <v>0.12369246754103497</v>
      </c>
      <c r="R261" s="144" t="e">
        <f t="shared" si="46"/>
        <v>#N/A</v>
      </c>
      <c r="S261" s="147" t="e">
        <f t="shared" si="47"/>
        <v>#N/A</v>
      </c>
    </row>
    <row r="262" spans="1:19">
      <c r="A262" s="144">
        <v>12.2</v>
      </c>
      <c r="B262" s="43">
        <v>8.6599999999999993E-3</v>
      </c>
      <c r="C262" s="43">
        <v>1.3919299999999999</v>
      </c>
      <c r="D262" s="43">
        <v>9.7014800000000001</v>
      </c>
      <c r="E262" s="147">
        <v>1.2</v>
      </c>
      <c r="F262" s="43"/>
      <c r="G262" s="39"/>
      <c r="H262" s="144">
        <f t="shared" si="36"/>
        <v>12.2</v>
      </c>
      <c r="I262" s="43">
        <f t="shared" si="37"/>
        <v>1.5637092731829574E-2</v>
      </c>
      <c r="J262" s="43">
        <f t="shared" si="38"/>
        <v>1.3919299999999999</v>
      </c>
      <c r="K262" s="43">
        <f t="shared" si="39"/>
        <v>3.812377415311391E-4</v>
      </c>
      <c r="L262" s="43">
        <f t="shared" ca="1" si="40"/>
        <v>0</v>
      </c>
      <c r="M262" s="43">
        <f t="shared" ca="1" si="41"/>
        <v>97.781126261923788</v>
      </c>
      <c r="N262" s="43">
        <f t="shared" ca="1" si="42"/>
        <v>1.0419298513089797E-3</v>
      </c>
      <c r="O262" s="43">
        <f t="shared" si="43"/>
        <v>97.679298245614021</v>
      </c>
      <c r="P262" s="43">
        <f t="shared" si="44"/>
        <v>1.0424728487886383E-3</v>
      </c>
      <c r="Q262" s="43">
        <f t="shared" si="45"/>
        <v>0.12369246754103497</v>
      </c>
      <c r="R262" s="144" t="e">
        <f t="shared" si="46"/>
        <v>#N/A</v>
      </c>
      <c r="S262" s="147" t="e">
        <f t="shared" si="47"/>
        <v>#N/A</v>
      </c>
    </row>
    <row r="263" spans="1:19">
      <c r="A263" s="144">
        <v>12.2</v>
      </c>
      <c r="B263" s="43">
        <v>8.6599999999999993E-3</v>
      </c>
      <c r="C263" s="43">
        <v>1.3919299999999999</v>
      </c>
      <c r="D263" s="43">
        <v>9.7014800000000001</v>
      </c>
      <c r="E263" s="147">
        <v>1.2</v>
      </c>
      <c r="F263" s="43"/>
      <c r="G263" s="39"/>
      <c r="H263" s="144">
        <f t="shared" si="36"/>
        <v>12.2</v>
      </c>
      <c r="I263" s="43">
        <f t="shared" si="37"/>
        <v>1.5637092731829574E-2</v>
      </c>
      <c r="J263" s="43">
        <f t="shared" si="38"/>
        <v>1.3919299999999999</v>
      </c>
      <c r="K263" s="43">
        <f t="shared" si="39"/>
        <v>3.812377415311391E-4</v>
      </c>
      <c r="L263" s="43">
        <f t="shared" ca="1" si="40"/>
        <v>0</v>
      </c>
      <c r="M263" s="43">
        <f t="shared" ca="1" si="41"/>
        <v>97.781126261923788</v>
      </c>
      <c r="N263" s="43">
        <f t="shared" ca="1" si="42"/>
        <v>1.0419298513089797E-3</v>
      </c>
      <c r="O263" s="43">
        <f t="shared" si="43"/>
        <v>97.679298245614021</v>
      </c>
      <c r="P263" s="43">
        <f t="shared" si="44"/>
        <v>1.0424728487886383E-3</v>
      </c>
      <c r="Q263" s="43">
        <f t="shared" si="45"/>
        <v>0.12369246754103497</v>
      </c>
      <c r="R263" s="144" t="e">
        <f t="shared" si="46"/>
        <v>#N/A</v>
      </c>
      <c r="S263" s="147" t="e">
        <f t="shared" si="47"/>
        <v>#N/A</v>
      </c>
    </row>
    <row r="264" spans="1:19">
      <c r="A264" s="144">
        <v>12.2</v>
      </c>
      <c r="B264" s="43">
        <v>8.6599999999999993E-3</v>
      </c>
      <c r="C264" s="43">
        <v>1.3919299999999999</v>
      </c>
      <c r="D264" s="43">
        <v>9.7014800000000001</v>
      </c>
      <c r="E264" s="147">
        <v>1.2</v>
      </c>
      <c r="F264" s="43"/>
      <c r="G264" s="39"/>
      <c r="H264" s="144">
        <f t="shared" si="36"/>
        <v>12.2</v>
      </c>
      <c r="I264" s="43">
        <f t="shared" si="37"/>
        <v>1.5637092731829574E-2</v>
      </c>
      <c r="J264" s="43">
        <f t="shared" si="38"/>
        <v>1.3919299999999999</v>
      </c>
      <c r="K264" s="43">
        <f t="shared" si="39"/>
        <v>3.812377415311391E-4</v>
      </c>
      <c r="L264" s="43">
        <f t="shared" ca="1" si="40"/>
        <v>0</v>
      </c>
      <c r="M264" s="43">
        <f t="shared" ca="1" si="41"/>
        <v>97.781126261923788</v>
      </c>
      <c r="N264" s="43">
        <f t="shared" ca="1" si="42"/>
        <v>1.0419298513089797E-3</v>
      </c>
      <c r="O264" s="43">
        <f t="shared" si="43"/>
        <v>97.679298245614021</v>
      </c>
      <c r="P264" s="43">
        <f t="shared" si="44"/>
        <v>1.0424728487886383E-3</v>
      </c>
      <c r="Q264" s="43">
        <f t="shared" si="45"/>
        <v>0.12369246754103497</v>
      </c>
      <c r="R264" s="144" t="e">
        <f t="shared" si="46"/>
        <v>#N/A</v>
      </c>
      <c r="S264" s="147" t="e">
        <f t="shared" si="47"/>
        <v>#N/A</v>
      </c>
    </row>
    <row r="265" spans="1:19">
      <c r="A265" s="144">
        <v>12.2</v>
      </c>
      <c r="B265" s="43">
        <v>8.6599999999999993E-3</v>
      </c>
      <c r="C265" s="43">
        <v>1.3919299999999999</v>
      </c>
      <c r="D265" s="43">
        <v>9.7014800000000001</v>
      </c>
      <c r="E265" s="147">
        <v>1.2</v>
      </c>
      <c r="F265" s="43"/>
      <c r="G265" s="39"/>
      <c r="H265" s="144">
        <f t="shared" si="36"/>
        <v>12.2</v>
      </c>
      <c r="I265" s="43">
        <f t="shared" si="37"/>
        <v>1.5637092731829574E-2</v>
      </c>
      <c r="J265" s="43">
        <f t="shared" si="38"/>
        <v>1.3919299999999999</v>
      </c>
      <c r="K265" s="43">
        <f t="shared" si="39"/>
        <v>3.812377415311391E-4</v>
      </c>
      <c r="L265" s="43">
        <f t="shared" ca="1" si="40"/>
        <v>0</v>
      </c>
      <c r="M265" s="43">
        <f t="shared" ca="1" si="41"/>
        <v>97.781126261923788</v>
      </c>
      <c r="N265" s="43">
        <f t="shared" ca="1" si="42"/>
        <v>1.0419298513089797E-3</v>
      </c>
      <c r="O265" s="43">
        <f t="shared" si="43"/>
        <v>97.679298245614021</v>
      </c>
      <c r="P265" s="43">
        <f t="shared" si="44"/>
        <v>1.0424728487886383E-3</v>
      </c>
      <c r="Q265" s="43">
        <f t="shared" si="45"/>
        <v>0.12369246754103497</v>
      </c>
      <c r="R265" s="144" t="e">
        <f t="shared" si="46"/>
        <v>#N/A</v>
      </c>
      <c r="S265" s="147" t="e">
        <f t="shared" si="47"/>
        <v>#N/A</v>
      </c>
    </row>
    <row r="266" spans="1:19">
      <c r="A266" s="144">
        <v>12.2</v>
      </c>
      <c r="B266" s="43">
        <v>8.6599999999999993E-3</v>
      </c>
      <c r="C266" s="43">
        <v>1.3919299999999999</v>
      </c>
      <c r="D266" s="43">
        <v>9.7014800000000001</v>
      </c>
      <c r="E266" s="147">
        <v>1.2</v>
      </c>
      <c r="F266" s="43"/>
      <c r="G266" s="39"/>
      <c r="H266" s="144">
        <f t="shared" si="36"/>
        <v>12.2</v>
      </c>
      <c r="I266" s="43">
        <f t="shared" si="37"/>
        <v>1.5637092731829574E-2</v>
      </c>
      <c r="J266" s="43">
        <f t="shared" si="38"/>
        <v>1.3919299999999999</v>
      </c>
      <c r="K266" s="43">
        <f t="shared" si="39"/>
        <v>3.812377415311391E-4</v>
      </c>
      <c r="L266" s="43">
        <f t="shared" ca="1" si="40"/>
        <v>0</v>
      </c>
      <c r="M266" s="43">
        <f t="shared" ca="1" si="41"/>
        <v>97.781126261923788</v>
      </c>
      <c r="N266" s="43">
        <f t="shared" ca="1" si="42"/>
        <v>1.0419298513089797E-3</v>
      </c>
      <c r="O266" s="43">
        <f t="shared" si="43"/>
        <v>97.679298245614021</v>
      </c>
      <c r="P266" s="43">
        <f t="shared" si="44"/>
        <v>1.0424728487886383E-3</v>
      </c>
      <c r="Q266" s="43">
        <f t="shared" si="45"/>
        <v>0.12369246754103497</v>
      </c>
      <c r="R266" s="144" t="e">
        <f t="shared" si="46"/>
        <v>#N/A</v>
      </c>
      <c r="S266" s="147" t="e">
        <f t="shared" si="47"/>
        <v>#N/A</v>
      </c>
    </row>
    <row r="267" spans="1:19">
      <c r="A267" s="144">
        <v>12.2</v>
      </c>
      <c r="B267" s="43">
        <v>8.6599999999999993E-3</v>
      </c>
      <c r="C267" s="43">
        <v>1.3919299999999999</v>
      </c>
      <c r="D267" s="43">
        <v>9.7014800000000001</v>
      </c>
      <c r="E267" s="147">
        <v>1.2</v>
      </c>
      <c r="F267" s="43"/>
      <c r="G267" s="39"/>
      <c r="H267" s="144">
        <f t="shared" si="36"/>
        <v>12.2</v>
      </c>
      <c r="I267" s="43">
        <f t="shared" si="37"/>
        <v>1.5637092731829574E-2</v>
      </c>
      <c r="J267" s="43">
        <f t="shared" si="38"/>
        <v>1.3919299999999999</v>
      </c>
      <c r="K267" s="43">
        <f t="shared" si="39"/>
        <v>3.812377415311391E-4</v>
      </c>
      <c r="L267" s="43">
        <f t="shared" ca="1" si="40"/>
        <v>0</v>
      </c>
      <c r="M267" s="43">
        <f t="shared" ca="1" si="41"/>
        <v>97.781126261923788</v>
      </c>
      <c r="N267" s="43">
        <f t="shared" ca="1" si="42"/>
        <v>1.0419298513089797E-3</v>
      </c>
      <c r="O267" s="43">
        <f t="shared" si="43"/>
        <v>97.679298245614021</v>
      </c>
      <c r="P267" s="43">
        <f t="shared" si="44"/>
        <v>1.0424728487886383E-3</v>
      </c>
      <c r="Q267" s="43">
        <f t="shared" si="45"/>
        <v>0.12369246754103497</v>
      </c>
      <c r="R267" s="144" t="e">
        <f t="shared" si="46"/>
        <v>#N/A</v>
      </c>
      <c r="S267" s="147" t="e">
        <f t="shared" si="47"/>
        <v>#N/A</v>
      </c>
    </row>
    <row r="268" spans="1:19">
      <c r="A268" s="144">
        <v>12.2</v>
      </c>
      <c r="B268" s="43">
        <v>8.6599999999999993E-3</v>
      </c>
      <c r="C268" s="43">
        <v>1.3919299999999999</v>
      </c>
      <c r="D268" s="43">
        <v>9.7014800000000001</v>
      </c>
      <c r="E268" s="147">
        <v>1.2</v>
      </c>
      <c r="F268" s="43"/>
      <c r="G268" s="39"/>
      <c r="H268" s="144">
        <f t="shared" si="36"/>
        <v>12.2</v>
      </c>
      <c r="I268" s="43">
        <f t="shared" si="37"/>
        <v>1.5637092731829574E-2</v>
      </c>
      <c r="J268" s="43">
        <f t="shared" si="38"/>
        <v>1.3919299999999999</v>
      </c>
      <c r="K268" s="43">
        <f t="shared" si="39"/>
        <v>3.812377415311391E-4</v>
      </c>
      <c r="L268" s="43">
        <f t="shared" ca="1" si="40"/>
        <v>0</v>
      </c>
      <c r="M268" s="43">
        <f t="shared" ca="1" si="41"/>
        <v>97.781126261923788</v>
      </c>
      <c r="N268" s="43">
        <f t="shared" ca="1" si="42"/>
        <v>1.0419298513089797E-3</v>
      </c>
      <c r="O268" s="43">
        <f t="shared" si="43"/>
        <v>97.679298245614021</v>
      </c>
      <c r="P268" s="43">
        <f t="shared" si="44"/>
        <v>1.0424728487886383E-3</v>
      </c>
      <c r="Q268" s="43">
        <f t="shared" si="45"/>
        <v>0.12369246754103497</v>
      </c>
      <c r="R268" s="144" t="e">
        <f t="shared" si="46"/>
        <v>#N/A</v>
      </c>
      <c r="S268" s="147" t="e">
        <f t="shared" si="47"/>
        <v>#N/A</v>
      </c>
    </row>
    <row r="269" spans="1:19">
      <c r="A269" s="144">
        <v>12.2</v>
      </c>
      <c r="B269" s="43">
        <v>8.6599999999999993E-3</v>
      </c>
      <c r="C269" s="43">
        <v>1.3919299999999999</v>
      </c>
      <c r="D269" s="43">
        <v>9.7014800000000001</v>
      </c>
      <c r="E269" s="147">
        <v>1.2</v>
      </c>
      <c r="F269" s="43"/>
      <c r="G269" s="39"/>
      <c r="H269" s="144">
        <f t="shared" si="36"/>
        <v>12.2</v>
      </c>
      <c r="I269" s="43">
        <f t="shared" si="37"/>
        <v>1.5637092731829574E-2</v>
      </c>
      <c r="J269" s="43">
        <f t="shared" si="38"/>
        <v>1.3919299999999999</v>
      </c>
      <c r="K269" s="43">
        <f t="shared" si="39"/>
        <v>3.812377415311391E-4</v>
      </c>
      <c r="L269" s="43">
        <f t="shared" ca="1" si="40"/>
        <v>0</v>
      </c>
      <c r="M269" s="43">
        <f t="shared" ca="1" si="41"/>
        <v>97.781126261923788</v>
      </c>
      <c r="N269" s="43">
        <f t="shared" ca="1" si="42"/>
        <v>1.0419298513089797E-3</v>
      </c>
      <c r="O269" s="43">
        <f t="shared" si="43"/>
        <v>97.679298245614021</v>
      </c>
      <c r="P269" s="43">
        <f t="shared" si="44"/>
        <v>1.0424728487886383E-3</v>
      </c>
      <c r="Q269" s="43">
        <f t="shared" si="45"/>
        <v>0.12369246754103497</v>
      </c>
      <c r="R269" s="144" t="e">
        <f t="shared" si="46"/>
        <v>#N/A</v>
      </c>
      <c r="S269" s="147" t="e">
        <f t="shared" si="47"/>
        <v>#N/A</v>
      </c>
    </row>
    <row r="270" spans="1:19">
      <c r="A270" s="144">
        <v>12.2</v>
      </c>
      <c r="B270" s="43">
        <v>8.6599999999999993E-3</v>
      </c>
      <c r="C270" s="43">
        <v>1.3919299999999999</v>
      </c>
      <c r="D270" s="43">
        <v>9.7014800000000001</v>
      </c>
      <c r="E270" s="147">
        <v>1.2</v>
      </c>
      <c r="F270" s="43"/>
      <c r="G270" s="39"/>
      <c r="H270" s="144">
        <f t="shared" si="36"/>
        <v>12.2</v>
      </c>
      <c r="I270" s="43">
        <f t="shared" si="37"/>
        <v>1.5637092731829574E-2</v>
      </c>
      <c r="J270" s="43">
        <f t="shared" si="38"/>
        <v>1.3919299999999999</v>
      </c>
      <c r="K270" s="43">
        <f t="shared" si="39"/>
        <v>3.812377415311391E-4</v>
      </c>
      <c r="L270" s="43">
        <f t="shared" ca="1" si="40"/>
        <v>0</v>
      </c>
      <c r="M270" s="43">
        <f t="shared" ca="1" si="41"/>
        <v>97.781126261923788</v>
      </c>
      <c r="N270" s="43">
        <f t="shared" ca="1" si="42"/>
        <v>1.0419298513089797E-3</v>
      </c>
      <c r="O270" s="43">
        <f t="shared" si="43"/>
        <v>97.679298245614021</v>
      </c>
      <c r="P270" s="43">
        <f t="shared" si="44"/>
        <v>1.0424728487886383E-3</v>
      </c>
      <c r="Q270" s="43">
        <f t="shared" si="45"/>
        <v>0.12369246754103497</v>
      </c>
      <c r="R270" s="144" t="e">
        <f t="shared" si="46"/>
        <v>#N/A</v>
      </c>
      <c r="S270" s="147" t="e">
        <f t="shared" si="47"/>
        <v>#N/A</v>
      </c>
    </row>
    <row r="271" spans="1:19">
      <c r="A271" s="144">
        <v>12.2</v>
      </c>
      <c r="B271" s="43">
        <v>8.6599999999999993E-3</v>
      </c>
      <c r="C271" s="43">
        <v>1.3919299999999999</v>
      </c>
      <c r="D271" s="43">
        <v>9.7014800000000001</v>
      </c>
      <c r="E271" s="147">
        <v>1.2</v>
      </c>
      <c r="F271" s="43"/>
      <c r="G271" s="39"/>
      <c r="H271" s="144">
        <f t="shared" si="36"/>
        <v>12.2</v>
      </c>
      <c r="I271" s="43">
        <f t="shared" si="37"/>
        <v>1.5637092731829574E-2</v>
      </c>
      <c r="J271" s="43">
        <f t="shared" si="38"/>
        <v>1.3919299999999999</v>
      </c>
      <c r="K271" s="43">
        <f t="shared" si="39"/>
        <v>3.812377415311391E-4</v>
      </c>
      <c r="L271" s="43">
        <f t="shared" ca="1" si="40"/>
        <v>0</v>
      </c>
      <c r="M271" s="43">
        <f t="shared" ca="1" si="41"/>
        <v>97.781126261923788</v>
      </c>
      <c r="N271" s="43">
        <f t="shared" ca="1" si="42"/>
        <v>1.0419298513089797E-3</v>
      </c>
      <c r="O271" s="43">
        <f t="shared" si="43"/>
        <v>97.679298245614021</v>
      </c>
      <c r="P271" s="43">
        <f t="shared" si="44"/>
        <v>1.0424728487886383E-3</v>
      </c>
      <c r="Q271" s="43">
        <f t="shared" si="45"/>
        <v>0.12369246754103497</v>
      </c>
      <c r="R271" s="144" t="e">
        <f t="shared" si="46"/>
        <v>#N/A</v>
      </c>
      <c r="S271" s="147" t="e">
        <f t="shared" si="47"/>
        <v>#N/A</v>
      </c>
    </row>
    <row r="272" spans="1:19">
      <c r="A272" s="144">
        <v>12.2</v>
      </c>
      <c r="B272" s="43">
        <v>8.6599999999999993E-3</v>
      </c>
      <c r="C272" s="43">
        <v>1.3919299999999999</v>
      </c>
      <c r="D272" s="43">
        <v>9.7014800000000001</v>
      </c>
      <c r="E272" s="147">
        <v>1.2</v>
      </c>
      <c r="F272" s="43"/>
      <c r="G272" s="39"/>
      <c r="H272" s="144">
        <f t="shared" ref="H272:H335" si="48">A272</f>
        <v>12.2</v>
      </c>
      <c r="I272" s="43">
        <f t="shared" ref="I272:I335" si="49">B272+$G$7</f>
        <v>1.5637092731829574E-2</v>
      </c>
      <c r="J272" s="43">
        <f t="shared" ref="J272:J335" si="50">C272</f>
        <v>1.3919299999999999</v>
      </c>
      <c r="K272" s="43">
        <f t="shared" ref="K272:K335" si="51">(P272-(O272/$I$9))</f>
        <v>3.812377415311391E-4</v>
      </c>
      <c r="L272" s="43">
        <f t="shared" ref="L272:L335" ca="1" si="52">IF(I272&lt;$I$5,(LN(D272/$D$15))/LN(($I$10*$D$15)/((B272+$I$10)*D272)),#N/A)</f>
        <v>0</v>
      </c>
      <c r="M272" s="43">
        <f t="shared" ref="M272:M335" ca="1" si="53">IF(I272&lt;$I$5,O272*(1+P272),#N/A)</f>
        <v>97.781126261923788</v>
      </c>
      <c r="N272" s="43">
        <f t="shared" ref="N272:N335" ca="1" si="54">IF(I272&lt;$I$5,LN(1+P272),#N/A)</f>
        <v>1.0419298513089797E-3</v>
      </c>
      <c r="O272" s="43">
        <f t="shared" ref="O272:O335" si="55">(C272*1000)/$I$7</f>
        <v>97.679298245614021</v>
      </c>
      <c r="P272" s="43">
        <f t="shared" ref="P272:P335" si="56">I272/$I$10</f>
        <v>1.0424728487886383E-3</v>
      </c>
      <c r="Q272" s="43">
        <f t="shared" ref="Q272:Q335" si="57">E272/$D$15</f>
        <v>0.12369246754103497</v>
      </c>
      <c r="R272" s="144" t="e">
        <f t="shared" ref="R272:R335" si="58">IF(AND(($N$8/100)&lt;K272,($N$9/100)&gt;K272),LN(1-Q272),#N/A)</f>
        <v>#N/A</v>
      </c>
      <c r="S272" s="147" t="e">
        <f t="shared" ref="S272:S335" si="59">IF(AND(($N$8/100)&lt;K272,($N$9/100)&gt;K272),LN(1+P272),#N/A)</f>
        <v>#N/A</v>
      </c>
    </row>
    <row r="273" spans="1:19">
      <c r="A273" s="144">
        <v>12.2</v>
      </c>
      <c r="B273" s="43">
        <v>8.6599999999999993E-3</v>
      </c>
      <c r="C273" s="43">
        <v>1.3919299999999999</v>
      </c>
      <c r="D273" s="43">
        <v>9.7014800000000001</v>
      </c>
      <c r="E273" s="147">
        <v>1.2</v>
      </c>
      <c r="F273" s="43"/>
      <c r="G273" s="39"/>
      <c r="H273" s="144">
        <f t="shared" si="48"/>
        <v>12.2</v>
      </c>
      <c r="I273" s="43">
        <f t="shared" si="49"/>
        <v>1.5637092731829574E-2</v>
      </c>
      <c r="J273" s="43">
        <f t="shared" si="50"/>
        <v>1.3919299999999999</v>
      </c>
      <c r="K273" s="43">
        <f t="shared" si="51"/>
        <v>3.812377415311391E-4</v>
      </c>
      <c r="L273" s="43">
        <f t="shared" ca="1" si="52"/>
        <v>0</v>
      </c>
      <c r="M273" s="43">
        <f t="shared" ca="1" si="53"/>
        <v>97.781126261923788</v>
      </c>
      <c r="N273" s="43">
        <f t="shared" ca="1" si="54"/>
        <v>1.0419298513089797E-3</v>
      </c>
      <c r="O273" s="43">
        <f t="shared" si="55"/>
        <v>97.679298245614021</v>
      </c>
      <c r="P273" s="43">
        <f t="shared" si="56"/>
        <v>1.0424728487886383E-3</v>
      </c>
      <c r="Q273" s="43">
        <f t="shared" si="57"/>
        <v>0.12369246754103497</v>
      </c>
      <c r="R273" s="144" t="e">
        <f t="shared" si="58"/>
        <v>#N/A</v>
      </c>
      <c r="S273" s="147" t="e">
        <f t="shared" si="59"/>
        <v>#N/A</v>
      </c>
    </row>
    <row r="274" spans="1:19">
      <c r="A274" s="144">
        <v>12.2</v>
      </c>
      <c r="B274" s="43">
        <v>8.6599999999999993E-3</v>
      </c>
      <c r="C274" s="43">
        <v>1.3919299999999999</v>
      </c>
      <c r="D274" s="43">
        <v>9.7014800000000001</v>
      </c>
      <c r="E274" s="147">
        <v>1.2</v>
      </c>
      <c r="F274" s="43"/>
      <c r="G274" s="39"/>
      <c r="H274" s="144">
        <f t="shared" si="48"/>
        <v>12.2</v>
      </c>
      <c r="I274" s="43">
        <f t="shared" si="49"/>
        <v>1.5637092731829574E-2</v>
      </c>
      <c r="J274" s="43">
        <f t="shared" si="50"/>
        <v>1.3919299999999999</v>
      </c>
      <c r="K274" s="43">
        <f t="shared" si="51"/>
        <v>3.812377415311391E-4</v>
      </c>
      <c r="L274" s="43">
        <f t="shared" ca="1" si="52"/>
        <v>0</v>
      </c>
      <c r="M274" s="43">
        <f t="shared" ca="1" si="53"/>
        <v>97.781126261923788</v>
      </c>
      <c r="N274" s="43">
        <f t="shared" ca="1" si="54"/>
        <v>1.0419298513089797E-3</v>
      </c>
      <c r="O274" s="43">
        <f t="shared" si="55"/>
        <v>97.679298245614021</v>
      </c>
      <c r="P274" s="43">
        <f t="shared" si="56"/>
        <v>1.0424728487886383E-3</v>
      </c>
      <c r="Q274" s="43">
        <f t="shared" si="57"/>
        <v>0.12369246754103497</v>
      </c>
      <c r="R274" s="144" t="e">
        <f t="shared" si="58"/>
        <v>#N/A</v>
      </c>
      <c r="S274" s="147" t="e">
        <f t="shared" si="59"/>
        <v>#N/A</v>
      </c>
    </row>
    <row r="275" spans="1:19">
      <c r="A275" s="144">
        <v>12.2</v>
      </c>
      <c r="B275" s="43">
        <v>8.6599999999999993E-3</v>
      </c>
      <c r="C275" s="43">
        <v>1.3919299999999999</v>
      </c>
      <c r="D275" s="43">
        <v>9.7014800000000001</v>
      </c>
      <c r="E275" s="147">
        <v>1.2</v>
      </c>
      <c r="F275" s="43"/>
      <c r="G275" s="39"/>
      <c r="H275" s="144">
        <f t="shared" si="48"/>
        <v>12.2</v>
      </c>
      <c r="I275" s="43">
        <f t="shared" si="49"/>
        <v>1.5637092731829574E-2</v>
      </c>
      <c r="J275" s="43">
        <f t="shared" si="50"/>
        <v>1.3919299999999999</v>
      </c>
      <c r="K275" s="43">
        <f t="shared" si="51"/>
        <v>3.812377415311391E-4</v>
      </c>
      <c r="L275" s="43">
        <f t="shared" ca="1" si="52"/>
        <v>0</v>
      </c>
      <c r="M275" s="43">
        <f t="shared" ca="1" si="53"/>
        <v>97.781126261923788</v>
      </c>
      <c r="N275" s="43">
        <f t="shared" ca="1" si="54"/>
        <v>1.0419298513089797E-3</v>
      </c>
      <c r="O275" s="43">
        <f t="shared" si="55"/>
        <v>97.679298245614021</v>
      </c>
      <c r="P275" s="43">
        <f t="shared" si="56"/>
        <v>1.0424728487886383E-3</v>
      </c>
      <c r="Q275" s="43">
        <f t="shared" si="57"/>
        <v>0.12369246754103497</v>
      </c>
      <c r="R275" s="144" t="e">
        <f t="shared" si="58"/>
        <v>#N/A</v>
      </c>
      <c r="S275" s="147" t="e">
        <f t="shared" si="59"/>
        <v>#N/A</v>
      </c>
    </row>
    <row r="276" spans="1:19">
      <c r="A276" s="144">
        <v>12.2</v>
      </c>
      <c r="B276" s="43">
        <v>8.6599999999999993E-3</v>
      </c>
      <c r="C276" s="43">
        <v>1.3919299999999999</v>
      </c>
      <c r="D276" s="43">
        <v>9.7014800000000001</v>
      </c>
      <c r="E276" s="147">
        <v>1.2</v>
      </c>
      <c r="F276" s="43"/>
      <c r="G276" s="39"/>
      <c r="H276" s="144">
        <f t="shared" si="48"/>
        <v>12.2</v>
      </c>
      <c r="I276" s="43">
        <f t="shared" si="49"/>
        <v>1.5637092731829574E-2</v>
      </c>
      <c r="J276" s="43">
        <f t="shared" si="50"/>
        <v>1.3919299999999999</v>
      </c>
      <c r="K276" s="43">
        <f t="shared" si="51"/>
        <v>3.812377415311391E-4</v>
      </c>
      <c r="L276" s="43">
        <f t="shared" ca="1" si="52"/>
        <v>0</v>
      </c>
      <c r="M276" s="43">
        <f t="shared" ca="1" si="53"/>
        <v>97.781126261923788</v>
      </c>
      <c r="N276" s="43">
        <f t="shared" ca="1" si="54"/>
        <v>1.0419298513089797E-3</v>
      </c>
      <c r="O276" s="43">
        <f t="shared" si="55"/>
        <v>97.679298245614021</v>
      </c>
      <c r="P276" s="43">
        <f t="shared" si="56"/>
        <v>1.0424728487886383E-3</v>
      </c>
      <c r="Q276" s="43">
        <f t="shared" si="57"/>
        <v>0.12369246754103497</v>
      </c>
      <c r="R276" s="144" t="e">
        <f t="shared" si="58"/>
        <v>#N/A</v>
      </c>
      <c r="S276" s="147" t="e">
        <f t="shared" si="59"/>
        <v>#N/A</v>
      </c>
    </row>
    <row r="277" spans="1:19">
      <c r="A277" s="144">
        <v>12.2</v>
      </c>
      <c r="B277" s="43">
        <v>8.6599999999999993E-3</v>
      </c>
      <c r="C277" s="43">
        <v>1.3919299999999999</v>
      </c>
      <c r="D277" s="43">
        <v>9.7014800000000001</v>
      </c>
      <c r="E277" s="147">
        <v>1.2</v>
      </c>
      <c r="F277" s="43"/>
      <c r="G277" s="39"/>
      <c r="H277" s="144">
        <f t="shared" si="48"/>
        <v>12.2</v>
      </c>
      <c r="I277" s="43">
        <f t="shared" si="49"/>
        <v>1.5637092731829574E-2</v>
      </c>
      <c r="J277" s="43">
        <f t="shared" si="50"/>
        <v>1.3919299999999999</v>
      </c>
      <c r="K277" s="43">
        <f t="shared" si="51"/>
        <v>3.812377415311391E-4</v>
      </c>
      <c r="L277" s="43">
        <f t="shared" ca="1" si="52"/>
        <v>0</v>
      </c>
      <c r="M277" s="43">
        <f t="shared" ca="1" si="53"/>
        <v>97.781126261923788</v>
      </c>
      <c r="N277" s="43">
        <f t="shared" ca="1" si="54"/>
        <v>1.0419298513089797E-3</v>
      </c>
      <c r="O277" s="43">
        <f t="shared" si="55"/>
        <v>97.679298245614021</v>
      </c>
      <c r="P277" s="43">
        <f t="shared" si="56"/>
        <v>1.0424728487886383E-3</v>
      </c>
      <c r="Q277" s="43">
        <f t="shared" si="57"/>
        <v>0.12369246754103497</v>
      </c>
      <c r="R277" s="144" t="e">
        <f t="shared" si="58"/>
        <v>#N/A</v>
      </c>
      <c r="S277" s="147" t="e">
        <f t="shared" si="59"/>
        <v>#N/A</v>
      </c>
    </row>
    <row r="278" spans="1:19">
      <c r="A278" s="144">
        <v>12.2</v>
      </c>
      <c r="B278" s="43">
        <v>8.6599999999999993E-3</v>
      </c>
      <c r="C278" s="43">
        <v>1.3919299999999999</v>
      </c>
      <c r="D278" s="43">
        <v>9.7014800000000001</v>
      </c>
      <c r="E278" s="147">
        <v>1.2</v>
      </c>
      <c r="F278" s="43"/>
      <c r="G278" s="39"/>
      <c r="H278" s="144">
        <f t="shared" si="48"/>
        <v>12.2</v>
      </c>
      <c r="I278" s="43">
        <f t="shared" si="49"/>
        <v>1.5637092731829574E-2</v>
      </c>
      <c r="J278" s="43">
        <f t="shared" si="50"/>
        <v>1.3919299999999999</v>
      </c>
      <c r="K278" s="43">
        <f t="shared" si="51"/>
        <v>3.812377415311391E-4</v>
      </c>
      <c r="L278" s="43">
        <f t="shared" ca="1" si="52"/>
        <v>0</v>
      </c>
      <c r="M278" s="43">
        <f t="shared" ca="1" si="53"/>
        <v>97.781126261923788</v>
      </c>
      <c r="N278" s="43">
        <f t="shared" ca="1" si="54"/>
        <v>1.0419298513089797E-3</v>
      </c>
      <c r="O278" s="43">
        <f t="shared" si="55"/>
        <v>97.679298245614021</v>
      </c>
      <c r="P278" s="43">
        <f t="shared" si="56"/>
        <v>1.0424728487886383E-3</v>
      </c>
      <c r="Q278" s="43">
        <f t="shared" si="57"/>
        <v>0.12369246754103497</v>
      </c>
      <c r="R278" s="144" t="e">
        <f t="shared" si="58"/>
        <v>#N/A</v>
      </c>
      <c r="S278" s="147" t="e">
        <f t="shared" si="59"/>
        <v>#N/A</v>
      </c>
    </row>
    <row r="279" spans="1:19">
      <c r="A279" s="144">
        <v>12.2</v>
      </c>
      <c r="B279" s="43">
        <v>8.6599999999999993E-3</v>
      </c>
      <c r="C279" s="43">
        <v>1.3919299999999999</v>
      </c>
      <c r="D279" s="43">
        <v>9.7014800000000001</v>
      </c>
      <c r="E279" s="147">
        <v>1.2</v>
      </c>
      <c r="F279" s="43"/>
      <c r="G279" s="39"/>
      <c r="H279" s="144">
        <f t="shared" si="48"/>
        <v>12.2</v>
      </c>
      <c r="I279" s="43">
        <f t="shared" si="49"/>
        <v>1.5637092731829574E-2</v>
      </c>
      <c r="J279" s="43">
        <f t="shared" si="50"/>
        <v>1.3919299999999999</v>
      </c>
      <c r="K279" s="43">
        <f t="shared" si="51"/>
        <v>3.812377415311391E-4</v>
      </c>
      <c r="L279" s="43">
        <f t="shared" ca="1" si="52"/>
        <v>0</v>
      </c>
      <c r="M279" s="43">
        <f t="shared" ca="1" si="53"/>
        <v>97.781126261923788</v>
      </c>
      <c r="N279" s="43">
        <f t="shared" ca="1" si="54"/>
        <v>1.0419298513089797E-3</v>
      </c>
      <c r="O279" s="43">
        <f t="shared" si="55"/>
        <v>97.679298245614021</v>
      </c>
      <c r="P279" s="43">
        <f t="shared" si="56"/>
        <v>1.0424728487886383E-3</v>
      </c>
      <c r="Q279" s="43">
        <f t="shared" si="57"/>
        <v>0.12369246754103497</v>
      </c>
      <c r="R279" s="144" t="e">
        <f t="shared" si="58"/>
        <v>#N/A</v>
      </c>
      <c r="S279" s="147" t="e">
        <f t="shared" si="59"/>
        <v>#N/A</v>
      </c>
    </row>
    <row r="280" spans="1:19">
      <c r="A280" s="144">
        <v>12.2</v>
      </c>
      <c r="B280" s="43">
        <v>8.6599999999999993E-3</v>
      </c>
      <c r="C280" s="43">
        <v>1.3919299999999999</v>
      </c>
      <c r="D280" s="43">
        <v>9.7014800000000001</v>
      </c>
      <c r="E280" s="147">
        <v>1.2</v>
      </c>
      <c r="F280" s="43"/>
      <c r="G280" s="39"/>
      <c r="H280" s="144">
        <f t="shared" si="48"/>
        <v>12.2</v>
      </c>
      <c r="I280" s="43">
        <f t="shared" si="49"/>
        <v>1.5637092731829574E-2</v>
      </c>
      <c r="J280" s="43">
        <f t="shared" si="50"/>
        <v>1.3919299999999999</v>
      </c>
      <c r="K280" s="43">
        <f t="shared" si="51"/>
        <v>3.812377415311391E-4</v>
      </c>
      <c r="L280" s="43">
        <f t="shared" ca="1" si="52"/>
        <v>0</v>
      </c>
      <c r="M280" s="43">
        <f t="shared" ca="1" si="53"/>
        <v>97.781126261923788</v>
      </c>
      <c r="N280" s="43">
        <f t="shared" ca="1" si="54"/>
        <v>1.0419298513089797E-3</v>
      </c>
      <c r="O280" s="43">
        <f t="shared" si="55"/>
        <v>97.679298245614021</v>
      </c>
      <c r="P280" s="43">
        <f t="shared" si="56"/>
        <v>1.0424728487886383E-3</v>
      </c>
      <c r="Q280" s="43">
        <f t="shared" si="57"/>
        <v>0.12369246754103497</v>
      </c>
      <c r="R280" s="144" t="e">
        <f t="shared" si="58"/>
        <v>#N/A</v>
      </c>
      <c r="S280" s="147" t="e">
        <f t="shared" si="59"/>
        <v>#N/A</v>
      </c>
    </row>
    <row r="281" spans="1:19">
      <c r="A281" s="144">
        <v>12.2</v>
      </c>
      <c r="B281" s="43">
        <v>8.6599999999999993E-3</v>
      </c>
      <c r="C281" s="43">
        <v>1.3919299999999999</v>
      </c>
      <c r="D281" s="43">
        <v>9.7014800000000001</v>
      </c>
      <c r="E281" s="147">
        <v>1.2</v>
      </c>
      <c r="F281" s="43"/>
      <c r="G281" s="39"/>
      <c r="H281" s="144">
        <f t="shared" si="48"/>
        <v>12.2</v>
      </c>
      <c r="I281" s="43">
        <f t="shared" si="49"/>
        <v>1.5637092731829574E-2</v>
      </c>
      <c r="J281" s="43">
        <f t="shared" si="50"/>
        <v>1.3919299999999999</v>
      </c>
      <c r="K281" s="43">
        <f t="shared" si="51"/>
        <v>3.812377415311391E-4</v>
      </c>
      <c r="L281" s="43">
        <f t="shared" ca="1" si="52"/>
        <v>0</v>
      </c>
      <c r="M281" s="43">
        <f t="shared" ca="1" si="53"/>
        <v>97.781126261923788</v>
      </c>
      <c r="N281" s="43">
        <f t="shared" ca="1" si="54"/>
        <v>1.0419298513089797E-3</v>
      </c>
      <c r="O281" s="43">
        <f t="shared" si="55"/>
        <v>97.679298245614021</v>
      </c>
      <c r="P281" s="43">
        <f t="shared" si="56"/>
        <v>1.0424728487886383E-3</v>
      </c>
      <c r="Q281" s="43">
        <f t="shared" si="57"/>
        <v>0.12369246754103497</v>
      </c>
      <c r="R281" s="144" t="e">
        <f t="shared" si="58"/>
        <v>#N/A</v>
      </c>
      <c r="S281" s="147" t="e">
        <f t="shared" si="59"/>
        <v>#N/A</v>
      </c>
    </row>
    <row r="282" spans="1:19">
      <c r="A282" s="144">
        <v>12.2</v>
      </c>
      <c r="B282" s="43">
        <v>8.6599999999999993E-3</v>
      </c>
      <c r="C282" s="43">
        <v>1.3919299999999999</v>
      </c>
      <c r="D282" s="43">
        <v>9.7014800000000001</v>
      </c>
      <c r="E282" s="147">
        <v>1.2</v>
      </c>
      <c r="F282" s="43"/>
      <c r="G282" s="39"/>
      <c r="H282" s="144">
        <f t="shared" si="48"/>
        <v>12.2</v>
      </c>
      <c r="I282" s="43">
        <f t="shared" si="49"/>
        <v>1.5637092731829574E-2</v>
      </c>
      <c r="J282" s="43">
        <f t="shared" si="50"/>
        <v>1.3919299999999999</v>
      </c>
      <c r="K282" s="43">
        <f t="shared" si="51"/>
        <v>3.812377415311391E-4</v>
      </c>
      <c r="L282" s="43">
        <f t="shared" ca="1" si="52"/>
        <v>0</v>
      </c>
      <c r="M282" s="43">
        <f t="shared" ca="1" si="53"/>
        <v>97.781126261923788</v>
      </c>
      <c r="N282" s="43">
        <f t="shared" ca="1" si="54"/>
        <v>1.0419298513089797E-3</v>
      </c>
      <c r="O282" s="43">
        <f t="shared" si="55"/>
        <v>97.679298245614021</v>
      </c>
      <c r="P282" s="43">
        <f t="shared" si="56"/>
        <v>1.0424728487886383E-3</v>
      </c>
      <c r="Q282" s="43">
        <f t="shared" si="57"/>
        <v>0.12369246754103497</v>
      </c>
      <c r="R282" s="144" t="e">
        <f t="shared" si="58"/>
        <v>#N/A</v>
      </c>
      <c r="S282" s="147" t="e">
        <f t="shared" si="59"/>
        <v>#N/A</v>
      </c>
    </row>
    <row r="283" spans="1:19">
      <c r="A283" s="144">
        <v>12.2</v>
      </c>
      <c r="B283" s="43">
        <v>8.6599999999999993E-3</v>
      </c>
      <c r="C283" s="43">
        <v>1.3919299999999999</v>
      </c>
      <c r="D283" s="43">
        <v>9.7014800000000001</v>
      </c>
      <c r="E283" s="147">
        <v>1.2</v>
      </c>
      <c r="F283" s="43"/>
      <c r="G283" s="39"/>
      <c r="H283" s="144">
        <f t="shared" si="48"/>
        <v>12.2</v>
      </c>
      <c r="I283" s="43">
        <f t="shared" si="49"/>
        <v>1.5637092731829574E-2</v>
      </c>
      <c r="J283" s="43">
        <f t="shared" si="50"/>
        <v>1.3919299999999999</v>
      </c>
      <c r="K283" s="43">
        <f t="shared" si="51"/>
        <v>3.812377415311391E-4</v>
      </c>
      <c r="L283" s="43">
        <f t="shared" ca="1" si="52"/>
        <v>0</v>
      </c>
      <c r="M283" s="43">
        <f t="shared" ca="1" si="53"/>
        <v>97.781126261923788</v>
      </c>
      <c r="N283" s="43">
        <f t="shared" ca="1" si="54"/>
        <v>1.0419298513089797E-3</v>
      </c>
      <c r="O283" s="43">
        <f t="shared" si="55"/>
        <v>97.679298245614021</v>
      </c>
      <c r="P283" s="43">
        <f t="shared" si="56"/>
        <v>1.0424728487886383E-3</v>
      </c>
      <c r="Q283" s="43">
        <f t="shared" si="57"/>
        <v>0.12369246754103497</v>
      </c>
      <c r="R283" s="144" t="e">
        <f t="shared" si="58"/>
        <v>#N/A</v>
      </c>
      <c r="S283" s="147" t="e">
        <f t="shared" si="59"/>
        <v>#N/A</v>
      </c>
    </row>
    <row r="284" spans="1:19">
      <c r="A284" s="144">
        <v>12.2</v>
      </c>
      <c r="B284" s="43">
        <v>8.6599999999999993E-3</v>
      </c>
      <c r="C284" s="43">
        <v>1.3919299999999999</v>
      </c>
      <c r="D284" s="43">
        <v>9.7014800000000001</v>
      </c>
      <c r="E284" s="147">
        <v>1.2</v>
      </c>
      <c r="F284" s="43"/>
      <c r="G284" s="39"/>
      <c r="H284" s="144">
        <f t="shared" si="48"/>
        <v>12.2</v>
      </c>
      <c r="I284" s="43">
        <f t="shared" si="49"/>
        <v>1.5637092731829574E-2</v>
      </c>
      <c r="J284" s="43">
        <f t="shared" si="50"/>
        <v>1.3919299999999999</v>
      </c>
      <c r="K284" s="43">
        <f t="shared" si="51"/>
        <v>3.812377415311391E-4</v>
      </c>
      <c r="L284" s="43">
        <f t="shared" ca="1" si="52"/>
        <v>0</v>
      </c>
      <c r="M284" s="43">
        <f t="shared" ca="1" si="53"/>
        <v>97.781126261923788</v>
      </c>
      <c r="N284" s="43">
        <f t="shared" ca="1" si="54"/>
        <v>1.0419298513089797E-3</v>
      </c>
      <c r="O284" s="43">
        <f t="shared" si="55"/>
        <v>97.679298245614021</v>
      </c>
      <c r="P284" s="43">
        <f t="shared" si="56"/>
        <v>1.0424728487886383E-3</v>
      </c>
      <c r="Q284" s="43">
        <f t="shared" si="57"/>
        <v>0.12369246754103497</v>
      </c>
      <c r="R284" s="144" t="e">
        <f t="shared" si="58"/>
        <v>#N/A</v>
      </c>
      <c r="S284" s="147" t="e">
        <f t="shared" si="59"/>
        <v>#N/A</v>
      </c>
    </row>
    <row r="285" spans="1:19">
      <c r="A285" s="144">
        <v>12.2</v>
      </c>
      <c r="B285" s="43">
        <v>8.6599999999999993E-3</v>
      </c>
      <c r="C285" s="43">
        <v>1.3919299999999999</v>
      </c>
      <c r="D285" s="43">
        <v>9.7014800000000001</v>
      </c>
      <c r="E285" s="147">
        <v>1.2</v>
      </c>
      <c r="F285" s="43"/>
      <c r="G285" s="39"/>
      <c r="H285" s="144">
        <f t="shared" si="48"/>
        <v>12.2</v>
      </c>
      <c r="I285" s="43">
        <f t="shared" si="49"/>
        <v>1.5637092731829574E-2</v>
      </c>
      <c r="J285" s="43">
        <f t="shared" si="50"/>
        <v>1.3919299999999999</v>
      </c>
      <c r="K285" s="43">
        <f t="shared" si="51"/>
        <v>3.812377415311391E-4</v>
      </c>
      <c r="L285" s="43">
        <f t="shared" ca="1" si="52"/>
        <v>0</v>
      </c>
      <c r="M285" s="43">
        <f t="shared" ca="1" si="53"/>
        <v>97.781126261923788</v>
      </c>
      <c r="N285" s="43">
        <f t="shared" ca="1" si="54"/>
        <v>1.0419298513089797E-3</v>
      </c>
      <c r="O285" s="43">
        <f t="shared" si="55"/>
        <v>97.679298245614021</v>
      </c>
      <c r="P285" s="43">
        <f t="shared" si="56"/>
        <v>1.0424728487886383E-3</v>
      </c>
      <c r="Q285" s="43">
        <f t="shared" si="57"/>
        <v>0.12369246754103497</v>
      </c>
      <c r="R285" s="144" t="e">
        <f t="shared" si="58"/>
        <v>#N/A</v>
      </c>
      <c r="S285" s="147" t="e">
        <f t="shared" si="59"/>
        <v>#N/A</v>
      </c>
    </row>
    <row r="286" spans="1:19">
      <c r="A286" s="144">
        <v>12.2</v>
      </c>
      <c r="B286" s="43">
        <v>8.6599999999999993E-3</v>
      </c>
      <c r="C286" s="43">
        <v>1.3919299999999999</v>
      </c>
      <c r="D286" s="43">
        <v>9.7014800000000001</v>
      </c>
      <c r="E286" s="147">
        <v>1.2</v>
      </c>
      <c r="F286" s="43"/>
      <c r="G286" s="39"/>
      <c r="H286" s="144">
        <f t="shared" si="48"/>
        <v>12.2</v>
      </c>
      <c r="I286" s="43">
        <f t="shared" si="49"/>
        <v>1.5637092731829574E-2</v>
      </c>
      <c r="J286" s="43">
        <f t="shared" si="50"/>
        <v>1.3919299999999999</v>
      </c>
      <c r="K286" s="43">
        <f t="shared" si="51"/>
        <v>3.812377415311391E-4</v>
      </c>
      <c r="L286" s="43">
        <f t="shared" ca="1" si="52"/>
        <v>0</v>
      </c>
      <c r="M286" s="43">
        <f t="shared" ca="1" si="53"/>
        <v>97.781126261923788</v>
      </c>
      <c r="N286" s="43">
        <f t="shared" ca="1" si="54"/>
        <v>1.0419298513089797E-3</v>
      </c>
      <c r="O286" s="43">
        <f t="shared" si="55"/>
        <v>97.679298245614021</v>
      </c>
      <c r="P286" s="43">
        <f t="shared" si="56"/>
        <v>1.0424728487886383E-3</v>
      </c>
      <c r="Q286" s="43">
        <f t="shared" si="57"/>
        <v>0.12369246754103497</v>
      </c>
      <c r="R286" s="144" t="e">
        <f t="shared" si="58"/>
        <v>#N/A</v>
      </c>
      <c r="S286" s="147" t="e">
        <f t="shared" si="59"/>
        <v>#N/A</v>
      </c>
    </row>
    <row r="287" spans="1:19">
      <c r="A287" s="144">
        <v>12.2</v>
      </c>
      <c r="B287" s="43">
        <v>8.6599999999999993E-3</v>
      </c>
      <c r="C287" s="43">
        <v>1.3919299999999999</v>
      </c>
      <c r="D287" s="43">
        <v>9.7014800000000001</v>
      </c>
      <c r="E287" s="147">
        <v>1.2</v>
      </c>
      <c r="F287" s="43"/>
      <c r="G287" s="39"/>
      <c r="H287" s="144">
        <f t="shared" si="48"/>
        <v>12.2</v>
      </c>
      <c r="I287" s="43">
        <f t="shared" si="49"/>
        <v>1.5637092731829574E-2</v>
      </c>
      <c r="J287" s="43">
        <f t="shared" si="50"/>
        <v>1.3919299999999999</v>
      </c>
      <c r="K287" s="43">
        <f t="shared" si="51"/>
        <v>3.812377415311391E-4</v>
      </c>
      <c r="L287" s="43">
        <f t="shared" ca="1" si="52"/>
        <v>0</v>
      </c>
      <c r="M287" s="43">
        <f t="shared" ca="1" si="53"/>
        <v>97.781126261923788</v>
      </c>
      <c r="N287" s="43">
        <f t="shared" ca="1" si="54"/>
        <v>1.0419298513089797E-3</v>
      </c>
      <c r="O287" s="43">
        <f t="shared" si="55"/>
        <v>97.679298245614021</v>
      </c>
      <c r="P287" s="43">
        <f t="shared" si="56"/>
        <v>1.0424728487886383E-3</v>
      </c>
      <c r="Q287" s="43">
        <f t="shared" si="57"/>
        <v>0.12369246754103497</v>
      </c>
      <c r="R287" s="144" t="e">
        <f t="shared" si="58"/>
        <v>#N/A</v>
      </c>
      <c r="S287" s="147" t="e">
        <f t="shared" si="59"/>
        <v>#N/A</v>
      </c>
    </row>
    <row r="288" spans="1:19">
      <c r="A288" s="144">
        <v>12.2</v>
      </c>
      <c r="B288" s="43">
        <v>8.6599999999999993E-3</v>
      </c>
      <c r="C288" s="43">
        <v>1.3919299999999999</v>
      </c>
      <c r="D288" s="43">
        <v>9.7014800000000001</v>
      </c>
      <c r="E288" s="147">
        <v>1.2</v>
      </c>
      <c r="F288" s="43"/>
      <c r="G288" s="39"/>
      <c r="H288" s="144">
        <f t="shared" si="48"/>
        <v>12.2</v>
      </c>
      <c r="I288" s="43">
        <f t="shared" si="49"/>
        <v>1.5637092731829574E-2</v>
      </c>
      <c r="J288" s="43">
        <f t="shared" si="50"/>
        <v>1.3919299999999999</v>
      </c>
      <c r="K288" s="43">
        <f t="shared" si="51"/>
        <v>3.812377415311391E-4</v>
      </c>
      <c r="L288" s="43">
        <f t="shared" ca="1" si="52"/>
        <v>0</v>
      </c>
      <c r="M288" s="43">
        <f t="shared" ca="1" si="53"/>
        <v>97.781126261923788</v>
      </c>
      <c r="N288" s="43">
        <f t="shared" ca="1" si="54"/>
        <v>1.0419298513089797E-3</v>
      </c>
      <c r="O288" s="43">
        <f t="shared" si="55"/>
        <v>97.679298245614021</v>
      </c>
      <c r="P288" s="43">
        <f t="shared" si="56"/>
        <v>1.0424728487886383E-3</v>
      </c>
      <c r="Q288" s="43">
        <f t="shared" si="57"/>
        <v>0.12369246754103497</v>
      </c>
      <c r="R288" s="144" t="e">
        <f t="shared" si="58"/>
        <v>#N/A</v>
      </c>
      <c r="S288" s="147" t="e">
        <f t="shared" si="59"/>
        <v>#N/A</v>
      </c>
    </row>
    <row r="289" spans="1:19">
      <c r="A289" s="144">
        <v>12.2</v>
      </c>
      <c r="B289" s="43">
        <v>8.6599999999999993E-3</v>
      </c>
      <c r="C289" s="43">
        <v>1.3919299999999999</v>
      </c>
      <c r="D289" s="43">
        <v>9.7014800000000001</v>
      </c>
      <c r="E289" s="147">
        <v>1.2</v>
      </c>
      <c r="F289" s="43"/>
      <c r="G289" s="39"/>
      <c r="H289" s="144">
        <f t="shared" si="48"/>
        <v>12.2</v>
      </c>
      <c r="I289" s="43">
        <f t="shared" si="49"/>
        <v>1.5637092731829574E-2</v>
      </c>
      <c r="J289" s="43">
        <f t="shared" si="50"/>
        <v>1.3919299999999999</v>
      </c>
      <c r="K289" s="43">
        <f t="shared" si="51"/>
        <v>3.812377415311391E-4</v>
      </c>
      <c r="L289" s="43">
        <f t="shared" ca="1" si="52"/>
        <v>0</v>
      </c>
      <c r="M289" s="43">
        <f t="shared" ca="1" si="53"/>
        <v>97.781126261923788</v>
      </c>
      <c r="N289" s="43">
        <f t="shared" ca="1" si="54"/>
        <v>1.0419298513089797E-3</v>
      </c>
      <c r="O289" s="43">
        <f t="shared" si="55"/>
        <v>97.679298245614021</v>
      </c>
      <c r="P289" s="43">
        <f t="shared" si="56"/>
        <v>1.0424728487886383E-3</v>
      </c>
      <c r="Q289" s="43">
        <f t="shared" si="57"/>
        <v>0.12369246754103497</v>
      </c>
      <c r="R289" s="144" t="e">
        <f t="shared" si="58"/>
        <v>#N/A</v>
      </c>
      <c r="S289" s="147" t="e">
        <f t="shared" si="59"/>
        <v>#N/A</v>
      </c>
    </row>
    <row r="290" spans="1:19">
      <c r="A290" s="144">
        <v>12.2</v>
      </c>
      <c r="B290" s="43">
        <v>8.6599999999999993E-3</v>
      </c>
      <c r="C290" s="43">
        <v>1.3919299999999999</v>
      </c>
      <c r="D290" s="43">
        <v>9.7014800000000001</v>
      </c>
      <c r="E290" s="147">
        <v>1.2</v>
      </c>
      <c r="F290" s="43"/>
      <c r="G290" s="39"/>
      <c r="H290" s="144">
        <f t="shared" si="48"/>
        <v>12.2</v>
      </c>
      <c r="I290" s="43">
        <f t="shared" si="49"/>
        <v>1.5637092731829574E-2</v>
      </c>
      <c r="J290" s="43">
        <f t="shared" si="50"/>
        <v>1.3919299999999999</v>
      </c>
      <c r="K290" s="43">
        <f t="shared" si="51"/>
        <v>3.812377415311391E-4</v>
      </c>
      <c r="L290" s="43">
        <f t="shared" ca="1" si="52"/>
        <v>0</v>
      </c>
      <c r="M290" s="43">
        <f t="shared" ca="1" si="53"/>
        <v>97.781126261923788</v>
      </c>
      <c r="N290" s="43">
        <f t="shared" ca="1" si="54"/>
        <v>1.0419298513089797E-3</v>
      </c>
      <c r="O290" s="43">
        <f t="shared" si="55"/>
        <v>97.679298245614021</v>
      </c>
      <c r="P290" s="43">
        <f t="shared" si="56"/>
        <v>1.0424728487886383E-3</v>
      </c>
      <c r="Q290" s="43">
        <f t="shared" si="57"/>
        <v>0.12369246754103497</v>
      </c>
      <c r="R290" s="144" t="e">
        <f t="shared" si="58"/>
        <v>#N/A</v>
      </c>
      <c r="S290" s="147" t="e">
        <f t="shared" si="59"/>
        <v>#N/A</v>
      </c>
    </row>
    <row r="291" spans="1:19">
      <c r="A291" s="144">
        <v>12.2</v>
      </c>
      <c r="B291" s="43">
        <v>8.6599999999999993E-3</v>
      </c>
      <c r="C291" s="43">
        <v>1.3919299999999999</v>
      </c>
      <c r="D291" s="43">
        <v>9.7014800000000001</v>
      </c>
      <c r="E291" s="147">
        <v>1.2</v>
      </c>
      <c r="F291" s="43"/>
      <c r="G291" s="39"/>
      <c r="H291" s="144">
        <f t="shared" si="48"/>
        <v>12.2</v>
      </c>
      <c r="I291" s="43">
        <f t="shared" si="49"/>
        <v>1.5637092731829574E-2</v>
      </c>
      <c r="J291" s="43">
        <f t="shared" si="50"/>
        <v>1.3919299999999999</v>
      </c>
      <c r="K291" s="43">
        <f t="shared" si="51"/>
        <v>3.812377415311391E-4</v>
      </c>
      <c r="L291" s="43">
        <f t="shared" ca="1" si="52"/>
        <v>0</v>
      </c>
      <c r="M291" s="43">
        <f t="shared" ca="1" si="53"/>
        <v>97.781126261923788</v>
      </c>
      <c r="N291" s="43">
        <f t="shared" ca="1" si="54"/>
        <v>1.0419298513089797E-3</v>
      </c>
      <c r="O291" s="43">
        <f t="shared" si="55"/>
        <v>97.679298245614021</v>
      </c>
      <c r="P291" s="43">
        <f t="shared" si="56"/>
        <v>1.0424728487886383E-3</v>
      </c>
      <c r="Q291" s="43">
        <f t="shared" si="57"/>
        <v>0.12369246754103497</v>
      </c>
      <c r="R291" s="144" t="e">
        <f t="shared" si="58"/>
        <v>#N/A</v>
      </c>
      <c r="S291" s="147" t="e">
        <f t="shared" si="59"/>
        <v>#N/A</v>
      </c>
    </row>
    <row r="292" spans="1:19">
      <c r="A292" s="144">
        <v>12.2</v>
      </c>
      <c r="B292" s="43">
        <v>8.6599999999999993E-3</v>
      </c>
      <c r="C292" s="43">
        <v>1.3919299999999999</v>
      </c>
      <c r="D292" s="43">
        <v>9.7014800000000001</v>
      </c>
      <c r="E292" s="147">
        <v>1.2</v>
      </c>
      <c r="F292" s="43"/>
      <c r="G292" s="39"/>
      <c r="H292" s="144">
        <f t="shared" si="48"/>
        <v>12.2</v>
      </c>
      <c r="I292" s="43">
        <f t="shared" si="49"/>
        <v>1.5637092731829574E-2</v>
      </c>
      <c r="J292" s="43">
        <f t="shared" si="50"/>
        <v>1.3919299999999999</v>
      </c>
      <c r="K292" s="43">
        <f t="shared" si="51"/>
        <v>3.812377415311391E-4</v>
      </c>
      <c r="L292" s="43">
        <f t="shared" ca="1" si="52"/>
        <v>0</v>
      </c>
      <c r="M292" s="43">
        <f t="shared" ca="1" si="53"/>
        <v>97.781126261923788</v>
      </c>
      <c r="N292" s="43">
        <f t="shared" ca="1" si="54"/>
        <v>1.0419298513089797E-3</v>
      </c>
      <c r="O292" s="43">
        <f t="shared" si="55"/>
        <v>97.679298245614021</v>
      </c>
      <c r="P292" s="43">
        <f t="shared" si="56"/>
        <v>1.0424728487886383E-3</v>
      </c>
      <c r="Q292" s="43">
        <f t="shared" si="57"/>
        <v>0.12369246754103497</v>
      </c>
      <c r="R292" s="144" t="e">
        <f t="shared" si="58"/>
        <v>#N/A</v>
      </c>
      <c r="S292" s="147" t="e">
        <f t="shared" si="59"/>
        <v>#N/A</v>
      </c>
    </row>
    <row r="293" spans="1:19">
      <c r="A293" s="144">
        <v>12.2</v>
      </c>
      <c r="B293" s="43">
        <v>8.6599999999999993E-3</v>
      </c>
      <c r="C293" s="43">
        <v>1.3919299999999999</v>
      </c>
      <c r="D293" s="43">
        <v>9.7014800000000001</v>
      </c>
      <c r="E293" s="147">
        <v>1.2</v>
      </c>
      <c r="F293" s="43"/>
      <c r="G293" s="39"/>
      <c r="H293" s="144">
        <f t="shared" si="48"/>
        <v>12.2</v>
      </c>
      <c r="I293" s="43">
        <f t="shared" si="49"/>
        <v>1.5637092731829574E-2</v>
      </c>
      <c r="J293" s="43">
        <f t="shared" si="50"/>
        <v>1.3919299999999999</v>
      </c>
      <c r="K293" s="43">
        <f t="shared" si="51"/>
        <v>3.812377415311391E-4</v>
      </c>
      <c r="L293" s="43">
        <f t="shared" ca="1" si="52"/>
        <v>0</v>
      </c>
      <c r="M293" s="43">
        <f t="shared" ca="1" si="53"/>
        <v>97.781126261923788</v>
      </c>
      <c r="N293" s="43">
        <f t="shared" ca="1" si="54"/>
        <v>1.0419298513089797E-3</v>
      </c>
      <c r="O293" s="43">
        <f t="shared" si="55"/>
        <v>97.679298245614021</v>
      </c>
      <c r="P293" s="43">
        <f t="shared" si="56"/>
        <v>1.0424728487886383E-3</v>
      </c>
      <c r="Q293" s="43">
        <f t="shared" si="57"/>
        <v>0.12369246754103497</v>
      </c>
      <c r="R293" s="144" t="e">
        <f t="shared" si="58"/>
        <v>#N/A</v>
      </c>
      <c r="S293" s="147" t="e">
        <f t="shared" si="59"/>
        <v>#N/A</v>
      </c>
    </row>
    <row r="294" spans="1:19">
      <c r="A294" s="144">
        <v>12.2</v>
      </c>
      <c r="B294" s="43">
        <v>8.6599999999999993E-3</v>
      </c>
      <c r="C294" s="43">
        <v>1.3919299999999999</v>
      </c>
      <c r="D294" s="43">
        <v>9.7014800000000001</v>
      </c>
      <c r="E294" s="147">
        <v>1.2</v>
      </c>
      <c r="F294" s="43"/>
      <c r="G294" s="39"/>
      <c r="H294" s="144">
        <f t="shared" si="48"/>
        <v>12.2</v>
      </c>
      <c r="I294" s="43">
        <f t="shared" si="49"/>
        <v>1.5637092731829574E-2</v>
      </c>
      <c r="J294" s="43">
        <f t="shared" si="50"/>
        <v>1.3919299999999999</v>
      </c>
      <c r="K294" s="43">
        <f t="shared" si="51"/>
        <v>3.812377415311391E-4</v>
      </c>
      <c r="L294" s="43">
        <f t="shared" ca="1" si="52"/>
        <v>0</v>
      </c>
      <c r="M294" s="43">
        <f t="shared" ca="1" si="53"/>
        <v>97.781126261923788</v>
      </c>
      <c r="N294" s="43">
        <f t="shared" ca="1" si="54"/>
        <v>1.0419298513089797E-3</v>
      </c>
      <c r="O294" s="43">
        <f t="shared" si="55"/>
        <v>97.679298245614021</v>
      </c>
      <c r="P294" s="43">
        <f t="shared" si="56"/>
        <v>1.0424728487886383E-3</v>
      </c>
      <c r="Q294" s="43">
        <f t="shared" si="57"/>
        <v>0.12369246754103497</v>
      </c>
      <c r="R294" s="144" t="e">
        <f t="shared" si="58"/>
        <v>#N/A</v>
      </c>
      <c r="S294" s="147" t="e">
        <f t="shared" si="59"/>
        <v>#N/A</v>
      </c>
    </row>
    <row r="295" spans="1:19">
      <c r="A295" s="144">
        <v>12.2</v>
      </c>
      <c r="B295" s="43">
        <v>8.6599999999999993E-3</v>
      </c>
      <c r="C295" s="43">
        <v>1.3919299999999999</v>
      </c>
      <c r="D295" s="43">
        <v>9.7014800000000001</v>
      </c>
      <c r="E295" s="147">
        <v>1.2</v>
      </c>
      <c r="F295" s="43"/>
      <c r="G295" s="39"/>
      <c r="H295" s="144">
        <f t="shared" si="48"/>
        <v>12.2</v>
      </c>
      <c r="I295" s="43">
        <f t="shared" si="49"/>
        <v>1.5637092731829574E-2</v>
      </c>
      <c r="J295" s="43">
        <f t="shared" si="50"/>
        <v>1.3919299999999999</v>
      </c>
      <c r="K295" s="43">
        <f t="shared" si="51"/>
        <v>3.812377415311391E-4</v>
      </c>
      <c r="L295" s="43">
        <f t="shared" ca="1" si="52"/>
        <v>0</v>
      </c>
      <c r="M295" s="43">
        <f t="shared" ca="1" si="53"/>
        <v>97.781126261923788</v>
      </c>
      <c r="N295" s="43">
        <f t="shared" ca="1" si="54"/>
        <v>1.0419298513089797E-3</v>
      </c>
      <c r="O295" s="43">
        <f t="shared" si="55"/>
        <v>97.679298245614021</v>
      </c>
      <c r="P295" s="43">
        <f t="shared" si="56"/>
        <v>1.0424728487886383E-3</v>
      </c>
      <c r="Q295" s="43">
        <f t="shared" si="57"/>
        <v>0.12369246754103497</v>
      </c>
      <c r="R295" s="144" t="e">
        <f t="shared" si="58"/>
        <v>#N/A</v>
      </c>
      <c r="S295" s="147" t="e">
        <f t="shared" si="59"/>
        <v>#N/A</v>
      </c>
    </row>
    <row r="296" spans="1:19">
      <c r="A296" s="144">
        <v>12.2</v>
      </c>
      <c r="B296" s="43">
        <v>8.6599999999999993E-3</v>
      </c>
      <c r="C296" s="43">
        <v>1.3919299999999999</v>
      </c>
      <c r="D296" s="43">
        <v>9.7014800000000001</v>
      </c>
      <c r="E296" s="147">
        <v>1.2</v>
      </c>
      <c r="F296" s="43"/>
      <c r="G296" s="39"/>
      <c r="H296" s="144">
        <f t="shared" si="48"/>
        <v>12.2</v>
      </c>
      <c r="I296" s="43">
        <f t="shared" si="49"/>
        <v>1.5637092731829574E-2</v>
      </c>
      <c r="J296" s="43">
        <f t="shared" si="50"/>
        <v>1.3919299999999999</v>
      </c>
      <c r="K296" s="43">
        <f t="shared" si="51"/>
        <v>3.812377415311391E-4</v>
      </c>
      <c r="L296" s="43">
        <f t="shared" ca="1" si="52"/>
        <v>0</v>
      </c>
      <c r="M296" s="43">
        <f t="shared" ca="1" si="53"/>
        <v>97.781126261923788</v>
      </c>
      <c r="N296" s="43">
        <f t="shared" ca="1" si="54"/>
        <v>1.0419298513089797E-3</v>
      </c>
      <c r="O296" s="43">
        <f t="shared" si="55"/>
        <v>97.679298245614021</v>
      </c>
      <c r="P296" s="43">
        <f t="shared" si="56"/>
        <v>1.0424728487886383E-3</v>
      </c>
      <c r="Q296" s="43">
        <f t="shared" si="57"/>
        <v>0.12369246754103497</v>
      </c>
      <c r="R296" s="144" t="e">
        <f t="shared" si="58"/>
        <v>#N/A</v>
      </c>
      <c r="S296" s="147" t="e">
        <f t="shared" si="59"/>
        <v>#N/A</v>
      </c>
    </row>
    <row r="297" spans="1:19">
      <c r="A297" s="144">
        <v>12.2</v>
      </c>
      <c r="B297" s="43">
        <v>8.6599999999999993E-3</v>
      </c>
      <c r="C297" s="43">
        <v>1.3919299999999999</v>
      </c>
      <c r="D297" s="43">
        <v>9.7014800000000001</v>
      </c>
      <c r="E297" s="147">
        <v>1.2</v>
      </c>
      <c r="F297" s="43"/>
      <c r="G297" s="39"/>
      <c r="H297" s="144">
        <f t="shared" si="48"/>
        <v>12.2</v>
      </c>
      <c r="I297" s="43">
        <f t="shared" si="49"/>
        <v>1.5637092731829574E-2</v>
      </c>
      <c r="J297" s="43">
        <f t="shared" si="50"/>
        <v>1.3919299999999999</v>
      </c>
      <c r="K297" s="43">
        <f t="shared" si="51"/>
        <v>3.812377415311391E-4</v>
      </c>
      <c r="L297" s="43">
        <f t="shared" ca="1" si="52"/>
        <v>0</v>
      </c>
      <c r="M297" s="43">
        <f t="shared" ca="1" si="53"/>
        <v>97.781126261923788</v>
      </c>
      <c r="N297" s="43">
        <f t="shared" ca="1" si="54"/>
        <v>1.0419298513089797E-3</v>
      </c>
      <c r="O297" s="43">
        <f t="shared" si="55"/>
        <v>97.679298245614021</v>
      </c>
      <c r="P297" s="43">
        <f t="shared" si="56"/>
        <v>1.0424728487886383E-3</v>
      </c>
      <c r="Q297" s="43">
        <f t="shared" si="57"/>
        <v>0.12369246754103497</v>
      </c>
      <c r="R297" s="144" t="e">
        <f t="shared" si="58"/>
        <v>#N/A</v>
      </c>
      <c r="S297" s="147" t="e">
        <f t="shared" si="59"/>
        <v>#N/A</v>
      </c>
    </row>
    <row r="298" spans="1:19">
      <c r="A298" s="144">
        <v>12.2</v>
      </c>
      <c r="B298" s="43">
        <v>8.6599999999999993E-3</v>
      </c>
      <c r="C298" s="43">
        <v>1.3919299999999999</v>
      </c>
      <c r="D298" s="43">
        <v>9.7014800000000001</v>
      </c>
      <c r="E298" s="147">
        <v>1.2</v>
      </c>
      <c r="F298" s="43"/>
      <c r="G298" s="39"/>
      <c r="H298" s="144">
        <f t="shared" si="48"/>
        <v>12.2</v>
      </c>
      <c r="I298" s="43">
        <f t="shared" si="49"/>
        <v>1.5637092731829574E-2</v>
      </c>
      <c r="J298" s="43">
        <f t="shared" si="50"/>
        <v>1.3919299999999999</v>
      </c>
      <c r="K298" s="43">
        <f t="shared" si="51"/>
        <v>3.812377415311391E-4</v>
      </c>
      <c r="L298" s="43">
        <f t="shared" ca="1" si="52"/>
        <v>0</v>
      </c>
      <c r="M298" s="43">
        <f t="shared" ca="1" si="53"/>
        <v>97.781126261923788</v>
      </c>
      <c r="N298" s="43">
        <f t="shared" ca="1" si="54"/>
        <v>1.0419298513089797E-3</v>
      </c>
      <c r="O298" s="43">
        <f t="shared" si="55"/>
        <v>97.679298245614021</v>
      </c>
      <c r="P298" s="43">
        <f t="shared" si="56"/>
        <v>1.0424728487886383E-3</v>
      </c>
      <c r="Q298" s="43">
        <f t="shared" si="57"/>
        <v>0.12369246754103497</v>
      </c>
      <c r="R298" s="144" t="e">
        <f t="shared" si="58"/>
        <v>#N/A</v>
      </c>
      <c r="S298" s="147" t="e">
        <f t="shared" si="59"/>
        <v>#N/A</v>
      </c>
    </row>
    <row r="299" spans="1:19">
      <c r="A299" s="144">
        <v>12.2</v>
      </c>
      <c r="B299" s="43">
        <v>8.6599999999999993E-3</v>
      </c>
      <c r="C299" s="43">
        <v>1.3919299999999999</v>
      </c>
      <c r="D299" s="43">
        <v>9.7014800000000001</v>
      </c>
      <c r="E299" s="147">
        <v>1.2</v>
      </c>
      <c r="F299" s="43"/>
      <c r="G299" s="39"/>
      <c r="H299" s="144">
        <f t="shared" si="48"/>
        <v>12.2</v>
      </c>
      <c r="I299" s="43">
        <f t="shared" si="49"/>
        <v>1.5637092731829574E-2</v>
      </c>
      <c r="J299" s="43">
        <f t="shared" si="50"/>
        <v>1.3919299999999999</v>
      </c>
      <c r="K299" s="43">
        <f t="shared" si="51"/>
        <v>3.812377415311391E-4</v>
      </c>
      <c r="L299" s="43">
        <f t="shared" ca="1" si="52"/>
        <v>0</v>
      </c>
      <c r="M299" s="43">
        <f t="shared" ca="1" si="53"/>
        <v>97.781126261923788</v>
      </c>
      <c r="N299" s="43">
        <f t="shared" ca="1" si="54"/>
        <v>1.0419298513089797E-3</v>
      </c>
      <c r="O299" s="43">
        <f t="shared" si="55"/>
        <v>97.679298245614021</v>
      </c>
      <c r="P299" s="43">
        <f t="shared" si="56"/>
        <v>1.0424728487886383E-3</v>
      </c>
      <c r="Q299" s="43">
        <f t="shared" si="57"/>
        <v>0.12369246754103497</v>
      </c>
      <c r="R299" s="144" t="e">
        <f t="shared" si="58"/>
        <v>#N/A</v>
      </c>
      <c r="S299" s="147" t="e">
        <f t="shared" si="59"/>
        <v>#N/A</v>
      </c>
    </row>
    <row r="300" spans="1:19">
      <c r="A300" s="144">
        <v>12.2</v>
      </c>
      <c r="B300" s="43">
        <v>8.6599999999999993E-3</v>
      </c>
      <c r="C300" s="43">
        <v>1.3919299999999999</v>
      </c>
      <c r="D300" s="43">
        <v>9.7014800000000001</v>
      </c>
      <c r="E300" s="147">
        <v>1.2</v>
      </c>
      <c r="F300" s="43"/>
      <c r="G300" s="39"/>
      <c r="H300" s="144">
        <f t="shared" si="48"/>
        <v>12.2</v>
      </c>
      <c r="I300" s="43">
        <f t="shared" si="49"/>
        <v>1.5637092731829574E-2</v>
      </c>
      <c r="J300" s="43">
        <f t="shared" si="50"/>
        <v>1.3919299999999999</v>
      </c>
      <c r="K300" s="43">
        <f t="shared" si="51"/>
        <v>3.812377415311391E-4</v>
      </c>
      <c r="L300" s="43">
        <f t="shared" ca="1" si="52"/>
        <v>0</v>
      </c>
      <c r="M300" s="43">
        <f t="shared" ca="1" si="53"/>
        <v>97.781126261923788</v>
      </c>
      <c r="N300" s="43">
        <f t="shared" ca="1" si="54"/>
        <v>1.0419298513089797E-3</v>
      </c>
      <c r="O300" s="43">
        <f t="shared" si="55"/>
        <v>97.679298245614021</v>
      </c>
      <c r="P300" s="43">
        <f t="shared" si="56"/>
        <v>1.0424728487886383E-3</v>
      </c>
      <c r="Q300" s="43">
        <f t="shared" si="57"/>
        <v>0.12369246754103497</v>
      </c>
      <c r="R300" s="144" t="e">
        <f t="shared" si="58"/>
        <v>#N/A</v>
      </c>
      <c r="S300" s="147" t="e">
        <f t="shared" si="59"/>
        <v>#N/A</v>
      </c>
    </row>
    <row r="301" spans="1:19">
      <c r="A301" s="144">
        <v>12.2</v>
      </c>
      <c r="B301" s="43">
        <v>8.6599999999999993E-3</v>
      </c>
      <c r="C301" s="43">
        <v>1.3919299999999999</v>
      </c>
      <c r="D301" s="43">
        <v>9.7014800000000001</v>
      </c>
      <c r="E301" s="147">
        <v>1.2</v>
      </c>
      <c r="F301" s="43"/>
      <c r="G301" s="39"/>
      <c r="H301" s="144">
        <f t="shared" si="48"/>
        <v>12.2</v>
      </c>
      <c r="I301" s="43">
        <f t="shared" si="49"/>
        <v>1.5637092731829574E-2</v>
      </c>
      <c r="J301" s="43">
        <f t="shared" si="50"/>
        <v>1.3919299999999999</v>
      </c>
      <c r="K301" s="43">
        <f t="shared" si="51"/>
        <v>3.812377415311391E-4</v>
      </c>
      <c r="L301" s="43">
        <f t="shared" ca="1" si="52"/>
        <v>0</v>
      </c>
      <c r="M301" s="43">
        <f t="shared" ca="1" si="53"/>
        <v>97.781126261923788</v>
      </c>
      <c r="N301" s="43">
        <f t="shared" ca="1" si="54"/>
        <v>1.0419298513089797E-3</v>
      </c>
      <c r="O301" s="43">
        <f t="shared" si="55"/>
        <v>97.679298245614021</v>
      </c>
      <c r="P301" s="43">
        <f t="shared" si="56"/>
        <v>1.0424728487886383E-3</v>
      </c>
      <c r="Q301" s="43">
        <f t="shared" si="57"/>
        <v>0.12369246754103497</v>
      </c>
      <c r="R301" s="144" t="e">
        <f t="shared" si="58"/>
        <v>#N/A</v>
      </c>
      <c r="S301" s="147" t="e">
        <f t="shared" si="59"/>
        <v>#N/A</v>
      </c>
    </row>
    <row r="302" spans="1:19">
      <c r="A302" s="144">
        <v>12.2</v>
      </c>
      <c r="B302" s="43">
        <v>8.6599999999999993E-3</v>
      </c>
      <c r="C302" s="43">
        <v>1.3919299999999999</v>
      </c>
      <c r="D302" s="43">
        <v>9.7014800000000001</v>
      </c>
      <c r="E302" s="147">
        <v>1.2</v>
      </c>
      <c r="F302" s="43"/>
      <c r="G302" s="39"/>
      <c r="H302" s="144">
        <f t="shared" si="48"/>
        <v>12.2</v>
      </c>
      <c r="I302" s="43">
        <f t="shared" si="49"/>
        <v>1.5637092731829574E-2</v>
      </c>
      <c r="J302" s="43">
        <f t="shared" si="50"/>
        <v>1.3919299999999999</v>
      </c>
      <c r="K302" s="43">
        <f t="shared" si="51"/>
        <v>3.812377415311391E-4</v>
      </c>
      <c r="L302" s="43">
        <f t="shared" ca="1" si="52"/>
        <v>0</v>
      </c>
      <c r="M302" s="43">
        <f t="shared" ca="1" si="53"/>
        <v>97.781126261923788</v>
      </c>
      <c r="N302" s="43">
        <f t="shared" ca="1" si="54"/>
        <v>1.0419298513089797E-3</v>
      </c>
      <c r="O302" s="43">
        <f t="shared" si="55"/>
        <v>97.679298245614021</v>
      </c>
      <c r="P302" s="43">
        <f t="shared" si="56"/>
        <v>1.0424728487886383E-3</v>
      </c>
      <c r="Q302" s="43">
        <f t="shared" si="57"/>
        <v>0.12369246754103497</v>
      </c>
      <c r="R302" s="144" t="e">
        <f t="shared" si="58"/>
        <v>#N/A</v>
      </c>
      <c r="S302" s="147" t="e">
        <f t="shared" si="59"/>
        <v>#N/A</v>
      </c>
    </row>
    <row r="303" spans="1:19">
      <c r="A303" s="144">
        <v>12.2</v>
      </c>
      <c r="B303" s="43">
        <v>8.6599999999999993E-3</v>
      </c>
      <c r="C303" s="43">
        <v>1.3919299999999999</v>
      </c>
      <c r="D303" s="43">
        <v>9.7014800000000001</v>
      </c>
      <c r="E303" s="147">
        <v>1.2</v>
      </c>
      <c r="F303" s="43"/>
      <c r="G303" s="39"/>
      <c r="H303" s="144">
        <f t="shared" si="48"/>
        <v>12.2</v>
      </c>
      <c r="I303" s="43">
        <f t="shared" si="49"/>
        <v>1.5637092731829574E-2</v>
      </c>
      <c r="J303" s="43">
        <f t="shared" si="50"/>
        <v>1.3919299999999999</v>
      </c>
      <c r="K303" s="43">
        <f t="shared" si="51"/>
        <v>3.812377415311391E-4</v>
      </c>
      <c r="L303" s="43">
        <f t="shared" ca="1" si="52"/>
        <v>0</v>
      </c>
      <c r="M303" s="43">
        <f t="shared" ca="1" si="53"/>
        <v>97.781126261923788</v>
      </c>
      <c r="N303" s="43">
        <f t="shared" ca="1" si="54"/>
        <v>1.0419298513089797E-3</v>
      </c>
      <c r="O303" s="43">
        <f t="shared" si="55"/>
        <v>97.679298245614021</v>
      </c>
      <c r="P303" s="43">
        <f t="shared" si="56"/>
        <v>1.0424728487886383E-3</v>
      </c>
      <c r="Q303" s="43">
        <f t="shared" si="57"/>
        <v>0.12369246754103497</v>
      </c>
      <c r="R303" s="144" t="e">
        <f t="shared" si="58"/>
        <v>#N/A</v>
      </c>
      <c r="S303" s="147" t="e">
        <f t="shared" si="59"/>
        <v>#N/A</v>
      </c>
    </row>
    <row r="304" spans="1:19">
      <c r="A304" s="144">
        <v>12.2</v>
      </c>
      <c r="B304" s="43">
        <v>8.6599999999999993E-3</v>
      </c>
      <c r="C304" s="43">
        <v>1.3919299999999999</v>
      </c>
      <c r="D304" s="43">
        <v>9.7014800000000001</v>
      </c>
      <c r="E304" s="147">
        <v>1.2</v>
      </c>
      <c r="F304" s="43"/>
      <c r="G304" s="39"/>
      <c r="H304" s="144">
        <f t="shared" si="48"/>
        <v>12.2</v>
      </c>
      <c r="I304" s="43">
        <f t="shared" si="49"/>
        <v>1.5637092731829574E-2</v>
      </c>
      <c r="J304" s="43">
        <f t="shared" si="50"/>
        <v>1.3919299999999999</v>
      </c>
      <c r="K304" s="43">
        <f t="shared" si="51"/>
        <v>3.812377415311391E-4</v>
      </c>
      <c r="L304" s="43">
        <f t="shared" ca="1" si="52"/>
        <v>0</v>
      </c>
      <c r="M304" s="43">
        <f t="shared" ca="1" si="53"/>
        <v>97.781126261923788</v>
      </c>
      <c r="N304" s="43">
        <f t="shared" ca="1" si="54"/>
        <v>1.0419298513089797E-3</v>
      </c>
      <c r="O304" s="43">
        <f t="shared" si="55"/>
        <v>97.679298245614021</v>
      </c>
      <c r="P304" s="43">
        <f t="shared" si="56"/>
        <v>1.0424728487886383E-3</v>
      </c>
      <c r="Q304" s="43">
        <f t="shared" si="57"/>
        <v>0.12369246754103497</v>
      </c>
      <c r="R304" s="144" t="e">
        <f t="shared" si="58"/>
        <v>#N/A</v>
      </c>
      <c r="S304" s="147" t="e">
        <f t="shared" si="59"/>
        <v>#N/A</v>
      </c>
    </row>
    <row r="305" spans="1:19">
      <c r="A305" s="144">
        <v>12.2</v>
      </c>
      <c r="B305" s="43">
        <v>8.6599999999999993E-3</v>
      </c>
      <c r="C305" s="43">
        <v>1.3919299999999999</v>
      </c>
      <c r="D305" s="43">
        <v>9.7014800000000001</v>
      </c>
      <c r="E305" s="147">
        <v>1.2</v>
      </c>
      <c r="F305" s="43"/>
      <c r="G305" s="39"/>
      <c r="H305" s="144">
        <f t="shared" si="48"/>
        <v>12.2</v>
      </c>
      <c r="I305" s="43">
        <f t="shared" si="49"/>
        <v>1.5637092731829574E-2</v>
      </c>
      <c r="J305" s="43">
        <f t="shared" si="50"/>
        <v>1.3919299999999999</v>
      </c>
      <c r="K305" s="43">
        <f t="shared" si="51"/>
        <v>3.812377415311391E-4</v>
      </c>
      <c r="L305" s="43">
        <f t="shared" ca="1" si="52"/>
        <v>0</v>
      </c>
      <c r="M305" s="43">
        <f t="shared" ca="1" si="53"/>
        <v>97.781126261923788</v>
      </c>
      <c r="N305" s="43">
        <f t="shared" ca="1" si="54"/>
        <v>1.0419298513089797E-3</v>
      </c>
      <c r="O305" s="43">
        <f t="shared" si="55"/>
        <v>97.679298245614021</v>
      </c>
      <c r="P305" s="43">
        <f t="shared" si="56"/>
        <v>1.0424728487886383E-3</v>
      </c>
      <c r="Q305" s="43">
        <f t="shared" si="57"/>
        <v>0.12369246754103497</v>
      </c>
      <c r="R305" s="144" t="e">
        <f t="shared" si="58"/>
        <v>#N/A</v>
      </c>
      <c r="S305" s="147" t="e">
        <f t="shared" si="59"/>
        <v>#N/A</v>
      </c>
    </row>
    <row r="306" spans="1:19">
      <c r="A306" s="144">
        <v>12.2</v>
      </c>
      <c r="B306" s="43">
        <v>8.6599999999999993E-3</v>
      </c>
      <c r="C306" s="43">
        <v>1.3919299999999999</v>
      </c>
      <c r="D306" s="43">
        <v>9.7014800000000001</v>
      </c>
      <c r="E306" s="147">
        <v>1.2</v>
      </c>
      <c r="F306" s="43"/>
      <c r="G306" s="39"/>
      <c r="H306" s="144">
        <f t="shared" si="48"/>
        <v>12.2</v>
      </c>
      <c r="I306" s="43">
        <f t="shared" si="49"/>
        <v>1.5637092731829574E-2</v>
      </c>
      <c r="J306" s="43">
        <f t="shared" si="50"/>
        <v>1.3919299999999999</v>
      </c>
      <c r="K306" s="43">
        <f t="shared" si="51"/>
        <v>3.812377415311391E-4</v>
      </c>
      <c r="L306" s="43">
        <f t="shared" ca="1" si="52"/>
        <v>0</v>
      </c>
      <c r="M306" s="43">
        <f t="shared" ca="1" si="53"/>
        <v>97.781126261923788</v>
      </c>
      <c r="N306" s="43">
        <f t="shared" ca="1" si="54"/>
        <v>1.0419298513089797E-3</v>
      </c>
      <c r="O306" s="43">
        <f t="shared" si="55"/>
        <v>97.679298245614021</v>
      </c>
      <c r="P306" s="43">
        <f t="shared" si="56"/>
        <v>1.0424728487886383E-3</v>
      </c>
      <c r="Q306" s="43">
        <f t="shared" si="57"/>
        <v>0.12369246754103497</v>
      </c>
      <c r="R306" s="144" t="e">
        <f t="shared" si="58"/>
        <v>#N/A</v>
      </c>
      <c r="S306" s="147" t="e">
        <f t="shared" si="59"/>
        <v>#N/A</v>
      </c>
    </row>
    <row r="307" spans="1:19">
      <c r="A307" s="144">
        <v>12.2</v>
      </c>
      <c r="B307" s="43">
        <v>8.6599999999999993E-3</v>
      </c>
      <c r="C307" s="43">
        <v>1.3919299999999999</v>
      </c>
      <c r="D307" s="43">
        <v>9.7014800000000001</v>
      </c>
      <c r="E307" s="147">
        <v>1.2</v>
      </c>
      <c r="F307" s="43"/>
      <c r="G307" s="39"/>
      <c r="H307" s="144">
        <f t="shared" si="48"/>
        <v>12.2</v>
      </c>
      <c r="I307" s="43">
        <f t="shared" si="49"/>
        <v>1.5637092731829574E-2</v>
      </c>
      <c r="J307" s="43">
        <f t="shared" si="50"/>
        <v>1.3919299999999999</v>
      </c>
      <c r="K307" s="43">
        <f t="shared" si="51"/>
        <v>3.812377415311391E-4</v>
      </c>
      <c r="L307" s="43">
        <f t="shared" ca="1" si="52"/>
        <v>0</v>
      </c>
      <c r="M307" s="43">
        <f t="shared" ca="1" si="53"/>
        <v>97.781126261923788</v>
      </c>
      <c r="N307" s="43">
        <f t="shared" ca="1" si="54"/>
        <v>1.0419298513089797E-3</v>
      </c>
      <c r="O307" s="43">
        <f t="shared" si="55"/>
        <v>97.679298245614021</v>
      </c>
      <c r="P307" s="43">
        <f t="shared" si="56"/>
        <v>1.0424728487886383E-3</v>
      </c>
      <c r="Q307" s="43">
        <f t="shared" si="57"/>
        <v>0.12369246754103497</v>
      </c>
      <c r="R307" s="144" t="e">
        <f t="shared" si="58"/>
        <v>#N/A</v>
      </c>
      <c r="S307" s="147" t="e">
        <f t="shared" si="59"/>
        <v>#N/A</v>
      </c>
    </row>
    <row r="308" spans="1:19">
      <c r="A308" s="144">
        <v>12.2</v>
      </c>
      <c r="B308" s="43">
        <v>8.6599999999999993E-3</v>
      </c>
      <c r="C308" s="43">
        <v>1.3919299999999999</v>
      </c>
      <c r="D308" s="43">
        <v>9.7014800000000001</v>
      </c>
      <c r="E308" s="147">
        <v>1.2</v>
      </c>
      <c r="F308" s="43"/>
      <c r="G308" s="39"/>
      <c r="H308" s="144">
        <f t="shared" si="48"/>
        <v>12.2</v>
      </c>
      <c r="I308" s="43">
        <f t="shared" si="49"/>
        <v>1.5637092731829574E-2</v>
      </c>
      <c r="J308" s="43">
        <f t="shared" si="50"/>
        <v>1.3919299999999999</v>
      </c>
      <c r="K308" s="43">
        <f t="shared" si="51"/>
        <v>3.812377415311391E-4</v>
      </c>
      <c r="L308" s="43">
        <f t="shared" ca="1" si="52"/>
        <v>0</v>
      </c>
      <c r="M308" s="43">
        <f t="shared" ca="1" si="53"/>
        <v>97.781126261923788</v>
      </c>
      <c r="N308" s="43">
        <f t="shared" ca="1" si="54"/>
        <v>1.0419298513089797E-3</v>
      </c>
      <c r="O308" s="43">
        <f t="shared" si="55"/>
        <v>97.679298245614021</v>
      </c>
      <c r="P308" s="43">
        <f t="shared" si="56"/>
        <v>1.0424728487886383E-3</v>
      </c>
      <c r="Q308" s="43">
        <f t="shared" si="57"/>
        <v>0.12369246754103497</v>
      </c>
      <c r="R308" s="144" t="e">
        <f t="shared" si="58"/>
        <v>#N/A</v>
      </c>
      <c r="S308" s="147" t="e">
        <f t="shared" si="59"/>
        <v>#N/A</v>
      </c>
    </row>
    <row r="309" spans="1:19">
      <c r="A309" s="144">
        <v>12.2</v>
      </c>
      <c r="B309" s="43">
        <v>8.6599999999999993E-3</v>
      </c>
      <c r="C309" s="43">
        <v>1.3919299999999999</v>
      </c>
      <c r="D309" s="43">
        <v>9.7014800000000001</v>
      </c>
      <c r="E309" s="147">
        <v>1.2</v>
      </c>
      <c r="F309" s="43"/>
      <c r="G309" s="39"/>
      <c r="H309" s="144">
        <f t="shared" si="48"/>
        <v>12.2</v>
      </c>
      <c r="I309" s="43">
        <f t="shared" si="49"/>
        <v>1.5637092731829574E-2</v>
      </c>
      <c r="J309" s="43">
        <f t="shared" si="50"/>
        <v>1.3919299999999999</v>
      </c>
      <c r="K309" s="43">
        <f t="shared" si="51"/>
        <v>3.812377415311391E-4</v>
      </c>
      <c r="L309" s="43">
        <f t="shared" ca="1" si="52"/>
        <v>0</v>
      </c>
      <c r="M309" s="43">
        <f t="shared" ca="1" si="53"/>
        <v>97.781126261923788</v>
      </c>
      <c r="N309" s="43">
        <f t="shared" ca="1" si="54"/>
        <v>1.0419298513089797E-3</v>
      </c>
      <c r="O309" s="43">
        <f t="shared" si="55"/>
        <v>97.679298245614021</v>
      </c>
      <c r="P309" s="43">
        <f t="shared" si="56"/>
        <v>1.0424728487886383E-3</v>
      </c>
      <c r="Q309" s="43">
        <f t="shared" si="57"/>
        <v>0.12369246754103497</v>
      </c>
      <c r="R309" s="144" t="e">
        <f t="shared" si="58"/>
        <v>#N/A</v>
      </c>
      <c r="S309" s="147" t="e">
        <f t="shared" si="59"/>
        <v>#N/A</v>
      </c>
    </row>
    <row r="310" spans="1:19">
      <c r="A310" s="144">
        <v>12.2</v>
      </c>
      <c r="B310" s="43">
        <v>8.6599999999999993E-3</v>
      </c>
      <c r="C310" s="43">
        <v>1.3919299999999999</v>
      </c>
      <c r="D310" s="43">
        <v>9.7014800000000001</v>
      </c>
      <c r="E310" s="147">
        <v>1.2</v>
      </c>
      <c r="F310" s="43"/>
      <c r="G310" s="39"/>
      <c r="H310" s="144">
        <f t="shared" si="48"/>
        <v>12.2</v>
      </c>
      <c r="I310" s="43">
        <f t="shared" si="49"/>
        <v>1.5637092731829574E-2</v>
      </c>
      <c r="J310" s="43">
        <f t="shared" si="50"/>
        <v>1.3919299999999999</v>
      </c>
      <c r="K310" s="43">
        <f t="shared" si="51"/>
        <v>3.812377415311391E-4</v>
      </c>
      <c r="L310" s="43">
        <f t="shared" ca="1" si="52"/>
        <v>0</v>
      </c>
      <c r="M310" s="43">
        <f t="shared" ca="1" si="53"/>
        <v>97.781126261923788</v>
      </c>
      <c r="N310" s="43">
        <f t="shared" ca="1" si="54"/>
        <v>1.0419298513089797E-3</v>
      </c>
      <c r="O310" s="43">
        <f t="shared" si="55"/>
        <v>97.679298245614021</v>
      </c>
      <c r="P310" s="43">
        <f t="shared" si="56"/>
        <v>1.0424728487886383E-3</v>
      </c>
      <c r="Q310" s="43">
        <f t="shared" si="57"/>
        <v>0.12369246754103497</v>
      </c>
      <c r="R310" s="144" t="e">
        <f t="shared" si="58"/>
        <v>#N/A</v>
      </c>
      <c r="S310" s="147" t="e">
        <f t="shared" si="59"/>
        <v>#N/A</v>
      </c>
    </row>
    <row r="311" spans="1:19">
      <c r="A311" s="144">
        <v>12.2</v>
      </c>
      <c r="B311" s="43">
        <v>8.6599999999999993E-3</v>
      </c>
      <c r="C311" s="43">
        <v>1.3919299999999999</v>
      </c>
      <c r="D311" s="43">
        <v>9.7014800000000001</v>
      </c>
      <c r="E311" s="147">
        <v>1.2</v>
      </c>
      <c r="F311" s="43"/>
      <c r="G311" s="39"/>
      <c r="H311" s="144">
        <f t="shared" si="48"/>
        <v>12.2</v>
      </c>
      <c r="I311" s="43">
        <f t="shared" si="49"/>
        <v>1.5637092731829574E-2</v>
      </c>
      <c r="J311" s="43">
        <f t="shared" si="50"/>
        <v>1.3919299999999999</v>
      </c>
      <c r="K311" s="43">
        <f t="shared" si="51"/>
        <v>3.812377415311391E-4</v>
      </c>
      <c r="L311" s="43">
        <f t="shared" ca="1" si="52"/>
        <v>0</v>
      </c>
      <c r="M311" s="43">
        <f t="shared" ca="1" si="53"/>
        <v>97.781126261923788</v>
      </c>
      <c r="N311" s="43">
        <f t="shared" ca="1" si="54"/>
        <v>1.0419298513089797E-3</v>
      </c>
      <c r="O311" s="43">
        <f t="shared" si="55"/>
        <v>97.679298245614021</v>
      </c>
      <c r="P311" s="43">
        <f t="shared" si="56"/>
        <v>1.0424728487886383E-3</v>
      </c>
      <c r="Q311" s="43">
        <f t="shared" si="57"/>
        <v>0.12369246754103497</v>
      </c>
      <c r="R311" s="144" t="e">
        <f t="shared" si="58"/>
        <v>#N/A</v>
      </c>
      <c r="S311" s="147" t="e">
        <f t="shared" si="59"/>
        <v>#N/A</v>
      </c>
    </row>
    <row r="312" spans="1:19">
      <c r="A312" s="144">
        <v>12.2</v>
      </c>
      <c r="B312" s="43">
        <v>8.6599999999999993E-3</v>
      </c>
      <c r="C312" s="43">
        <v>1.3919299999999999</v>
      </c>
      <c r="D312" s="43">
        <v>9.7014800000000001</v>
      </c>
      <c r="E312" s="147">
        <v>1.2</v>
      </c>
      <c r="F312" s="43"/>
      <c r="G312" s="39"/>
      <c r="H312" s="144">
        <f t="shared" si="48"/>
        <v>12.2</v>
      </c>
      <c r="I312" s="43">
        <f t="shared" si="49"/>
        <v>1.5637092731829574E-2</v>
      </c>
      <c r="J312" s="43">
        <f t="shared" si="50"/>
        <v>1.3919299999999999</v>
      </c>
      <c r="K312" s="43">
        <f t="shared" si="51"/>
        <v>3.812377415311391E-4</v>
      </c>
      <c r="L312" s="43">
        <f t="shared" ca="1" si="52"/>
        <v>0</v>
      </c>
      <c r="M312" s="43">
        <f t="shared" ca="1" si="53"/>
        <v>97.781126261923788</v>
      </c>
      <c r="N312" s="43">
        <f t="shared" ca="1" si="54"/>
        <v>1.0419298513089797E-3</v>
      </c>
      <c r="O312" s="43">
        <f t="shared" si="55"/>
        <v>97.679298245614021</v>
      </c>
      <c r="P312" s="43">
        <f t="shared" si="56"/>
        <v>1.0424728487886383E-3</v>
      </c>
      <c r="Q312" s="43">
        <f t="shared" si="57"/>
        <v>0.12369246754103497</v>
      </c>
      <c r="R312" s="144" t="e">
        <f t="shared" si="58"/>
        <v>#N/A</v>
      </c>
      <c r="S312" s="147" t="e">
        <f t="shared" si="59"/>
        <v>#N/A</v>
      </c>
    </row>
    <row r="313" spans="1:19">
      <c r="A313" s="144">
        <v>12.2</v>
      </c>
      <c r="B313" s="43">
        <v>8.6599999999999993E-3</v>
      </c>
      <c r="C313" s="43">
        <v>1.3919299999999999</v>
      </c>
      <c r="D313" s="43">
        <v>9.7014800000000001</v>
      </c>
      <c r="E313" s="147">
        <v>1.2</v>
      </c>
      <c r="F313" s="43"/>
      <c r="G313" s="39"/>
      <c r="H313" s="144">
        <f t="shared" si="48"/>
        <v>12.2</v>
      </c>
      <c r="I313" s="43">
        <f t="shared" si="49"/>
        <v>1.5637092731829574E-2</v>
      </c>
      <c r="J313" s="43">
        <f t="shared" si="50"/>
        <v>1.3919299999999999</v>
      </c>
      <c r="K313" s="43">
        <f t="shared" si="51"/>
        <v>3.812377415311391E-4</v>
      </c>
      <c r="L313" s="43">
        <f t="shared" ca="1" si="52"/>
        <v>0</v>
      </c>
      <c r="M313" s="43">
        <f t="shared" ca="1" si="53"/>
        <v>97.781126261923788</v>
      </c>
      <c r="N313" s="43">
        <f t="shared" ca="1" si="54"/>
        <v>1.0419298513089797E-3</v>
      </c>
      <c r="O313" s="43">
        <f t="shared" si="55"/>
        <v>97.679298245614021</v>
      </c>
      <c r="P313" s="43">
        <f t="shared" si="56"/>
        <v>1.0424728487886383E-3</v>
      </c>
      <c r="Q313" s="43">
        <f t="shared" si="57"/>
        <v>0.12369246754103497</v>
      </c>
      <c r="R313" s="144" t="e">
        <f t="shared" si="58"/>
        <v>#N/A</v>
      </c>
      <c r="S313" s="147" t="e">
        <f t="shared" si="59"/>
        <v>#N/A</v>
      </c>
    </row>
    <row r="314" spans="1:19">
      <c r="A314" s="144">
        <v>12.2</v>
      </c>
      <c r="B314" s="43">
        <v>8.6599999999999993E-3</v>
      </c>
      <c r="C314" s="43">
        <v>1.3919299999999999</v>
      </c>
      <c r="D314" s="43">
        <v>9.7014800000000001</v>
      </c>
      <c r="E314" s="147">
        <v>1.2</v>
      </c>
      <c r="F314" s="43"/>
      <c r="G314" s="39"/>
      <c r="H314" s="144">
        <f t="shared" si="48"/>
        <v>12.2</v>
      </c>
      <c r="I314" s="43">
        <f t="shared" si="49"/>
        <v>1.5637092731829574E-2</v>
      </c>
      <c r="J314" s="43">
        <f t="shared" si="50"/>
        <v>1.3919299999999999</v>
      </c>
      <c r="K314" s="43">
        <f t="shared" si="51"/>
        <v>3.812377415311391E-4</v>
      </c>
      <c r="L314" s="43">
        <f t="shared" ca="1" si="52"/>
        <v>0</v>
      </c>
      <c r="M314" s="43">
        <f t="shared" ca="1" si="53"/>
        <v>97.781126261923788</v>
      </c>
      <c r="N314" s="43">
        <f t="shared" ca="1" si="54"/>
        <v>1.0419298513089797E-3</v>
      </c>
      <c r="O314" s="43">
        <f t="shared" si="55"/>
        <v>97.679298245614021</v>
      </c>
      <c r="P314" s="43">
        <f t="shared" si="56"/>
        <v>1.0424728487886383E-3</v>
      </c>
      <c r="Q314" s="43">
        <f t="shared" si="57"/>
        <v>0.12369246754103497</v>
      </c>
      <c r="R314" s="144" t="e">
        <f t="shared" si="58"/>
        <v>#N/A</v>
      </c>
      <c r="S314" s="147" t="e">
        <f t="shared" si="59"/>
        <v>#N/A</v>
      </c>
    </row>
    <row r="315" spans="1:19">
      <c r="A315" s="144">
        <v>12.2</v>
      </c>
      <c r="B315" s="43">
        <v>8.6599999999999993E-3</v>
      </c>
      <c r="C315" s="43">
        <v>1.3919299999999999</v>
      </c>
      <c r="D315" s="43">
        <v>9.7014800000000001</v>
      </c>
      <c r="E315" s="147">
        <v>1.2</v>
      </c>
      <c r="F315" s="43"/>
      <c r="G315" s="39"/>
      <c r="H315" s="144">
        <f t="shared" si="48"/>
        <v>12.2</v>
      </c>
      <c r="I315" s="43">
        <f t="shared" si="49"/>
        <v>1.5637092731829574E-2</v>
      </c>
      <c r="J315" s="43">
        <f t="shared" si="50"/>
        <v>1.3919299999999999</v>
      </c>
      <c r="K315" s="43">
        <f t="shared" si="51"/>
        <v>3.812377415311391E-4</v>
      </c>
      <c r="L315" s="43">
        <f t="shared" ca="1" si="52"/>
        <v>0</v>
      </c>
      <c r="M315" s="43">
        <f t="shared" ca="1" si="53"/>
        <v>97.781126261923788</v>
      </c>
      <c r="N315" s="43">
        <f t="shared" ca="1" si="54"/>
        <v>1.0419298513089797E-3</v>
      </c>
      <c r="O315" s="43">
        <f t="shared" si="55"/>
        <v>97.679298245614021</v>
      </c>
      <c r="P315" s="43">
        <f t="shared" si="56"/>
        <v>1.0424728487886383E-3</v>
      </c>
      <c r="Q315" s="43">
        <f t="shared" si="57"/>
        <v>0.12369246754103497</v>
      </c>
      <c r="R315" s="144" t="e">
        <f t="shared" si="58"/>
        <v>#N/A</v>
      </c>
      <c r="S315" s="147" t="e">
        <f t="shared" si="59"/>
        <v>#N/A</v>
      </c>
    </row>
    <row r="316" spans="1:19">
      <c r="A316" s="144">
        <v>12.2</v>
      </c>
      <c r="B316" s="43">
        <v>8.6599999999999993E-3</v>
      </c>
      <c r="C316" s="43">
        <v>1.3919299999999999</v>
      </c>
      <c r="D316" s="43">
        <v>9.7014800000000001</v>
      </c>
      <c r="E316" s="147">
        <v>1.2</v>
      </c>
      <c r="F316" s="43"/>
      <c r="G316" s="39"/>
      <c r="H316" s="144">
        <f t="shared" si="48"/>
        <v>12.2</v>
      </c>
      <c r="I316" s="43">
        <f t="shared" si="49"/>
        <v>1.5637092731829574E-2</v>
      </c>
      <c r="J316" s="43">
        <f t="shared" si="50"/>
        <v>1.3919299999999999</v>
      </c>
      <c r="K316" s="43">
        <f t="shared" si="51"/>
        <v>3.812377415311391E-4</v>
      </c>
      <c r="L316" s="43">
        <f t="shared" ca="1" si="52"/>
        <v>0</v>
      </c>
      <c r="M316" s="43">
        <f t="shared" ca="1" si="53"/>
        <v>97.781126261923788</v>
      </c>
      <c r="N316" s="43">
        <f t="shared" ca="1" si="54"/>
        <v>1.0419298513089797E-3</v>
      </c>
      <c r="O316" s="43">
        <f t="shared" si="55"/>
        <v>97.679298245614021</v>
      </c>
      <c r="P316" s="43">
        <f t="shared" si="56"/>
        <v>1.0424728487886383E-3</v>
      </c>
      <c r="Q316" s="43">
        <f t="shared" si="57"/>
        <v>0.12369246754103497</v>
      </c>
      <c r="R316" s="144" t="e">
        <f t="shared" si="58"/>
        <v>#N/A</v>
      </c>
      <c r="S316" s="147" t="e">
        <f t="shared" si="59"/>
        <v>#N/A</v>
      </c>
    </row>
    <row r="317" spans="1:19">
      <c r="A317" s="144">
        <v>12.2</v>
      </c>
      <c r="B317" s="43">
        <v>8.6599999999999993E-3</v>
      </c>
      <c r="C317" s="43">
        <v>1.3919299999999999</v>
      </c>
      <c r="D317" s="43">
        <v>9.7014800000000001</v>
      </c>
      <c r="E317" s="147">
        <v>1.2</v>
      </c>
      <c r="F317" s="43"/>
      <c r="G317" s="39"/>
      <c r="H317" s="144">
        <f t="shared" si="48"/>
        <v>12.2</v>
      </c>
      <c r="I317" s="43">
        <f t="shared" si="49"/>
        <v>1.5637092731829574E-2</v>
      </c>
      <c r="J317" s="43">
        <f t="shared" si="50"/>
        <v>1.3919299999999999</v>
      </c>
      <c r="K317" s="43">
        <f t="shared" si="51"/>
        <v>3.812377415311391E-4</v>
      </c>
      <c r="L317" s="43">
        <f t="shared" ca="1" si="52"/>
        <v>0</v>
      </c>
      <c r="M317" s="43">
        <f t="shared" ca="1" si="53"/>
        <v>97.781126261923788</v>
      </c>
      <c r="N317" s="43">
        <f t="shared" ca="1" si="54"/>
        <v>1.0419298513089797E-3</v>
      </c>
      <c r="O317" s="43">
        <f t="shared" si="55"/>
        <v>97.679298245614021</v>
      </c>
      <c r="P317" s="43">
        <f t="shared" si="56"/>
        <v>1.0424728487886383E-3</v>
      </c>
      <c r="Q317" s="43">
        <f t="shared" si="57"/>
        <v>0.12369246754103497</v>
      </c>
      <c r="R317" s="144" t="e">
        <f t="shared" si="58"/>
        <v>#N/A</v>
      </c>
      <c r="S317" s="147" t="e">
        <f t="shared" si="59"/>
        <v>#N/A</v>
      </c>
    </row>
    <row r="318" spans="1:19">
      <c r="A318" s="144">
        <v>12.2</v>
      </c>
      <c r="B318" s="43">
        <v>8.6599999999999993E-3</v>
      </c>
      <c r="C318" s="43">
        <v>1.3919299999999999</v>
      </c>
      <c r="D318" s="43">
        <v>9.7014800000000001</v>
      </c>
      <c r="E318" s="147">
        <v>1.2</v>
      </c>
      <c r="F318" s="43"/>
      <c r="G318" s="39"/>
      <c r="H318" s="144">
        <f t="shared" si="48"/>
        <v>12.2</v>
      </c>
      <c r="I318" s="43">
        <f t="shared" si="49"/>
        <v>1.5637092731829574E-2</v>
      </c>
      <c r="J318" s="43">
        <f t="shared" si="50"/>
        <v>1.3919299999999999</v>
      </c>
      <c r="K318" s="43">
        <f t="shared" si="51"/>
        <v>3.812377415311391E-4</v>
      </c>
      <c r="L318" s="43">
        <f t="shared" ca="1" si="52"/>
        <v>0</v>
      </c>
      <c r="M318" s="43">
        <f t="shared" ca="1" si="53"/>
        <v>97.781126261923788</v>
      </c>
      <c r="N318" s="43">
        <f t="shared" ca="1" si="54"/>
        <v>1.0419298513089797E-3</v>
      </c>
      <c r="O318" s="43">
        <f t="shared" si="55"/>
        <v>97.679298245614021</v>
      </c>
      <c r="P318" s="43">
        <f t="shared" si="56"/>
        <v>1.0424728487886383E-3</v>
      </c>
      <c r="Q318" s="43">
        <f t="shared" si="57"/>
        <v>0.12369246754103497</v>
      </c>
      <c r="R318" s="144" t="e">
        <f t="shared" si="58"/>
        <v>#N/A</v>
      </c>
      <c r="S318" s="147" t="e">
        <f t="shared" si="59"/>
        <v>#N/A</v>
      </c>
    </row>
    <row r="319" spans="1:19">
      <c r="A319" s="144">
        <v>12.2</v>
      </c>
      <c r="B319" s="43">
        <v>8.6599999999999993E-3</v>
      </c>
      <c r="C319" s="43">
        <v>1.3919299999999999</v>
      </c>
      <c r="D319" s="43">
        <v>9.7014800000000001</v>
      </c>
      <c r="E319" s="147">
        <v>1.2</v>
      </c>
      <c r="F319" s="43"/>
      <c r="G319" s="39"/>
      <c r="H319" s="144">
        <f t="shared" si="48"/>
        <v>12.2</v>
      </c>
      <c r="I319" s="43">
        <f t="shared" si="49"/>
        <v>1.5637092731829574E-2</v>
      </c>
      <c r="J319" s="43">
        <f t="shared" si="50"/>
        <v>1.3919299999999999</v>
      </c>
      <c r="K319" s="43">
        <f t="shared" si="51"/>
        <v>3.812377415311391E-4</v>
      </c>
      <c r="L319" s="43">
        <f t="shared" ca="1" si="52"/>
        <v>0</v>
      </c>
      <c r="M319" s="43">
        <f t="shared" ca="1" si="53"/>
        <v>97.781126261923788</v>
      </c>
      <c r="N319" s="43">
        <f t="shared" ca="1" si="54"/>
        <v>1.0419298513089797E-3</v>
      </c>
      <c r="O319" s="43">
        <f t="shared" si="55"/>
        <v>97.679298245614021</v>
      </c>
      <c r="P319" s="43">
        <f t="shared" si="56"/>
        <v>1.0424728487886383E-3</v>
      </c>
      <c r="Q319" s="43">
        <f t="shared" si="57"/>
        <v>0.12369246754103497</v>
      </c>
      <c r="R319" s="144" t="e">
        <f t="shared" si="58"/>
        <v>#N/A</v>
      </c>
      <c r="S319" s="147" t="e">
        <f t="shared" si="59"/>
        <v>#N/A</v>
      </c>
    </row>
    <row r="320" spans="1:19">
      <c r="A320" s="144">
        <v>12.2</v>
      </c>
      <c r="B320" s="43">
        <v>8.6599999999999993E-3</v>
      </c>
      <c r="C320" s="43">
        <v>1.3919299999999999</v>
      </c>
      <c r="D320" s="43">
        <v>9.7014800000000001</v>
      </c>
      <c r="E320" s="147">
        <v>1.2</v>
      </c>
      <c r="F320" s="43"/>
      <c r="G320" s="39"/>
      <c r="H320" s="144">
        <f t="shared" si="48"/>
        <v>12.2</v>
      </c>
      <c r="I320" s="43">
        <f t="shared" si="49"/>
        <v>1.5637092731829574E-2</v>
      </c>
      <c r="J320" s="43">
        <f t="shared" si="50"/>
        <v>1.3919299999999999</v>
      </c>
      <c r="K320" s="43">
        <f t="shared" si="51"/>
        <v>3.812377415311391E-4</v>
      </c>
      <c r="L320" s="43">
        <f t="shared" ca="1" si="52"/>
        <v>0</v>
      </c>
      <c r="M320" s="43">
        <f t="shared" ca="1" si="53"/>
        <v>97.781126261923788</v>
      </c>
      <c r="N320" s="43">
        <f t="shared" ca="1" si="54"/>
        <v>1.0419298513089797E-3</v>
      </c>
      <c r="O320" s="43">
        <f t="shared" si="55"/>
        <v>97.679298245614021</v>
      </c>
      <c r="P320" s="43">
        <f t="shared" si="56"/>
        <v>1.0424728487886383E-3</v>
      </c>
      <c r="Q320" s="43">
        <f t="shared" si="57"/>
        <v>0.12369246754103497</v>
      </c>
      <c r="R320" s="144" t="e">
        <f t="shared" si="58"/>
        <v>#N/A</v>
      </c>
      <c r="S320" s="147" t="e">
        <f t="shared" si="59"/>
        <v>#N/A</v>
      </c>
    </row>
    <row r="321" spans="1:19">
      <c r="A321" s="144">
        <v>12.2</v>
      </c>
      <c r="B321" s="43">
        <v>8.6599999999999993E-3</v>
      </c>
      <c r="C321" s="43">
        <v>1.3919299999999999</v>
      </c>
      <c r="D321" s="43">
        <v>9.7014800000000001</v>
      </c>
      <c r="E321" s="147">
        <v>1.2</v>
      </c>
      <c r="F321" s="43"/>
      <c r="G321" s="39"/>
      <c r="H321" s="144">
        <f t="shared" si="48"/>
        <v>12.2</v>
      </c>
      <c r="I321" s="43">
        <f t="shared" si="49"/>
        <v>1.5637092731829574E-2</v>
      </c>
      <c r="J321" s="43">
        <f t="shared" si="50"/>
        <v>1.3919299999999999</v>
      </c>
      <c r="K321" s="43">
        <f t="shared" si="51"/>
        <v>3.812377415311391E-4</v>
      </c>
      <c r="L321" s="43">
        <f t="shared" ca="1" si="52"/>
        <v>0</v>
      </c>
      <c r="M321" s="43">
        <f t="shared" ca="1" si="53"/>
        <v>97.781126261923788</v>
      </c>
      <c r="N321" s="43">
        <f t="shared" ca="1" si="54"/>
        <v>1.0419298513089797E-3</v>
      </c>
      <c r="O321" s="43">
        <f t="shared" si="55"/>
        <v>97.679298245614021</v>
      </c>
      <c r="P321" s="43">
        <f t="shared" si="56"/>
        <v>1.0424728487886383E-3</v>
      </c>
      <c r="Q321" s="43">
        <f t="shared" si="57"/>
        <v>0.12369246754103497</v>
      </c>
      <c r="R321" s="144" t="e">
        <f t="shared" si="58"/>
        <v>#N/A</v>
      </c>
      <c r="S321" s="147" t="e">
        <f t="shared" si="59"/>
        <v>#N/A</v>
      </c>
    </row>
    <row r="322" spans="1:19">
      <c r="A322" s="144">
        <v>12.2</v>
      </c>
      <c r="B322" s="43">
        <v>8.6599999999999993E-3</v>
      </c>
      <c r="C322" s="43">
        <v>1.3919299999999999</v>
      </c>
      <c r="D322" s="43">
        <v>9.7014800000000001</v>
      </c>
      <c r="E322" s="147">
        <v>1.2</v>
      </c>
      <c r="F322" s="43"/>
      <c r="G322" s="39"/>
      <c r="H322" s="144">
        <f t="shared" si="48"/>
        <v>12.2</v>
      </c>
      <c r="I322" s="43">
        <f t="shared" si="49"/>
        <v>1.5637092731829574E-2</v>
      </c>
      <c r="J322" s="43">
        <f t="shared" si="50"/>
        <v>1.3919299999999999</v>
      </c>
      <c r="K322" s="43">
        <f t="shared" si="51"/>
        <v>3.812377415311391E-4</v>
      </c>
      <c r="L322" s="43">
        <f t="shared" ca="1" si="52"/>
        <v>0</v>
      </c>
      <c r="M322" s="43">
        <f t="shared" ca="1" si="53"/>
        <v>97.781126261923788</v>
      </c>
      <c r="N322" s="43">
        <f t="shared" ca="1" si="54"/>
        <v>1.0419298513089797E-3</v>
      </c>
      <c r="O322" s="43">
        <f t="shared" si="55"/>
        <v>97.679298245614021</v>
      </c>
      <c r="P322" s="43">
        <f t="shared" si="56"/>
        <v>1.0424728487886383E-3</v>
      </c>
      <c r="Q322" s="43">
        <f t="shared" si="57"/>
        <v>0.12369246754103497</v>
      </c>
      <c r="R322" s="144" t="e">
        <f t="shared" si="58"/>
        <v>#N/A</v>
      </c>
      <c r="S322" s="147" t="e">
        <f t="shared" si="59"/>
        <v>#N/A</v>
      </c>
    </row>
    <row r="323" spans="1:19">
      <c r="A323" s="144">
        <v>12.2</v>
      </c>
      <c r="B323" s="43">
        <v>8.6599999999999993E-3</v>
      </c>
      <c r="C323" s="43">
        <v>1.3919299999999999</v>
      </c>
      <c r="D323" s="43">
        <v>9.7014800000000001</v>
      </c>
      <c r="E323" s="147">
        <v>1.2</v>
      </c>
      <c r="F323" s="43"/>
      <c r="G323" s="39"/>
      <c r="H323" s="144">
        <f t="shared" si="48"/>
        <v>12.2</v>
      </c>
      <c r="I323" s="43">
        <f t="shared" si="49"/>
        <v>1.5637092731829574E-2</v>
      </c>
      <c r="J323" s="43">
        <f t="shared" si="50"/>
        <v>1.3919299999999999</v>
      </c>
      <c r="K323" s="43">
        <f t="shared" si="51"/>
        <v>3.812377415311391E-4</v>
      </c>
      <c r="L323" s="43">
        <f t="shared" ca="1" si="52"/>
        <v>0</v>
      </c>
      <c r="M323" s="43">
        <f t="shared" ca="1" si="53"/>
        <v>97.781126261923788</v>
      </c>
      <c r="N323" s="43">
        <f t="shared" ca="1" si="54"/>
        <v>1.0419298513089797E-3</v>
      </c>
      <c r="O323" s="43">
        <f t="shared" si="55"/>
        <v>97.679298245614021</v>
      </c>
      <c r="P323" s="43">
        <f t="shared" si="56"/>
        <v>1.0424728487886383E-3</v>
      </c>
      <c r="Q323" s="43">
        <f t="shared" si="57"/>
        <v>0.12369246754103497</v>
      </c>
      <c r="R323" s="144" t="e">
        <f t="shared" si="58"/>
        <v>#N/A</v>
      </c>
      <c r="S323" s="147" t="e">
        <f t="shared" si="59"/>
        <v>#N/A</v>
      </c>
    </row>
    <row r="324" spans="1:19">
      <c r="A324" s="144">
        <v>12.2</v>
      </c>
      <c r="B324" s="43">
        <v>8.6599999999999993E-3</v>
      </c>
      <c r="C324" s="43">
        <v>1.3919299999999999</v>
      </c>
      <c r="D324" s="43">
        <v>9.7014800000000001</v>
      </c>
      <c r="E324" s="147">
        <v>1.2</v>
      </c>
      <c r="F324" s="43"/>
      <c r="G324" s="39"/>
      <c r="H324" s="144">
        <f t="shared" si="48"/>
        <v>12.2</v>
      </c>
      <c r="I324" s="43">
        <f t="shared" si="49"/>
        <v>1.5637092731829574E-2</v>
      </c>
      <c r="J324" s="43">
        <f t="shared" si="50"/>
        <v>1.3919299999999999</v>
      </c>
      <c r="K324" s="43">
        <f t="shared" si="51"/>
        <v>3.812377415311391E-4</v>
      </c>
      <c r="L324" s="43">
        <f t="shared" ca="1" si="52"/>
        <v>0</v>
      </c>
      <c r="M324" s="43">
        <f t="shared" ca="1" si="53"/>
        <v>97.781126261923788</v>
      </c>
      <c r="N324" s="43">
        <f t="shared" ca="1" si="54"/>
        <v>1.0419298513089797E-3</v>
      </c>
      <c r="O324" s="43">
        <f t="shared" si="55"/>
        <v>97.679298245614021</v>
      </c>
      <c r="P324" s="43">
        <f t="shared" si="56"/>
        <v>1.0424728487886383E-3</v>
      </c>
      <c r="Q324" s="43">
        <f t="shared" si="57"/>
        <v>0.12369246754103497</v>
      </c>
      <c r="R324" s="144" t="e">
        <f t="shared" si="58"/>
        <v>#N/A</v>
      </c>
      <c r="S324" s="147" t="e">
        <f t="shared" si="59"/>
        <v>#N/A</v>
      </c>
    </row>
    <row r="325" spans="1:19">
      <c r="A325" s="144">
        <v>12.2</v>
      </c>
      <c r="B325" s="43">
        <v>8.6599999999999993E-3</v>
      </c>
      <c r="C325" s="43">
        <v>1.3919299999999999</v>
      </c>
      <c r="D325" s="43">
        <v>9.7014800000000001</v>
      </c>
      <c r="E325" s="147">
        <v>1.2</v>
      </c>
      <c r="F325" s="43"/>
      <c r="G325" s="39"/>
      <c r="H325" s="144">
        <f t="shared" si="48"/>
        <v>12.2</v>
      </c>
      <c r="I325" s="43">
        <f t="shared" si="49"/>
        <v>1.5637092731829574E-2</v>
      </c>
      <c r="J325" s="43">
        <f t="shared" si="50"/>
        <v>1.3919299999999999</v>
      </c>
      <c r="K325" s="43">
        <f t="shared" si="51"/>
        <v>3.812377415311391E-4</v>
      </c>
      <c r="L325" s="43">
        <f t="shared" ca="1" si="52"/>
        <v>0</v>
      </c>
      <c r="M325" s="43">
        <f t="shared" ca="1" si="53"/>
        <v>97.781126261923788</v>
      </c>
      <c r="N325" s="43">
        <f t="shared" ca="1" si="54"/>
        <v>1.0419298513089797E-3</v>
      </c>
      <c r="O325" s="43">
        <f t="shared" si="55"/>
        <v>97.679298245614021</v>
      </c>
      <c r="P325" s="43">
        <f t="shared" si="56"/>
        <v>1.0424728487886383E-3</v>
      </c>
      <c r="Q325" s="43">
        <f t="shared" si="57"/>
        <v>0.12369246754103497</v>
      </c>
      <c r="R325" s="144" t="e">
        <f t="shared" si="58"/>
        <v>#N/A</v>
      </c>
      <c r="S325" s="147" t="e">
        <f t="shared" si="59"/>
        <v>#N/A</v>
      </c>
    </row>
    <row r="326" spans="1:19">
      <c r="A326" s="144">
        <v>12.2</v>
      </c>
      <c r="B326" s="43">
        <v>8.6599999999999993E-3</v>
      </c>
      <c r="C326" s="43">
        <v>1.3919299999999999</v>
      </c>
      <c r="D326" s="43">
        <v>9.7014800000000001</v>
      </c>
      <c r="E326" s="147">
        <v>1.2</v>
      </c>
      <c r="F326" s="43"/>
      <c r="G326" s="39"/>
      <c r="H326" s="144">
        <f t="shared" si="48"/>
        <v>12.2</v>
      </c>
      <c r="I326" s="43">
        <f t="shared" si="49"/>
        <v>1.5637092731829574E-2</v>
      </c>
      <c r="J326" s="43">
        <f t="shared" si="50"/>
        <v>1.3919299999999999</v>
      </c>
      <c r="K326" s="43">
        <f t="shared" si="51"/>
        <v>3.812377415311391E-4</v>
      </c>
      <c r="L326" s="43">
        <f t="shared" ca="1" si="52"/>
        <v>0</v>
      </c>
      <c r="M326" s="43">
        <f t="shared" ca="1" si="53"/>
        <v>97.781126261923788</v>
      </c>
      <c r="N326" s="43">
        <f t="shared" ca="1" si="54"/>
        <v>1.0419298513089797E-3</v>
      </c>
      <c r="O326" s="43">
        <f t="shared" si="55"/>
        <v>97.679298245614021</v>
      </c>
      <c r="P326" s="43">
        <f t="shared" si="56"/>
        <v>1.0424728487886383E-3</v>
      </c>
      <c r="Q326" s="43">
        <f t="shared" si="57"/>
        <v>0.12369246754103497</v>
      </c>
      <c r="R326" s="144" t="e">
        <f t="shared" si="58"/>
        <v>#N/A</v>
      </c>
      <c r="S326" s="147" t="e">
        <f t="shared" si="59"/>
        <v>#N/A</v>
      </c>
    </row>
    <row r="327" spans="1:19">
      <c r="A327" s="144">
        <v>12.2</v>
      </c>
      <c r="B327" s="43">
        <v>8.6599999999999993E-3</v>
      </c>
      <c r="C327" s="43">
        <v>1.3919299999999999</v>
      </c>
      <c r="D327" s="43">
        <v>9.7014800000000001</v>
      </c>
      <c r="E327" s="147">
        <v>1.2</v>
      </c>
      <c r="F327" s="43"/>
      <c r="G327" s="39"/>
      <c r="H327" s="144">
        <f t="shared" si="48"/>
        <v>12.2</v>
      </c>
      <c r="I327" s="43">
        <f t="shared" si="49"/>
        <v>1.5637092731829574E-2</v>
      </c>
      <c r="J327" s="43">
        <f t="shared" si="50"/>
        <v>1.3919299999999999</v>
      </c>
      <c r="K327" s="43">
        <f t="shared" si="51"/>
        <v>3.812377415311391E-4</v>
      </c>
      <c r="L327" s="43">
        <f t="shared" ca="1" si="52"/>
        <v>0</v>
      </c>
      <c r="M327" s="43">
        <f t="shared" ca="1" si="53"/>
        <v>97.781126261923788</v>
      </c>
      <c r="N327" s="43">
        <f t="shared" ca="1" si="54"/>
        <v>1.0419298513089797E-3</v>
      </c>
      <c r="O327" s="43">
        <f t="shared" si="55"/>
        <v>97.679298245614021</v>
      </c>
      <c r="P327" s="43">
        <f t="shared" si="56"/>
        <v>1.0424728487886383E-3</v>
      </c>
      <c r="Q327" s="43">
        <f t="shared" si="57"/>
        <v>0.12369246754103497</v>
      </c>
      <c r="R327" s="144" t="e">
        <f t="shared" si="58"/>
        <v>#N/A</v>
      </c>
      <c r="S327" s="147" t="e">
        <f t="shared" si="59"/>
        <v>#N/A</v>
      </c>
    </row>
    <row r="328" spans="1:19">
      <c r="A328" s="144">
        <v>12.2</v>
      </c>
      <c r="B328" s="43">
        <v>8.6599999999999993E-3</v>
      </c>
      <c r="C328" s="43">
        <v>1.3919299999999999</v>
      </c>
      <c r="D328" s="43">
        <v>9.7014800000000001</v>
      </c>
      <c r="E328" s="147">
        <v>1.2</v>
      </c>
      <c r="F328" s="43"/>
      <c r="G328" s="39"/>
      <c r="H328" s="144">
        <f t="shared" si="48"/>
        <v>12.2</v>
      </c>
      <c r="I328" s="43">
        <f t="shared" si="49"/>
        <v>1.5637092731829574E-2</v>
      </c>
      <c r="J328" s="43">
        <f t="shared" si="50"/>
        <v>1.3919299999999999</v>
      </c>
      <c r="K328" s="43">
        <f t="shared" si="51"/>
        <v>3.812377415311391E-4</v>
      </c>
      <c r="L328" s="43">
        <f t="shared" ca="1" si="52"/>
        <v>0</v>
      </c>
      <c r="M328" s="43">
        <f t="shared" ca="1" si="53"/>
        <v>97.781126261923788</v>
      </c>
      <c r="N328" s="43">
        <f t="shared" ca="1" si="54"/>
        <v>1.0419298513089797E-3</v>
      </c>
      <c r="O328" s="43">
        <f t="shared" si="55"/>
        <v>97.679298245614021</v>
      </c>
      <c r="P328" s="43">
        <f t="shared" si="56"/>
        <v>1.0424728487886383E-3</v>
      </c>
      <c r="Q328" s="43">
        <f t="shared" si="57"/>
        <v>0.12369246754103497</v>
      </c>
      <c r="R328" s="144" t="e">
        <f t="shared" si="58"/>
        <v>#N/A</v>
      </c>
      <c r="S328" s="147" t="e">
        <f t="shared" si="59"/>
        <v>#N/A</v>
      </c>
    </row>
    <row r="329" spans="1:19">
      <c r="A329" s="144">
        <v>12.2</v>
      </c>
      <c r="B329" s="43">
        <v>8.6599999999999993E-3</v>
      </c>
      <c r="C329" s="43">
        <v>1.3919299999999999</v>
      </c>
      <c r="D329" s="43">
        <v>9.7014800000000001</v>
      </c>
      <c r="E329" s="147">
        <v>1.2</v>
      </c>
      <c r="F329" s="43"/>
      <c r="G329" s="39"/>
      <c r="H329" s="144">
        <f t="shared" si="48"/>
        <v>12.2</v>
      </c>
      <c r="I329" s="43">
        <f t="shared" si="49"/>
        <v>1.5637092731829574E-2</v>
      </c>
      <c r="J329" s="43">
        <f t="shared" si="50"/>
        <v>1.3919299999999999</v>
      </c>
      <c r="K329" s="43">
        <f t="shared" si="51"/>
        <v>3.812377415311391E-4</v>
      </c>
      <c r="L329" s="43">
        <f t="shared" ca="1" si="52"/>
        <v>0</v>
      </c>
      <c r="M329" s="43">
        <f t="shared" ca="1" si="53"/>
        <v>97.781126261923788</v>
      </c>
      <c r="N329" s="43">
        <f t="shared" ca="1" si="54"/>
        <v>1.0419298513089797E-3</v>
      </c>
      <c r="O329" s="43">
        <f t="shared" si="55"/>
        <v>97.679298245614021</v>
      </c>
      <c r="P329" s="43">
        <f t="shared" si="56"/>
        <v>1.0424728487886383E-3</v>
      </c>
      <c r="Q329" s="43">
        <f t="shared" si="57"/>
        <v>0.12369246754103497</v>
      </c>
      <c r="R329" s="144" t="e">
        <f t="shared" si="58"/>
        <v>#N/A</v>
      </c>
      <c r="S329" s="147" t="e">
        <f t="shared" si="59"/>
        <v>#N/A</v>
      </c>
    </row>
    <row r="330" spans="1:19">
      <c r="A330" s="144">
        <v>12.2</v>
      </c>
      <c r="B330" s="43">
        <v>8.6599999999999993E-3</v>
      </c>
      <c r="C330" s="43">
        <v>1.3919299999999999</v>
      </c>
      <c r="D330" s="43">
        <v>9.7014800000000001</v>
      </c>
      <c r="E330" s="147">
        <v>1.2</v>
      </c>
      <c r="F330" s="43"/>
      <c r="G330" s="39"/>
      <c r="H330" s="144">
        <f t="shared" si="48"/>
        <v>12.2</v>
      </c>
      <c r="I330" s="43">
        <f t="shared" si="49"/>
        <v>1.5637092731829574E-2</v>
      </c>
      <c r="J330" s="43">
        <f t="shared" si="50"/>
        <v>1.3919299999999999</v>
      </c>
      <c r="K330" s="43">
        <f t="shared" si="51"/>
        <v>3.812377415311391E-4</v>
      </c>
      <c r="L330" s="43">
        <f t="shared" ca="1" si="52"/>
        <v>0</v>
      </c>
      <c r="M330" s="43">
        <f t="shared" ca="1" si="53"/>
        <v>97.781126261923788</v>
      </c>
      <c r="N330" s="43">
        <f t="shared" ca="1" si="54"/>
        <v>1.0419298513089797E-3</v>
      </c>
      <c r="O330" s="43">
        <f t="shared" si="55"/>
        <v>97.679298245614021</v>
      </c>
      <c r="P330" s="43">
        <f t="shared" si="56"/>
        <v>1.0424728487886383E-3</v>
      </c>
      <c r="Q330" s="43">
        <f t="shared" si="57"/>
        <v>0.12369246754103497</v>
      </c>
      <c r="R330" s="144" t="e">
        <f t="shared" si="58"/>
        <v>#N/A</v>
      </c>
      <c r="S330" s="147" t="e">
        <f t="shared" si="59"/>
        <v>#N/A</v>
      </c>
    </row>
    <row r="331" spans="1:19">
      <c r="A331" s="144">
        <v>12.2</v>
      </c>
      <c r="B331" s="43">
        <v>8.6599999999999993E-3</v>
      </c>
      <c r="C331" s="43">
        <v>1.3919299999999999</v>
      </c>
      <c r="D331" s="43">
        <v>9.7014800000000001</v>
      </c>
      <c r="E331" s="147">
        <v>1.2</v>
      </c>
      <c r="F331" s="43"/>
      <c r="G331" s="39"/>
      <c r="H331" s="144">
        <f t="shared" si="48"/>
        <v>12.2</v>
      </c>
      <c r="I331" s="43">
        <f t="shared" si="49"/>
        <v>1.5637092731829574E-2</v>
      </c>
      <c r="J331" s="43">
        <f t="shared" si="50"/>
        <v>1.3919299999999999</v>
      </c>
      <c r="K331" s="43">
        <f t="shared" si="51"/>
        <v>3.812377415311391E-4</v>
      </c>
      <c r="L331" s="43">
        <f t="shared" ca="1" si="52"/>
        <v>0</v>
      </c>
      <c r="M331" s="43">
        <f t="shared" ca="1" si="53"/>
        <v>97.781126261923788</v>
      </c>
      <c r="N331" s="43">
        <f t="shared" ca="1" si="54"/>
        <v>1.0419298513089797E-3</v>
      </c>
      <c r="O331" s="43">
        <f t="shared" si="55"/>
        <v>97.679298245614021</v>
      </c>
      <c r="P331" s="43">
        <f t="shared" si="56"/>
        <v>1.0424728487886383E-3</v>
      </c>
      <c r="Q331" s="43">
        <f t="shared" si="57"/>
        <v>0.12369246754103497</v>
      </c>
      <c r="R331" s="144" t="e">
        <f t="shared" si="58"/>
        <v>#N/A</v>
      </c>
      <c r="S331" s="147" t="e">
        <f t="shared" si="59"/>
        <v>#N/A</v>
      </c>
    </row>
    <row r="332" spans="1:19">
      <c r="A332" s="144">
        <v>12.2</v>
      </c>
      <c r="B332" s="43">
        <v>8.6599999999999993E-3</v>
      </c>
      <c r="C332" s="43">
        <v>1.3919299999999999</v>
      </c>
      <c r="D332" s="43">
        <v>9.7014800000000001</v>
      </c>
      <c r="E332" s="147">
        <v>1.2</v>
      </c>
      <c r="F332" s="43"/>
      <c r="G332" s="39"/>
      <c r="H332" s="144">
        <f t="shared" si="48"/>
        <v>12.2</v>
      </c>
      <c r="I332" s="43">
        <f t="shared" si="49"/>
        <v>1.5637092731829574E-2</v>
      </c>
      <c r="J332" s="43">
        <f t="shared" si="50"/>
        <v>1.3919299999999999</v>
      </c>
      <c r="K332" s="43">
        <f t="shared" si="51"/>
        <v>3.812377415311391E-4</v>
      </c>
      <c r="L332" s="43">
        <f t="shared" ca="1" si="52"/>
        <v>0</v>
      </c>
      <c r="M332" s="43">
        <f t="shared" ca="1" si="53"/>
        <v>97.781126261923788</v>
      </c>
      <c r="N332" s="43">
        <f t="shared" ca="1" si="54"/>
        <v>1.0419298513089797E-3</v>
      </c>
      <c r="O332" s="43">
        <f t="shared" si="55"/>
        <v>97.679298245614021</v>
      </c>
      <c r="P332" s="43">
        <f t="shared" si="56"/>
        <v>1.0424728487886383E-3</v>
      </c>
      <c r="Q332" s="43">
        <f t="shared" si="57"/>
        <v>0.12369246754103497</v>
      </c>
      <c r="R332" s="144" t="e">
        <f t="shared" si="58"/>
        <v>#N/A</v>
      </c>
      <c r="S332" s="147" t="e">
        <f t="shared" si="59"/>
        <v>#N/A</v>
      </c>
    </row>
    <row r="333" spans="1:19">
      <c r="A333" s="144">
        <v>12.2</v>
      </c>
      <c r="B333" s="43">
        <v>8.6599999999999993E-3</v>
      </c>
      <c r="C333" s="43">
        <v>1.3919299999999999</v>
      </c>
      <c r="D333" s="43">
        <v>9.7014800000000001</v>
      </c>
      <c r="E333" s="147">
        <v>1.2</v>
      </c>
      <c r="F333" s="43"/>
      <c r="G333" s="39"/>
      <c r="H333" s="144">
        <f t="shared" si="48"/>
        <v>12.2</v>
      </c>
      <c r="I333" s="43">
        <f t="shared" si="49"/>
        <v>1.5637092731829574E-2</v>
      </c>
      <c r="J333" s="43">
        <f t="shared" si="50"/>
        <v>1.3919299999999999</v>
      </c>
      <c r="K333" s="43">
        <f t="shared" si="51"/>
        <v>3.812377415311391E-4</v>
      </c>
      <c r="L333" s="43">
        <f t="shared" ca="1" si="52"/>
        <v>0</v>
      </c>
      <c r="M333" s="43">
        <f t="shared" ca="1" si="53"/>
        <v>97.781126261923788</v>
      </c>
      <c r="N333" s="43">
        <f t="shared" ca="1" si="54"/>
        <v>1.0419298513089797E-3</v>
      </c>
      <c r="O333" s="43">
        <f t="shared" si="55"/>
        <v>97.679298245614021</v>
      </c>
      <c r="P333" s="43">
        <f t="shared" si="56"/>
        <v>1.0424728487886383E-3</v>
      </c>
      <c r="Q333" s="43">
        <f t="shared" si="57"/>
        <v>0.12369246754103497</v>
      </c>
      <c r="R333" s="144" t="e">
        <f t="shared" si="58"/>
        <v>#N/A</v>
      </c>
      <c r="S333" s="147" t="e">
        <f t="shared" si="59"/>
        <v>#N/A</v>
      </c>
    </row>
    <row r="334" spans="1:19">
      <c r="A334" s="144">
        <v>12.2</v>
      </c>
      <c r="B334" s="43">
        <v>8.6599999999999993E-3</v>
      </c>
      <c r="C334" s="43">
        <v>1.3919299999999999</v>
      </c>
      <c r="D334" s="43">
        <v>9.7014800000000001</v>
      </c>
      <c r="E334" s="147">
        <v>1.2</v>
      </c>
      <c r="F334" s="43"/>
      <c r="G334" s="39"/>
      <c r="H334" s="144">
        <f t="shared" si="48"/>
        <v>12.2</v>
      </c>
      <c r="I334" s="43">
        <f t="shared" si="49"/>
        <v>1.5637092731829574E-2</v>
      </c>
      <c r="J334" s="43">
        <f t="shared" si="50"/>
        <v>1.3919299999999999</v>
      </c>
      <c r="K334" s="43">
        <f t="shared" si="51"/>
        <v>3.812377415311391E-4</v>
      </c>
      <c r="L334" s="43">
        <f t="shared" ca="1" si="52"/>
        <v>0</v>
      </c>
      <c r="M334" s="43">
        <f t="shared" ca="1" si="53"/>
        <v>97.781126261923788</v>
      </c>
      <c r="N334" s="43">
        <f t="shared" ca="1" si="54"/>
        <v>1.0419298513089797E-3</v>
      </c>
      <c r="O334" s="43">
        <f t="shared" si="55"/>
        <v>97.679298245614021</v>
      </c>
      <c r="P334" s="43">
        <f t="shared" si="56"/>
        <v>1.0424728487886383E-3</v>
      </c>
      <c r="Q334" s="43">
        <f t="shared" si="57"/>
        <v>0.12369246754103497</v>
      </c>
      <c r="R334" s="144" t="e">
        <f t="shared" si="58"/>
        <v>#N/A</v>
      </c>
      <c r="S334" s="147" t="e">
        <f t="shared" si="59"/>
        <v>#N/A</v>
      </c>
    </row>
    <row r="335" spans="1:19">
      <c r="A335" s="144">
        <v>12.2</v>
      </c>
      <c r="B335" s="43">
        <v>8.6599999999999993E-3</v>
      </c>
      <c r="C335" s="43">
        <v>1.3919299999999999</v>
      </c>
      <c r="D335" s="43">
        <v>9.7014800000000001</v>
      </c>
      <c r="E335" s="147">
        <v>1.2</v>
      </c>
      <c r="F335" s="43"/>
      <c r="G335" s="39"/>
      <c r="H335" s="144">
        <f t="shared" si="48"/>
        <v>12.2</v>
      </c>
      <c r="I335" s="43">
        <f t="shared" si="49"/>
        <v>1.5637092731829574E-2</v>
      </c>
      <c r="J335" s="43">
        <f t="shared" si="50"/>
        <v>1.3919299999999999</v>
      </c>
      <c r="K335" s="43">
        <f t="shared" si="51"/>
        <v>3.812377415311391E-4</v>
      </c>
      <c r="L335" s="43">
        <f t="shared" ca="1" si="52"/>
        <v>0</v>
      </c>
      <c r="M335" s="43">
        <f t="shared" ca="1" si="53"/>
        <v>97.781126261923788</v>
      </c>
      <c r="N335" s="43">
        <f t="shared" ca="1" si="54"/>
        <v>1.0419298513089797E-3</v>
      </c>
      <c r="O335" s="43">
        <f t="shared" si="55"/>
        <v>97.679298245614021</v>
      </c>
      <c r="P335" s="43">
        <f t="shared" si="56"/>
        <v>1.0424728487886383E-3</v>
      </c>
      <c r="Q335" s="43">
        <f t="shared" si="57"/>
        <v>0.12369246754103497</v>
      </c>
      <c r="R335" s="144" t="e">
        <f t="shared" si="58"/>
        <v>#N/A</v>
      </c>
      <c r="S335" s="147" t="e">
        <f t="shared" si="59"/>
        <v>#N/A</v>
      </c>
    </row>
    <row r="336" spans="1:19">
      <c r="A336" s="144">
        <v>12.2</v>
      </c>
      <c r="B336" s="43">
        <v>8.6599999999999993E-3</v>
      </c>
      <c r="C336" s="43">
        <v>1.3919299999999999</v>
      </c>
      <c r="D336" s="43">
        <v>9.7014800000000001</v>
      </c>
      <c r="E336" s="147">
        <v>1.2</v>
      </c>
      <c r="F336" s="43"/>
      <c r="G336" s="39"/>
      <c r="H336" s="144">
        <f t="shared" ref="H336:H399" si="60">A336</f>
        <v>12.2</v>
      </c>
      <c r="I336" s="43">
        <f t="shared" ref="I336:I399" si="61">B336+$G$7</f>
        <v>1.5637092731829574E-2</v>
      </c>
      <c r="J336" s="43">
        <f t="shared" ref="J336:J399" si="62">C336</f>
        <v>1.3919299999999999</v>
      </c>
      <c r="K336" s="43">
        <f t="shared" ref="K336:K399" si="63">(P336-(O336/$I$9))</f>
        <v>3.812377415311391E-4</v>
      </c>
      <c r="L336" s="43">
        <f t="shared" ref="L336:L399" ca="1" si="64">IF(I336&lt;$I$5,(LN(D336/$D$15))/LN(($I$10*$D$15)/((B336+$I$10)*D336)),#N/A)</f>
        <v>0</v>
      </c>
      <c r="M336" s="43">
        <f t="shared" ref="M336:M399" ca="1" si="65">IF(I336&lt;$I$5,O336*(1+P336),#N/A)</f>
        <v>97.781126261923788</v>
      </c>
      <c r="N336" s="43">
        <f t="shared" ref="N336:N399" ca="1" si="66">IF(I336&lt;$I$5,LN(1+P336),#N/A)</f>
        <v>1.0419298513089797E-3</v>
      </c>
      <c r="O336" s="43">
        <f t="shared" ref="O336:O399" si="67">(C336*1000)/$I$7</f>
        <v>97.679298245614021</v>
      </c>
      <c r="P336" s="43">
        <f t="shared" ref="P336:P399" si="68">I336/$I$10</f>
        <v>1.0424728487886383E-3</v>
      </c>
      <c r="Q336" s="43">
        <f t="shared" ref="Q336:Q399" si="69">E336/$D$15</f>
        <v>0.12369246754103497</v>
      </c>
      <c r="R336" s="144" t="e">
        <f t="shared" ref="R336:R399" si="70">IF(AND(($N$8/100)&lt;K336,($N$9/100)&gt;K336),LN(1-Q336),#N/A)</f>
        <v>#N/A</v>
      </c>
      <c r="S336" s="147" t="e">
        <f t="shared" ref="S336:S399" si="71">IF(AND(($N$8/100)&lt;K336,($N$9/100)&gt;K336),LN(1+P336),#N/A)</f>
        <v>#N/A</v>
      </c>
    </row>
    <row r="337" spans="1:19">
      <c r="A337" s="144">
        <v>12.2</v>
      </c>
      <c r="B337" s="43">
        <v>8.6599999999999993E-3</v>
      </c>
      <c r="C337" s="43">
        <v>1.3919299999999999</v>
      </c>
      <c r="D337" s="43">
        <v>9.7014800000000001</v>
      </c>
      <c r="E337" s="147">
        <v>1.2</v>
      </c>
      <c r="F337" s="43"/>
      <c r="G337" s="39"/>
      <c r="H337" s="144">
        <f t="shared" si="60"/>
        <v>12.2</v>
      </c>
      <c r="I337" s="43">
        <f t="shared" si="61"/>
        <v>1.5637092731829574E-2</v>
      </c>
      <c r="J337" s="43">
        <f t="shared" si="62"/>
        <v>1.3919299999999999</v>
      </c>
      <c r="K337" s="43">
        <f t="shared" si="63"/>
        <v>3.812377415311391E-4</v>
      </c>
      <c r="L337" s="43">
        <f t="shared" ca="1" si="64"/>
        <v>0</v>
      </c>
      <c r="M337" s="43">
        <f t="shared" ca="1" si="65"/>
        <v>97.781126261923788</v>
      </c>
      <c r="N337" s="43">
        <f t="shared" ca="1" si="66"/>
        <v>1.0419298513089797E-3</v>
      </c>
      <c r="O337" s="43">
        <f t="shared" si="67"/>
        <v>97.679298245614021</v>
      </c>
      <c r="P337" s="43">
        <f t="shared" si="68"/>
        <v>1.0424728487886383E-3</v>
      </c>
      <c r="Q337" s="43">
        <f t="shared" si="69"/>
        <v>0.12369246754103497</v>
      </c>
      <c r="R337" s="144" t="e">
        <f t="shared" si="70"/>
        <v>#N/A</v>
      </c>
      <c r="S337" s="147" t="e">
        <f t="shared" si="71"/>
        <v>#N/A</v>
      </c>
    </row>
    <row r="338" spans="1:19">
      <c r="A338" s="144">
        <v>12.2</v>
      </c>
      <c r="B338" s="43">
        <v>8.6599999999999993E-3</v>
      </c>
      <c r="C338" s="43">
        <v>1.3919299999999999</v>
      </c>
      <c r="D338" s="43">
        <v>9.7014800000000001</v>
      </c>
      <c r="E338" s="147">
        <v>1.2</v>
      </c>
      <c r="F338" s="43"/>
      <c r="G338" s="39"/>
      <c r="H338" s="144">
        <f t="shared" si="60"/>
        <v>12.2</v>
      </c>
      <c r="I338" s="43">
        <f t="shared" si="61"/>
        <v>1.5637092731829574E-2</v>
      </c>
      <c r="J338" s="43">
        <f t="shared" si="62"/>
        <v>1.3919299999999999</v>
      </c>
      <c r="K338" s="43">
        <f t="shared" si="63"/>
        <v>3.812377415311391E-4</v>
      </c>
      <c r="L338" s="43">
        <f t="shared" ca="1" si="64"/>
        <v>0</v>
      </c>
      <c r="M338" s="43">
        <f t="shared" ca="1" si="65"/>
        <v>97.781126261923788</v>
      </c>
      <c r="N338" s="43">
        <f t="shared" ca="1" si="66"/>
        <v>1.0419298513089797E-3</v>
      </c>
      <c r="O338" s="43">
        <f t="shared" si="67"/>
        <v>97.679298245614021</v>
      </c>
      <c r="P338" s="43">
        <f t="shared" si="68"/>
        <v>1.0424728487886383E-3</v>
      </c>
      <c r="Q338" s="43">
        <f t="shared" si="69"/>
        <v>0.12369246754103497</v>
      </c>
      <c r="R338" s="144" t="e">
        <f t="shared" si="70"/>
        <v>#N/A</v>
      </c>
      <c r="S338" s="147" t="e">
        <f t="shared" si="71"/>
        <v>#N/A</v>
      </c>
    </row>
    <row r="339" spans="1:19">
      <c r="A339" s="144">
        <v>12.2</v>
      </c>
      <c r="B339" s="43">
        <v>8.6599999999999993E-3</v>
      </c>
      <c r="C339" s="43">
        <v>1.3919299999999999</v>
      </c>
      <c r="D339" s="43">
        <v>9.7014800000000001</v>
      </c>
      <c r="E339" s="147">
        <v>1.2</v>
      </c>
      <c r="F339" s="43"/>
      <c r="G339" s="39"/>
      <c r="H339" s="144">
        <f t="shared" si="60"/>
        <v>12.2</v>
      </c>
      <c r="I339" s="43">
        <f t="shared" si="61"/>
        <v>1.5637092731829574E-2</v>
      </c>
      <c r="J339" s="43">
        <f t="shared" si="62"/>
        <v>1.3919299999999999</v>
      </c>
      <c r="K339" s="43">
        <f t="shared" si="63"/>
        <v>3.812377415311391E-4</v>
      </c>
      <c r="L339" s="43">
        <f t="shared" ca="1" si="64"/>
        <v>0</v>
      </c>
      <c r="M339" s="43">
        <f t="shared" ca="1" si="65"/>
        <v>97.781126261923788</v>
      </c>
      <c r="N339" s="43">
        <f t="shared" ca="1" si="66"/>
        <v>1.0419298513089797E-3</v>
      </c>
      <c r="O339" s="43">
        <f t="shared" si="67"/>
        <v>97.679298245614021</v>
      </c>
      <c r="P339" s="43">
        <f t="shared" si="68"/>
        <v>1.0424728487886383E-3</v>
      </c>
      <c r="Q339" s="43">
        <f t="shared" si="69"/>
        <v>0.12369246754103497</v>
      </c>
      <c r="R339" s="144" t="e">
        <f t="shared" si="70"/>
        <v>#N/A</v>
      </c>
      <c r="S339" s="147" t="e">
        <f t="shared" si="71"/>
        <v>#N/A</v>
      </c>
    </row>
    <row r="340" spans="1:19">
      <c r="A340" s="144">
        <v>12.2</v>
      </c>
      <c r="B340" s="43">
        <v>8.6599999999999993E-3</v>
      </c>
      <c r="C340" s="43">
        <v>1.3919299999999999</v>
      </c>
      <c r="D340" s="43">
        <v>9.7014800000000001</v>
      </c>
      <c r="E340" s="147">
        <v>1.2</v>
      </c>
      <c r="F340" s="43"/>
      <c r="G340" s="39"/>
      <c r="H340" s="144">
        <f t="shared" si="60"/>
        <v>12.2</v>
      </c>
      <c r="I340" s="43">
        <f t="shared" si="61"/>
        <v>1.5637092731829574E-2</v>
      </c>
      <c r="J340" s="43">
        <f t="shared" si="62"/>
        <v>1.3919299999999999</v>
      </c>
      <c r="K340" s="43">
        <f t="shared" si="63"/>
        <v>3.812377415311391E-4</v>
      </c>
      <c r="L340" s="43">
        <f t="shared" ca="1" si="64"/>
        <v>0</v>
      </c>
      <c r="M340" s="43">
        <f t="shared" ca="1" si="65"/>
        <v>97.781126261923788</v>
      </c>
      <c r="N340" s="43">
        <f t="shared" ca="1" si="66"/>
        <v>1.0419298513089797E-3</v>
      </c>
      <c r="O340" s="43">
        <f t="shared" si="67"/>
        <v>97.679298245614021</v>
      </c>
      <c r="P340" s="43">
        <f t="shared" si="68"/>
        <v>1.0424728487886383E-3</v>
      </c>
      <c r="Q340" s="43">
        <f t="shared" si="69"/>
        <v>0.12369246754103497</v>
      </c>
      <c r="R340" s="144" t="e">
        <f t="shared" si="70"/>
        <v>#N/A</v>
      </c>
      <c r="S340" s="147" t="e">
        <f t="shared" si="71"/>
        <v>#N/A</v>
      </c>
    </row>
    <row r="341" spans="1:19">
      <c r="A341" s="144">
        <v>12.2</v>
      </c>
      <c r="B341" s="43">
        <v>8.6599999999999993E-3</v>
      </c>
      <c r="C341" s="43">
        <v>1.3919299999999999</v>
      </c>
      <c r="D341" s="43">
        <v>9.7014800000000001</v>
      </c>
      <c r="E341" s="147">
        <v>1.2</v>
      </c>
      <c r="F341" s="43"/>
      <c r="G341" s="39"/>
      <c r="H341" s="144">
        <f t="shared" si="60"/>
        <v>12.2</v>
      </c>
      <c r="I341" s="43">
        <f t="shared" si="61"/>
        <v>1.5637092731829574E-2</v>
      </c>
      <c r="J341" s="43">
        <f t="shared" si="62"/>
        <v>1.3919299999999999</v>
      </c>
      <c r="K341" s="43">
        <f t="shared" si="63"/>
        <v>3.812377415311391E-4</v>
      </c>
      <c r="L341" s="43">
        <f t="shared" ca="1" si="64"/>
        <v>0</v>
      </c>
      <c r="M341" s="43">
        <f t="shared" ca="1" si="65"/>
        <v>97.781126261923788</v>
      </c>
      <c r="N341" s="43">
        <f t="shared" ca="1" si="66"/>
        <v>1.0419298513089797E-3</v>
      </c>
      <c r="O341" s="43">
        <f t="shared" si="67"/>
        <v>97.679298245614021</v>
      </c>
      <c r="P341" s="43">
        <f t="shared" si="68"/>
        <v>1.0424728487886383E-3</v>
      </c>
      <c r="Q341" s="43">
        <f t="shared" si="69"/>
        <v>0.12369246754103497</v>
      </c>
      <c r="R341" s="144" t="e">
        <f t="shared" si="70"/>
        <v>#N/A</v>
      </c>
      <c r="S341" s="147" t="e">
        <f t="shared" si="71"/>
        <v>#N/A</v>
      </c>
    </row>
    <row r="342" spans="1:19">
      <c r="A342" s="144">
        <v>12.2</v>
      </c>
      <c r="B342" s="43">
        <v>8.6599999999999993E-3</v>
      </c>
      <c r="C342" s="43">
        <v>1.3919299999999999</v>
      </c>
      <c r="D342" s="43">
        <v>9.7014800000000001</v>
      </c>
      <c r="E342" s="147">
        <v>1.2</v>
      </c>
      <c r="F342" s="43"/>
      <c r="G342" s="39"/>
      <c r="H342" s="144">
        <f t="shared" si="60"/>
        <v>12.2</v>
      </c>
      <c r="I342" s="43">
        <f t="shared" si="61"/>
        <v>1.5637092731829574E-2</v>
      </c>
      <c r="J342" s="43">
        <f t="shared" si="62"/>
        <v>1.3919299999999999</v>
      </c>
      <c r="K342" s="43">
        <f t="shared" si="63"/>
        <v>3.812377415311391E-4</v>
      </c>
      <c r="L342" s="43">
        <f t="shared" ca="1" si="64"/>
        <v>0</v>
      </c>
      <c r="M342" s="43">
        <f t="shared" ca="1" si="65"/>
        <v>97.781126261923788</v>
      </c>
      <c r="N342" s="43">
        <f t="shared" ca="1" si="66"/>
        <v>1.0419298513089797E-3</v>
      </c>
      <c r="O342" s="43">
        <f t="shared" si="67"/>
        <v>97.679298245614021</v>
      </c>
      <c r="P342" s="43">
        <f t="shared" si="68"/>
        <v>1.0424728487886383E-3</v>
      </c>
      <c r="Q342" s="43">
        <f t="shared" si="69"/>
        <v>0.12369246754103497</v>
      </c>
      <c r="R342" s="144" t="e">
        <f t="shared" si="70"/>
        <v>#N/A</v>
      </c>
      <c r="S342" s="147" t="e">
        <f t="shared" si="71"/>
        <v>#N/A</v>
      </c>
    </row>
    <row r="343" spans="1:19">
      <c r="A343" s="144">
        <v>12.2</v>
      </c>
      <c r="B343" s="43">
        <v>8.6599999999999993E-3</v>
      </c>
      <c r="C343" s="43">
        <v>1.3919299999999999</v>
      </c>
      <c r="D343" s="43">
        <v>9.7014800000000001</v>
      </c>
      <c r="E343" s="147">
        <v>1.2</v>
      </c>
      <c r="F343" s="43"/>
      <c r="G343" s="39"/>
      <c r="H343" s="144">
        <f t="shared" si="60"/>
        <v>12.2</v>
      </c>
      <c r="I343" s="43">
        <f t="shared" si="61"/>
        <v>1.5637092731829574E-2</v>
      </c>
      <c r="J343" s="43">
        <f t="shared" si="62"/>
        <v>1.3919299999999999</v>
      </c>
      <c r="K343" s="43">
        <f t="shared" si="63"/>
        <v>3.812377415311391E-4</v>
      </c>
      <c r="L343" s="43">
        <f t="shared" ca="1" si="64"/>
        <v>0</v>
      </c>
      <c r="M343" s="43">
        <f t="shared" ca="1" si="65"/>
        <v>97.781126261923788</v>
      </c>
      <c r="N343" s="43">
        <f t="shared" ca="1" si="66"/>
        <v>1.0419298513089797E-3</v>
      </c>
      <c r="O343" s="43">
        <f t="shared" si="67"/>
        <v>97.679298245614021</v>
      </c>
      <c r="P343" s="43">
        <f t="shared" si="68"/>
        <v>1.0424728487886383E-3</v>
      </c>
      <c r="Q343" s="43">
        <f t="shared" si="69"/>
        <v>0.12369246754103497</v>
      </c>
      <c r="R343" s="144" t="e">
        <f t="shared" si="70"/>
        <v>#N/A</v>
      </c>
      <c r="S343" s="147" t="e">
        <f t="shared" si="71"/>
        <v>#N/A</v>
      </c>
    </row>
    <row r="344" spans="1:19">
      <c r="A344" s="144">
        <v>12.2</v>
      </c>
      <c r="B344" s="43">
        <v>8.6599999999999993E-3</v>
      </c>
      <c r="C344" s="43">
        <v>1.3919299999999999</v>
      </c>
      <c r="D344" s="43">
        <v>9.7014800000000001</v>
      </c>
      <c r="E344" s="147">
        <v>1.2</v>
      </c>
      <c r="F344" s="43"/>
      <c r="G344" s="39"/>
      <c r="H344" s="144">
        <f t="shared" si="60"/>
        <v>12.2</v>
      </c>
      <c r="I344" s="43">
        <f t="shared" si="61"/>
        <v>1.5637092731829574E-2</v>
      </c>
      <c r="J344" s="43">
        <f t="shared" si="62"/>
        <v>1.3919299999999999</v>
      </c>
      <c r="K344" s="43">
        <f t="shared" si="63"/>
        <v>3.812377415311391E-4</v>
      </c>
      <c r="L344" s="43">
        <f t="shared" ca="1" si="64"/>
        <v>0</v>
      </c>
      <c r="M344" s="43">
        <f t="shared" ca="1" si="65"/>
        <v>97.781126261923788</v>
      </c>
      <c r="N344" s="43">
        <f t="shared" ca="1" si="66"/>
        <v>1.0419298513089797E-3</v>
      </c>
      <c r="O344" s="43">
        <f t="shared" si="67"/>
        <v>97.679298245614021</v>
      </c>
      <c r="P344" s="43">
        <f t="shared" si="68"/>
        <v>1.0424728487886383E-3</v>
      </c>
      <c r="Q344" s="43">
        <f t="shared" si="69"/>
        <v>0.12369246754103497</v>
      </c>
      <c r="R344" s="144" t="e">
        <f t="shared" si="70"/>
        <v>#N/A</v>
      </c>
      <c r="S344" s="147" t="e">
        <f t="shared" si="71"/>
        <v>#N/A</v>
      </c>
    </row>
    <row r="345" spans="1:19">
      <c r="A345" s="144">
        <v>12.2</v>
      </c>
      <c r="B345" s="43">
        <v>8.6599999999999993E-3</v>
      </c>
      <c r="C345" s="43">
        <v>1.3919299999999999</v>
      </c>
      <c r="D345" s="43">
        <v>9.7014800000000001</v>
      </c>
      <c r="E345" s="147">
        <v>1.2</v>
      </c>
      <c r="F345" s="43"/>
      <c r="G345" s="39"/>
      <c r="H345" s="144">
        <f t="shared" si="60"/>
        <v>12.2</v>
      </c>
      <c r="I345" s="43">
        <f t="shared" si="61"/>
        <v>1.5637092731829574E-2</v>
      </c>
      <c r="J345" s="43">
        <f t="shared" si="62"/>
        <v>1.3919299999999999</v>
      </c>
      <c r="K345" s="43">
        <f t="shared" si="63"/>
        <v>3.812377415311391E-4</v>
      </c>
      <c r="L345" s="43">
        <f t="shared" ca="1" si="64"/>
        <v>0</v>
      </c>
      <c r="M345" s="43">
        <f t="shared" ca="1" si="65"/>
        <v>97.781126261923788</v>
      </c>
      <c r="N345" s="43">
        <f t="shared" ca="1" si="66"/>
        <v>1.0419298513089797E-3</v>
      </c>
      <c r="O345" s="43">
        <f t="shared" si="67"/>
        <v>97.679298245614021</v>
      </c>
      <c r="P345" s="43">
        <f t="shared" si="68"/>
        <v>1.0424728487886383E-3</v>
      </c>
      <c r="Q345" s="43">
        <f t="shared" si="69"/>
        <v>0.12369246754103497</v>
      </c>
      <c r="R345" s="144" t="e">
        <f t="shared" si="70"/>
        <v>#N/A</v>
      </c>
      <c r="S345" s="147" t="e">
        <f t="shared" si="71"/>
        <v>#N/A</v>
      </c>
    </row>
    <row r="346" spans="1:19">
      <c r="A346" s="144">
        <v>12.2</v>
      </c>
      <c r="B346" s="43">
        <v>8.6599999999999993E-3</v>
      </c>
      <c r="C346" s="43">
        <v>1.3919299999999999</v>
      </c>
      <c r="D346" s="43">
        <v>9.7014800000000001</v>
      </c>
      <c r="E346" s="147">
        <v>1.2</v>
      </c>
      <c r="F346" s="43"/>
      <c r="G346" s="39"/>
      <c r="H346" s="144">
        <f t="shared" si="60"/>
        <v>12.2</v>
      </c>
      <c r="I346" s="43">
        <f t="shared" si="61"/>
        <v>1.5637092731829574E-2</v>
      </c>
      <c r="J346" s="43">
        <f t="shared" si="62"/>
        <v>1.3919299999999999</v>
      </c>
      <c r="K346" s="43">
        <f t="shared" si="63"/>
        <v>3.812377415311391E-4</v>
      </c>
      <c r="L346" s="43">
        <f t="shared" ca="1" si="64"/>
        <v>0</v>
      </c>
      <c r="M346" s="43">
        <f t="shared" ca="1" si="65"/>
        <v>97.781126261923788</v>
      </c>
      <c r="N346" s="43">
        <f t="shared" ca="1" si="66"/>
        <v>1.0419298513089797E-3</v>
      </c>
      <c r="O346" s="43">
        <f t="shared" si="67"/>
        <v>97.679298245614021</v>
      </c>
      <c r="P346" s="43">
        <f t="shared" si="68"/>
        <v>1.0424728487886383E-3</v>
      </c>
      <c r="Q346" s="43">
        <f t="shared" si="69"/>
        <v>0.12369246754103497</v>
      </c>
      <c r="R346" s="144" t="e">
        <f t="shared" si="70"/>
        <v>#N/A</v>
      </c>
      <c r="S346" s="147" t="e">
        <f t="shared" si="71"/>
        <v>#N/A</v>
      </c>
    </row>
    <row r="347" spans="1:19">
      <c r="A347" s="144">
        <v>12.2</v>
      </c>
      <c r="B347" s="43">
        <v>8.6599999999999993E-3</v>
      </c>
      <c r="C347" s="43">
        <v>1.3919299999999999</v>
      </c>
      <c r="D347" s="43">
        <v>9.7014800000000001</v>
      </c>
      <c r="E347" s="147">
        <v>1.2</v>
      </c>
      <c r="F347" s="43"/>
      <c r="G347" s="39"/>
      <c r="H347" s="144">
        <f t="shared" si="60"/>
        <v>12.2</v>
      </c>
      <c r="I347" s="43">
        <f t="shared" si="61"/>
        <v>1.5637092731829574E-2</v>
      </c>
      <c r="J347" s="43">
        <f t="shared" si="62"/>
        <v>1.3919299999999999</v>
      </c>
      <c r="K347" s="43">
        <f t="shared" si="63"/>
        <v>3.812377415311391E-4</v>
      </c>
      <c r="L347" s="43">
        <f t="shared" ca="1" si="64"/>
        <v>0</v>
      </c>
      <c r="M347" s="43">
        <f t="shared" ca="1" si="65"/>
        <v>97.781126261923788</v>
      </c>
      <c r="N347" s="43">
        <f t="shared" ca="1" si="66"/>
        <v>1.0419298513089797E-3</v>
      </c>
      <c r="O347" s="43">
        <f t="shared" si="67"/>
        <v>97.679298245614021</v>
      </c>
      <c r="P347" s="43">
        <f t="shared" si="68"/>
        <v>1.0424728487886383E-3</v>
      </c>
      <c r="Q347" s="43">
        <f t="shared" si="69"/>
        <v>0.12369246754103497</v>
      </c>
      <c r="R347" s="144" t="e">
        <f t="shared" si="70"/>
        <v>#N/A</v>
      </c>
      <c r="S347" s="147" t="e">
        <f t="shared" si="71"/>
        <v>#N/A</v>
      </c>
    </row>
    <row r="348" spans="1:19">
      <c r="A348" s="144">
        <v>12.2</v>
      </c>
      <c r="B348" s="43">
        <v>8.6599999999999993E-3</v>
      </c>
      <c r="C348" s="43">
        <v>1.3919299999999999</v>
      </c>
      <c r="D348" s="43">
        <v>9.7014800000000001</v>
      </c>
      <c r="E348" s="147">
        <v>1.2</v>
      </c>
      <c r="F348" s="43"/>
      <c r="G348" s="39"/>
      <c r="H348" s="144">
        <f t="shared" si="60"/>
        <v>12.2</v>
      </c>
      <c r="I348" s="43">
        <f t="shared" si="61"/>
        <v>1.5637092731829574E-2</v>
      </c>
      <c r="J348" s="43">
        <f t="shared" si="62"/>
        <v>1.3919299999999999</v>
      </c>
      <c r="K348" s="43">
        <f t="shared" si="63"/>
        <v>3.812377415311391E-4</v>
      </c>
      <c r="L348" s="43">
        <f t="shared" ca="1" si="64"/>
        <v>0</v>
      </c>
      <c r="M348" s="43">
        <f t="shared" ca="1" si="65"/>
        <v>97.781126261923788</v>
      </c>
      <c r="N348" s="43">
        <f t="shared" ca="1" si="66"/>
        <v>1.0419298513089797E-3</v>
      </c>
      <c r="O348" s="43">
        <f t="shared" si="67"/>
        <v>97.679298245614021</v>
      </c>
      <c r="P348" s="43">
        <f t="shared" si="68"/>
        <v>1.0424728487886383E-3</v>
      </c>
      <c r="Q348" s="43">
        <f t="shared" si="69"/>
        <v>0.12369246754103497</v>
      </c>
      <c r="R348" s="144" t="e">
        <f t="shared" si="70"/>
        <v>#N/A</v>
      </c>
      <c r="S348" s="147" t="e">
        <f t="shared" si="71"/>
        <v>#N/A</v>
      </c>
    </row>
    <row r="349" spans="1:19">
      <c r="A349" s="144">
        <v>12.2</v>
      </c>
      <c r="B349" s="43">
        <v>8.6599999999999993E-3</v>
      </c>
      <c r="C349" s="43">
        <v>1.3919299999999999</v>
      </c>
      <c r="D349" s="43">
        <v>9.7014800000000001</v>
      </c>
      <c r="E349" s="147">
        <v>1.2</v>
      </c>
      <c r="F349" s="43"/>
      <c r="G349" s="39"/>
      <c r="H349" s="144">
        <f t="shared" si="60"/>
        <v>12.2</v>
      </c>
      <c r="I349" s="43">
        <f t="shared" si="61"/>
        <v>1.5637092731829574E-2</v>
      </c>
      <c r="J349" s="43">
        <f t="shared" si="62"/>
        <v>1.3919299999999999</v>
      </c>
      <c r="K349" s="43">
        <f t="shared" si="63"/>
        <v>3.812377415311391E-4</v>
      </c>
      <c r="L349" s="43">
        <f t="shared" ca="1" si="64"/>
        <v>0</v>
      </c>
      <c r="M349" s="43">
        <f t="shared" ca="1" si="65"/>
        <v>97.781126261923788</v>
      </c>
      <c r="N349" s="43">
        <f t="shared" ca="1" si="66"/>
        <v>1.0419298513089797E-3</v>
      </c>
      <c r="O349" s="43">
        <f t="shared" si="67"/>
        <v>97.679298245614021</v>
      </c>
      <c r="P349" s="43">
        <f t="shared" si="68"/>
        <v>1.0424728487886383E-3</v>
      </c>
      <c r="Q349" s="43">
        <f t="shared" si="69"/>
        <v>0.12369246754103497</v>
      </c>
      <c r="R349" s="144" t="e">
        <f t="shared" si="70"/>
        <v>#N/A</v>
      </c>
      <c r="S349" s="147" t="e">
        <f t="shared" si="71"/>
        <v>#N/A</v>
      </c>
    </row>
    <row r="350" spans="1:19">
      <c r="A350" s="144">
        <v>12.2</v>
      </c>
      <c r="B350" s="43">
        <v>8.6599999999999993E-3</v>
      </c>
      <c r="C350" s="43">
        <v>1.3919299999999999</v>
      </c>
      <c r="D350" s="43">
        <v>9.7014800000000001</v>
      </c>
      <c r="E350" s="147">
        <v>1.2</v>
      </c>
      <c r="F350" s="43"/>
      <c r="G350" s="39"/>
      <c r="H350" s="144">
        <f t="shared" si="60"/>
        <v>12.2</v>
      </c>
      <c r="I350" s="43">
        <f t="shared" si="61"/>
        <v>1.5637092731829574E-2</v>
      </c>
      <c r="J350" s="43">
        <f t="shared" si="62"/>
        <v>1.3919299999999999</v>
      </c>
      <c r="K350" s="43">
        <f t="shared" si="63"/>
        <v>3.812377415311391E-4</v>
      </c>
      <c r="L350" s="43">
        <f t="shared" ca="1" si="64"/>
        <v>0</v>
      </c>
      <c r="M350" s="43">
        <f t="shared" ca="1" si="65"/>
        <v>97.781126261923788</v>
      </c>
      <c r="N350" s="43">
        <f t="shared" ca="1" si="66"/>
        <v>1.0419298513089797E-3</v>
      </c>
      <c r="O350" s="43">
        <f t="shared" si="67"/>
        <v>97.679298245614021</v>
      </c>
      <c r="P350" s="43">
        <f t="shared" si="68"/>
        <v>1.0424728487886383E-3</v>
      </c>
      <c r="Q350" s="43">
        <f t="shared" si="69"/>
        <v>0.12369246754103497</v>
      </c>
      <c r="R350" s="144" t="e">
        <f t="shared" si="70"/>
        <v>#N/A</v>
      </c>
      <c r="S350" s="147" t="e">
        <f t="shared" si="71"/>
        <v>#N/A</v>
      </c>
    </row>
    <row r="351" spans="1:19">
      <c r="A351" s="144">
        <v>12.2</v>
      </c>
      <c r="B351" s="43">
        <v>8.6599999999999993E-3</v>
      </c>
      <c r="C351" s="43">
        <v>1.3919299999999999</v>
      </c>
      <c r="D351" s="43">
        <v>9.7014800000000001</v>
      </c>
      <c r="E351" s="147">
        <v>1.2</v>
      </c>
      <c r="F351" s="43"/>
      <c r="G351" s="39"/>
      <c r="H351" s="144">
        <f t="shared" si="60"/>
        <v>12.2</v>
      </c>
      <c r="I351" s="43">
        <f t="shared" si="61"/>
        <v>1.5637092731829574E-2</v>
      </c>
      <c r="J351" s="43">
        <f t="shared" si="62"/>
        <v>1.3919299999999999</v>
      </c>
      <c r="K351" s="43">
        <f t="shared" si="63"/>
        <v>3.812377415311391E-4</v>
      </c>
      <c r="L351" s="43">
        <f t="shared" ca="1" si="64"/>
        <v>0</v>
      </c>
      <c r="M351" s="43">
        <f t="shared" ca="1" si="65"/>
        <v>97.781126261923788</v>
      </c>
      <c r="N351" s="43">
        <f t="shared" ca="1" si="66"/>
        <v>1.0419298513089797E-3</v>
      </c>
      <c r="O351" s="43">
        <f t="shared" si="67"/>
        <v>97.679298245614021</v>
      </c>
      <c r="P351" s="43">
        <f t="shared" si="68"/>
        <v>1.0424728487886383E-3</v>
      </c>
      <c r="Q351" s="43">
        <f t="shared" si="69"/>
        <v>0.12369246754103497</v>
      </c>
      <c r="R351" s="144" t="e">
        <f t="shared" si="70"/>
        <v>#N/A</v>
      </c>
      <c r="S351" s="147" t="e">
        <f t="shared" si="71"/>
        <v>#N/A</v>
      </c>
    </row>
    <row r="352" spans="1:19">
      <c r="A352" s="144">
        <v>12.2</v>
      </c>
      <c r="B352" s="43">
        <v>8.6599999999999993E-3</v>
      </c>
      <c r="C352" s="43">
        <v>1.3919299999999999</v>
      </c>
      <c r="D352" s="43">
        <v>9.7014800000000001</v>
      </c>
      <c r="E352" s="147">
        <v>1.2</v>
      </c>
      <c r="F352" s="43"/>
      <c r="G352" s="39"/>
      <c r="H352" s="144">
        <f t="shared" si="60"/>
        <v>12.2</v>
      </c>
      <c r="I352" s="43">
        <f t="shared" si="61"/>
        <v>1.5637092731829574E-2</v>
      </c>
      <c r="J352" s="43">
        <f t="shared" si="62"/>
        <v>1.3919299999999999</v>
      </c>
      <c r="K352" s="43">
        <f t="shared" si="63"/>
        <v>3.812377415311391E-4</v>
      </c>
      <c r="L352" s="43">
        <f t="shared" ca="1" si="64"/>
        <v>0</v>
      </c>
      <c r="M352" s="43">
        <f t="shared" ca="1" si="65"/>
        <v>97.781126261923788</v>
      </c>
      <c r="N352" s="43">
        <f t="shared" ca="1" si="66"/>
        <v>1.0419298513089797E-3</v>
      </c>
      <c r="O352" s="43">
        <f t="shared" si="67"/>
        <v>97.679298245614021</v>
      </c>
      <c r="P352" s="43">
        <f t="shared" si="68"/>
        <v>1.0424728487886383E-3</v>
      </c>
      <c r="Q352" s="43">
        <f t="shared" si="69"/>
        <v>0.12369246754103497</v>
      </c>
      <c r="R352" s="144" t="e">
        <f t="shared" si="70"/>
        <v>#N/A</v>
      </c>
      <c r="S352" s="147" t="e">
        <f t="shared" si="71"/>
        <v>#N/A</v>
      </c>
    </row>
    <row r="353" spans="1:19">
      <c r="A353" s="144">
        <v>12.2</v>
      </c>
      <c r="B353" s="43">
        <v>8.6599999999999993E-3</v>
      </c>
      <c r="C353" s="43">
        <v>1.3919299999999999</v>
      </c>
      <c r="D353" s="43">
        <v>9.7014800000000001</v>
      </c>
      <c r="E353" s="147">
        <v>1.2</v>
      </c>
      <c r="F353" s="43"/>
      <c r="G353" s="39"/>
      <c r="H353" s="144">
        <f t="shared" si="60"/>
        <v>12.2</v>
      </c>
      <c r="I353" s="43">
        <f t="shared" si="61"/>
        <v>1.5637092731829574E-2</v>
      </c>
      <c r="J353" s="43">
        <f t="shared" si="62"/>
        <v>1.3919299999999999</v>
      </c>
      <c r="K353" s="43">
        <f t="shared" si="63"/>
        <v>3.812377415311391E-4</v>
      </c>
      <c r="L353" s="43">
        <f t="shared" ca="1" si="64"/>
        <v>0</v>
      </c>
      <c r="M353" s="43">
        <f t="shared" ca="1" si="65"/>
        <v>97.781126261923788</v>
      </c>
      <c r="N353" s="43">
        <f t="shared" ca="1" si="66"/>
        <v>1.0419298513089797E-3</v>
      </c>
      <c r="O353" s="43">
        <f t="shared" si="67"/>
        <v>97.679298245614021</v>
      </c>
      <c r="P353" s="43">
        <f t="shared" si="68"/>
        <v>1.0424728487886383E-3</v>
      </c>
      <c r="Q353" s="43">
        <f t="shared" si="69"/>
        <v>0.12369246754103497</v>
      </c>
      <c r="R353" s="144" t="e">
        <f t="shared" si="70"/>
        <v>#N/A</v>
      </c>
      <c r="S353" s="147" t="e">
        <f t="shared" si="71"/>
        <v>#N/A</v>
      </c>
    </row>
    <row r="354" spans="1:19">
      <c r="A354" s="144">
        <v>12.2</v>
      </c>
      <c r="B354" s="43">
        <v>8.6599999999999993E-3</v>
      </c>
      <c r="C354" s="43">
        <v>1.3919299999999999</v>
      </c>
      <c r="D354" s="43">
        <v>9.7014800000000001</v>
      </c>
      <c r="E354" s="147">
        <v>1.2</v>
      </c>
      <c r="F354" s="43"/>
      <c r="G354" s="39"/>
      <c r="H354" s="144">
        <f t="shared" si="60"/>
        <v>12.2</v>
      </c>
      <c r="I354" s="43">
        <f t="shared" si="61"/>
        <v>1.5637092731829574E-2</v>
      </c>
      <c r="J354" s="43">
        <f t="shared" si="62"/>
        <v>1.3919299999999999</v>
      </c>
      <c r="K354" s="43">
        <f t="shared" si="63"/>
        <v>3.812377415311391E-4</v>
      </c>
      <c r="L354" s="43">
        <f t="shared" ca="1" si="64"/>
        <v>0</v>
      </c>
      <c r="M354" s="43">
        <f t="shared" ca="1" si="65"/>
        <v>97.781126261923788</v>
      </c>
      <c r="N354" s="43">
        <f t="shared" ca="1" si="66"/>
        <v>1.0419298513089797E-3</v>
      </c>
      <c r="O354" s="43">
        <f t="shared" si="67"/>
        <v>97.679298245614021</v>
      </c>
      <c r="P354" s="43">
        <f t="shared" si="68"/>
        <v>1.0424728487886383E-3</v>
      </c>
      <c r="Q354" s="43">
        <f t="shared" si="69"/>
        <v>0.12369246754103497</v>
      </c>
      <c r="R354" s="144" t="e">
        <f t="shared" si="70"/>
        <v>#N/A</v>
      </c>
      <c r="S354" s="147" t="e">
        <f t="shared" si="71"/>
        <v>#N/A</v>
      </c>
    </row>
    <row r="355" spans="1:19">
      <c r="A355" s="144">
        <v>12.2</v>
      </c>
      <c r="B355" s="43">
        <v>8.6599999999999993E-3</v>
      </c>
      <c r="C355" s="43">
        <v>1.3919299999999999</v>
      </c>
      <c r="D355" s="43">
        <v>9.7014800000000001</v>
      </c>
      <c r="E355" s="147">
        <v>1.2</v>
      </c>
      <c r="F355" s="43"/>
      <c r="G355" s="39"/>
      <c r="H355" s="144">
        <f t="shared" si="60"/>
        <v>12.2</v>
      </c>
      <c r="I355" s="43">
        <f t="shared" si="61"/>
        <v>1.5637092731829574E-2</v>
      </c>
      <c r="J355" s="43">
        <f t="shared" si="62"/>
        <v>1.3919299999999999</v>
      </c>
      <c r="K355" s="43">
        <f t="shared" si="63"/>
        <v>3.812377415311391E-4</v>
      </c>
      <c r="L355" s="43">
        <f t="shared" ca="1" si="64"/>
        <v>0</v>
      </c>
      <c r="M355" s="43">
        <f t="shared" ca="1" si="65"/>
        <v>97.781126261923788</v>
      </c>
      <c r="N355" s="43">
        <f t="shared" ca="1" si="66"/>
        <v>1.0419298513089797E-3</v>
      </c>
      <c r="O355" s="43">
        <f t="shared" si="67"/>
        <v>97.679298245614021</v>
      </c>
      <c r="P355" s="43">
        <f t="shared" si="68"/>
        <v>1.0424728487886383E-3</v>
      </c>
      <c r="Q355" s="43">
        <f t="shared" si="69"/>
        <v>0.12369246754103497</v>
      </c>
      <c r="R355" s="144" t="e">
        <f t="shared" si="70"/>
        <v>#N/A</v>
      </c>
      <c r="S355" s="147" t="e">
        <f t="shared" si="71"/>
        <v>#N/A</v>
      </c>
    </row>
    <row r="356" spans="1:19">
      <c r="A356" s="144">
        <v>12.2</v>
      </c>
      <c r="B356" s="43">
        <v>8.6599999999999993E-3</v>
      </c>
      <c r="C356" s="43">
        <v>1.3919299999999999</v>
      </c>
      <c r="D356" s="43">
        <v>9.7014800000000001</v>
      </c>
      <c r="E356" s="147">
        <v>1.2</v>
      </c>
      <c r="F356" s="43"/>
      <c r="G356" s="39"/>
      <c r="H356" s="144">
        <f t="shared" si="60"/>
        <v>12.2</v>
      </c>
      <c r="I356" s="43">
        <f t="shared" si="61"/>
        <v>1.5637092731829574E-2</v>
      </c>
      <c r="J356" s="43">
        <f t="shared" si="62"/>
        <v>1.3919299999999999</v>
      </c>
      <c r="K356" s="43">
        <f t="shared" si="63"/>
        <v>3.812377415311391E-4</v>
      </c>
      <c r="L356" s="43">
        <f t="shared" ca="1" si="64"/>
        <v>0</v>
      </c>
      <c r="M356" s="43">
        <f t="shared" ca="1" si="65"/>
        <v>97.781126261923788</v>
      </c>
      <c r="N356" s="43">
        <f t="shared" ca="1" si="66"/>
        <v>1.0419298513089797E-3</v>
      </c>
      <c r="O356" s="43">
        <f t="shared" si="67"/>
        <v>97.679298245614021</v>
      </c>
      <c r="P356" s="43">
        <f t="shared" si="68"/>
        <v>1.0424728487886383E-3</v>
      </c>
      <c r="Q356" s="43">
        <f t="shared" si="69"/>
        <v>0.12369246754103497</v>
      </c>
      <c r="R356" s="144" t="e">
        <f t="shared" si="70"/>
        <v>#N/A</v>
      </c>
      <c r="S356" s="147" t="e">
        <f t="shared" si="71"/>
        <v>#N/A</v>
      </c>
    </row>
    <row r="357" spans="1:19">
      <c r="A357" s="144">
        <v>12.2</v>
      </c>
      <c r="B357" s="43">
        <v>8.6599999999999993E-3</v>
      </c>
      <c r="C357" s="43">
        <v>1.3919299999999999</v>
      </c>
      <c r="D357" s="43">
        <v>9.7014800000000001</v>
      </c>
      <c r="E357" s="147">
        <v>1.2</v>
      </c>
      <c r="F357" s="43"/>
      <c r="G357" s="39"/>
      <c r="H357" s="144">
        <f t="shared" si="60"/>
        <v>12.2</v>
      </c>
      <c r="I357" s="43">
        <f t="shared" si="61"/>
        <v>1.5637092731829574E-2</v>
      </c>
      <c r="J357" s="43">
        <f t="shared" si="62"/>
        <v>1.3919299999999999</v>
      </c>
      <c r="K357" s="43">
        <f t="shared" si="63"/>
        <v>3.812377415311391E-4</v>
      </c>
      <c r="L357" s="43">
        <f t="shared" ca="1" si="64"/>
        <v>0</v>
      </c>
      <c r="M357" s="43">
        <f t="shared" ca="1" si="65"/>
        <v>97.781126261923788</v>
      </c>
      <c r="N357" s="43">
        <f t="shared" ca="1" si="66"/>
        <v>1.0419298513089797E-3</v>
      </c>
      <c r="O357" s="43">
        <f t="shared" si="67"/>
        <v>97.679298245614021</v>
      </c>
      <c r="P357" s="43">
        <f t="shared" si="68"/>
        <v>1.0424728487886383E-3</v>
      </c>
      <c r="Q357" s="43">
        <f t="shared" si="69"/>
        <v>0.12369246754103497</v>
      </c>
      <c r="R357" s="144" t="e">
        <f t="shared" si="70"/>
        <v>#N/A</v>
      </c>
      <c r="S357" s="147" t="e">
        <f t="shared" si="71"/>
        <v>#N/A</v>
      </c>
    </row>
    <row r="358" spans="1:19">
      <c r="A358" s="144">
        <v>12.2</v>
      </c>
      <c r="B358" s="43">
        <v>8.6599999999999993E-3</v>
      </c>
      <c r="C358" s="43">
        <v>1.3919299999999999</v>
      </c>
      <c r="D358" s="43">
        <v>9.7014800000000001</v>
      </c>
      <c r="E358" s="147">
        <v>1.2</v>
      </c>
      <c r="F358" s="43"/>
      <c r="G358" s="39"/>
      <c r="H358" s="144">
        <f t="shared" si="60"/>
        <v>12.2</v>
      </c>
      <c r="I358" s="43">
        <f t="shared" si="61"/>
        <v>1.5637092731829574E-2</v>
      </c>
      <c r="J358" s="43">
        <f t="shared" si="62"/>
        <v>1.3919299999999999</v>
      </c>
      <c r="K358" s="43">
        <f t="shared" si="63"/>
        <v>3.812377415311391E-4</v>
      </c>
      <c r="L358" s="43">
        <f t="shared" ca="1" si="64"/>
        <v>0</v>
      </c>
      <c r="M358" s="43">
        <f t="shared" ca="1" si="65"/>
        <v>97.781126261923788</v>
      </c>
      <c r="N358" s="43">
        <f t="shared" ca="1" si="66"/>
        <v>1.0419298513089797E-3</v>
      </c>
      <c r="O358" s="43">
        <f t="shared" si="67"/>
        <v>97.679298245614021</v>
      </c>
      <c r="P358" s="43">
        <f t="shared" si="68"/>
        <v>1.0424728487886383E-3</v>
      </c>
      <c r="Q358" s="43">
        <f t="shared" si="69"/>
        <v>0.12369246754103497</v>
      </c>
      <c r="R358" s="144" t="e">
        <f t="shared" si="70"/>
        <v>#N/A</v>
      </c>
      <c r="S358" s="147" t="e">
        <f t="shared" si="71"/>
        <v>#N/A</v>
      </c>
    </row>
    <row r="359" spans="1:19">
      <c r="A359" s="144">
        <v>12.2</v>
      </c>
      <c r="B359" s="43">
        <v>8.6599999999999993E-3</v>
      </c>
      <c r="C359" s="43">
        <v>1.3919299999999999</v>
      </c>
      <c r="D359" s="43">
        <v>9.7014800000000001</v>
      </c>
      <c r="E359" s="147">
        <v>1.2</v>
      </c>
      <c r="F359" s="43"/>
      <c r="G359" s="39"/>
      <c r="H359" s="144">
        <f t="shared" si="60"/>
        <v>12.2</v>
      </c>
      <c r="I359" s="43">
        <f t="shared" si="61"/>
        <v>1.5637092731829574E-2</v>
      </c>
      <c r="J359" s="43">
        <f t="shared" si="62"/>
        <v>1.3919299999999999</v>
      </c>
      <c r="K359" s="43">
        <f t="shared" si="63"/>
        <v>3.812377415311391E-4</v>
      </c>
      <c r="L359" s="43">
        <f t="shared" ca="1" si="64"/>
        <v>0</v>
      </c>
      <c r="M359" s="43">
        <f t="shared" ca="1" si="65"/>
        <v>97.781126261923788</v>
      </c>
      <c r="N359" s="43">
        <f t="shared" ca="1" si="66"/>
        <v>1.0419298513089797E-3</v>
      </c>
      <c r="O359" s="43">
        <f t="shared" si="67"/>
        <v>97.679298245614021</v>
      </c>
      <c r="P359" s="43">
        <f t="shared" si="68"/>
        <v>1.0424728487886383E-3</v>
      </c>
      <c r="Q359" s="43">
        <f t="shared" si="69"/>
        <v>0.12369246754103497</v>
      </c>
      <c r="R359" s="144" t="e">
        <f t="shared" si="70"/>
        <v>#N/A</v>
      </c>
      <c r="S359" s="147" t="e">
        <f t="shared" si="71"/>
        <v>#N/A</v>
      </c>
    </row>
    <row r="360" spans="1:19">
      <c r="A360" s="144">
        <v>12.2</v>
      </c>
      <c r="B360" s="43">
        <v>8.6599999999999993E-3</v>
      </c>
      <c r="C360" s="43">
        <v>1.3919299999999999</v>
      </c>
      <c r="D360" s="43">
        <v>9.7014800000000001</v>
      </c>
      <c r="E360" s="147">
        <v>1.2</v>
      </c>
      <c r="F360" s="43"/>
      <c r="G360" s="39"/>
      <c r="H360" s="144">
        <f t="shared" si="60"/>
        <v>12.2</v>
      </c>
      <c r="I360" s="43">
        <f t="shared" si="61"/>
        <v>1.5637092731829574E-2</v>
      </c>
      <c r="J360" s="43">
        <f t="shared" si="62"/>
        <v>1.3919299999999999</v>
      </c>
      <c r="K360" s="43">
        <f t="shared" si="63"/>
        <v>3.812377415311391E-4</v>
      </c>
      <c r="L360" s="43">
        <f t="shared" ca="1" si="64"/>
        <v>0</v>
      </c>
      <c r="M360" s="43">
        <f t="shared" ca="1" si="65"/>
        <v>97.781126261923788</v>
      </c>
      <c r="N360" s="43">
        <f t="shared" ca="1" si="66"/>
        <v>1.0419298513089797E-3</v>
      </c>
      <c r="O360" s="43">
        <f t="shared" si="67"/>
        <v>97.679298245614021</v>
      </c>
      <c r="P360" s="43">
        <f t="shared" si="68"/>
        <v>1.0424728487886383E-3</v>
      </c>
      <c r="Q360" s="43">
        <f t="shared" si="69"/>
        <v>0.12369246754103497</v>
      </c>
      <c r="R360" s="144" t="e">
        <f t="shared" si="70"/>
        <v>#N/A</v>
      </c>
      <c r="S360" s="147" t="e">
        <f t="shared" si="71"/>
        <v>#N/A</v>
      </c>
    </row>
    <row r="361" spans="1:19">
      <c r="A361" s="144">
        <v>12.2</v>
      </c>
      <c r="B361" s="43">
        <v>8.6599999999999993E-3</v>
      </c>
      <c r="C361" s="43">
        <v>1.3919299999999999</v>
      </c>
      <c r="D361" s="43">
        <v>9.7014800000000001</v>
      </c>
      <c r="E361" s="147">
        <v>1.2</v>
      </c>
      <c r="F361" s="43"/>
      <c r="G361" s="39"/>
      <c r="H361" s="144">
        <f t="shared" si="60"/>
        <v>12.2</v>
      </c>
      <c r="I361" s="43">
        <f t="shared" si="61"/>
        <v>1.5637092731829574E-2</v>
      </c>
      <c r="J361" s="43">
        <f t="shared" si="62"/>
        <v>1.3919299999999999</v>
      </c>
      <c r="K361" s="43">
        <f t="shared" si="63"/>
        <v>3.812377415311391E-4</v>
      </c>
      <c r="L361" s="43">
        <f t="shared" ca="1" si="64"/>
        <v>0</v>
      </c>
      <c r="M361" s="43">
        <f t="shared" ca="1" si="65"/>
        <v>97.781126261923788</v>
      </c>
      <c r="N361" s="43">
        <f t="shared" ca="1" si="66"/>
        <v>1.0419298513089797E-3</v>
      </c>
      <c r="O361" s="43">
        <f t="shared" si="67"/>
        <v>97.679298245614021</v>
      </c>
      <c r="P361" s="43">
        <f t="shared" si="68"/>
        <v>1.0424728487886383E-3</v>
      </c>
      <c r="Q361" s="43">
        <f t="shared" si="69"/>
        <v>0.12369246754103497</v>
      </c>
      <c r="R361" s="144" t="e">
        <f t="shared" si="70"/>
        <v>#N/A</v>
      </c>
      <c r="S361" s="147" t="e">
        <f t="shared" si="71"/>
        <v>#N/A</v>
      </c>
    </row>
    <row r="362" spans="1:19">
      <c r="A362" s="144">
        <v>12.2</v>
      </c>
      <c r="B362" s="43">
        <v>8.6599999999999993E-3</v>
      </c>
      <c r="C362" s="43">
        <v>1.3919299999999999</v>
      </c>
      <c r="D362" s="43">
        <v>9.7014800000000001</v>
      </c>
      <c r="E362" s="147">
        <v>1.2</v>
      </c>
      <c r="F362" s="43"/>
      <c r="G362" s="39"/>
      <c r="H362" s="144">
        <f t="shared" si="60"/>
        <v>12.2</v>
      </c>
      <c r="I362" s="43">
        <f t="shared" si="61"/>
        <v>1.5637092731829574E-2</v>
      </c>
      <c r="J362" s="43">
        <f t="shared" si="62"/>
        <v>1.3919299999999999</v>
      </c>
      <c r="K362" s="43">
        <f t="shared" si="63"/>
        <v>3.812377415311391E-4</v>
      </c>
      <c r="L362" s="43">
        <f t="shared" ca="1" si="64"/>
        <v>0</v>
      </c>
      <c r="M362" s="43">
        <f t="shared" ca="1" si="65"/>
        <v>97.781126261923788</v>
      </c>
      <c r="N362" s="43">
        <f t="shared" ca="1" si="66"/>
        <v>1.0419298513089797E-3</v>
      </c>
      <c r="O362" s="43">
        <f t="shared" si="67"/>
        <v>97.679298245614021</v>
      </c>
      <c r="P362" s="43">
        <f t="shared" si="68"/>
        <v>1.0424728487886383E-3</v>
      </c>
      <c r="Q362" s="43">
        <f t="shared" si="69"/>
        <v>0.12369246754103497</v>
      </c>
      <c r="R362" s="144" t="e">
        <f t="shared" si="70"/>
        <v>#N/A</v>
      </c>
      <c r="S362" s="147" t="e">
        <f t="shared" si="71"/>
        <v>#N/A</v>
      </c>
    </row>
    <row r="363" spans="1:19">
      <c r="A363" s="144">
        <v>12.2</v>
      </c>
      <c r="B363" s="43">
        <v>8.6599999999999993E-3</v>
      </c>
      <c r="C363" s="43">
        <v>1.3919299999999999</v>
      </c>
      <c r="D363" s="43">
        <v>9.7014800000000001</v>
      </c>
      <c r="E363" s="147">
        <v>1.2</v>
      </c>
      <c r="F363" s="43"/>
      <c r="G363" s="39"/>
      <c r="H363" s="144">
        <f t="shared" si="60"/>
        <v>12.2</v>
      </c>
      <c r="I363" s="43">
        <f t="shared" si="61"/>
        <v>1.5637092731829574E-2</v>
      </c>
      <c r="J363" s="43">
        <f t="shared" si="62"/>
        <v>1.3919299999999999</v>
      </c>
      <c r="K363" s="43">
        <f t="shared" si="63"/>
        <v>3.812377415311391E-4</v>
      </c>
      <c r="L363" s="43">
        <f t="shared" ca="1" si="64"/>
        <v>0</v>
      </c>
      <c r="M363" s="43">
        <f t="shared" ca="1" si="65"/>
        <v>97.781126261923788</v>
      </c>
      <c r="N363" s="43">
        <f t="shared" ca="1" si="66"/>
        <v>1.0419298513089797E-3</v>
      </c>
      <c r="O363" s="43">
        <f t="shared" si="67"/>
        <v>97.679298245614021</v>
      </c>
      <c r="P363" s="43">
        <f t="shared" si="68"/>
        <v>1.0424728487886383E-3</v>
      </c>
      <c r="Q363" s="43">
        <f t="shared" si="69"/>
        <v>0.12369246754103497</v>
      </c>
      <c r="R363" s="144" t="e">
        <f t="shared" si="70"/>
        <v>#N/A</v>
      </c>
      <c r="S363" s="147" t="e">
        <f t="shared" si="71"/>
        <v>#N/A</v>
      </c>
    </row>
    <row r="364" spans="1:19">
      <c r="A364" s="144">
        <v>12.2</v>
      </c>
      <c r="B364" s="43">
        <v>8.6599999999999993E-3</v>
      </c>
      <c r="C364" s="43">
        <v>1.3919299999999999</v>
      </c>
      <c r="D364" s="43">
        <v>9.7014800000000001</v>
      </c>
      <c r="E364" s="147">
        <v>1.2</v>
      </c>
      <c r="F364" s="43"/>
      <c r="G364" s="39"/>
      <c r="H364" s="144">
        <f t="shared" si="60"/>
        <v>12.2</v>
      </c>
      <c r="I364" s="43">
        <f t="shared" si="61"/>
        <v>1.5637092731829574E-2</v>
      </c>
      <c r="J364" s="43">
        <f t="shared" si="62"/>
        <v>1.3919299999999999</v>
      </c>
      <c r="K364" s="43">
        <f t="shared" si="63"/>
        <v>3.812377415311391E-4</v>
      </c>
      <c r="L364" s="43">
        <f t="shared" ca="1" si="64"/>
        <v>0</v>
      </c>
      <c r="M364" s="43">
        <f t="shared" ca="1" si="65"/>
        <v>97.781126261923788</v>
      </c>
      <c r="N364" s="43">
        <f t="shared" ca="1" si="66"/>
        <v>1.0419298513089797E-3</v>
      </c>
      <c r="O364" s="43">
        <f t="shared" si="67"/>
        <v>97.679298245614021</v>
      </c>
      <c r="P364" s="43">
        <f t="shared" si="68"/>
        <v>1.0424728487886383E-3</v>
      </c>
      <c r="Q364" s="43">
        <f t="shared" si="69"/>
        <v>0.12369246754103497</v>
      </c>
      <c r="R364" s="144" t="e">
        <f t="shared" si="70"/>
        <v>#N/A</v>
      </c>
      <c r="S364" s="147" t="e">
        <f t="shared" si="71"/>
        <v>#N/A</v>
      </c>
    </row>
    <row r="365" spans="1:19">
      <c r="A365" s="144">
        <v>12.2</v>
      </c>
      <c r="B365" s="43">
        <v>8.6599999999999993E-3</v>
      </c>
      <c r="C365" s="43">
        <v>1.3919299999999999</v>
      </c>
      <c r="D365" s="43">
        <v>9.7014800000000001</v>
      </c>
      <c r="E365" s="147">
        <v>1.2</v>
      </c>
      <c r="F365" s="43"/>
      <c r="G365" s="39"/>
      <c r="H365" s="144">
        <f t="shared" si="60"/>
        <v>12.2</v>
      </c>
      <c r="I365" s="43">
        <f t="shared" si="61"/>
        <v>1.5637092731829574E-2</v>
      </c>
      <c r="J365" s="43">
        <f t="shared" si="62"/>
        <v>1.3919299999999999</v>
      </c>
      <c r="K365" s="43">
        <f t="shared" si="63"/>
        <v>3.812377415311391E-4</v>
      </c>
      <c r="L365" s="43">
        <f t="shared" ca="1" si="64"/>
        <v>0</v>
      </c>
      <c r="M365" s="43">
        <f t="shared" ca="1" si="65"/>
        <v>97.781126261923788</v>
      </c>
      <c r="N365" s="43">
        <f t="shared" ca="1" si="66"/>
        <v>1.0419298513089797E-3</v>
      </c>
      <c r="O365" s="43">
        <f t="shared" si="67"/>
        <v>97.679298245614021</v>
      </c>
      <c r="P365" s="43">
        <f t="shared" si="68"/>
        <v>1.0424728487886383E-3</v>
      </c>
      <c r="Q365" s="43">
        <f t="shared" si="69"/>
        <v>0.12369246754103497</v>
      </c>
      <c r="R365" s="144" t="e">
        <f t="shared" si="70"/>
        <v>#N/A</v>
      </c>
      <c r="S365" s="147" t="e">
        <f t="shared" si="71"/>
        <v>#N/A</v>
      </c>
    </row>
    <row r="366" spans="1:19">
      <c r="A366" s="144">
        <v>12.2</v>
      </c>
      <c r="B366" s="43">
        <v>8.6599999999999993E-3</v>
      </c>
      <c r="C366" s="43">
        <v>1.3919299999999999</v>
      </c>
      <c r="D366" s="43">
        <v>9.7014800000000001</v>
      </c>
      <c r="E366" s="147">
        <v>1.2</v>
      </c>
      <c r="F366" s="43"/>
      <c r="G366" s="39"/>
      <c r="H366" s="144">
        <f t="shared" si="60"/>
        <v>12.2</v>
      </c>
      <c r="I366" s="43">
        <f t="shared" si="61"/>
        <v>1.5637092731829574E-2</v>
      </c>
      <c r="J366" s="43">
        <f t="shared" si="62"/>
        <v>1.3919299999999999</v>
      </c>
      <c r="K366" s="43">
        <f t="shared" si="63"/>
        <v>3.812377415311391E-4</v>
      </c>
      <c r="L366" s="43">
        <f t="shared" ca="1" si="64"/>
        <v>0</v>
      </c>
      <c r="M366" s="43">
        <f t="shared" ca="1" si="65"/>
        <v>97.781126261923788</v>
      </c>
      <c r="N366" s="43">
        <f t="shared" ca="1" si="66"/>
        <v>1.0419298513089797E-3</v>
      </c>
      <c r="O366" s="43">
        <f t="shared" si="67"/>
        <v>97.679298245614021</v>
      </c>
      <c r="P366" s="43">
        <f t="shared" si="68"/>
        <v>1.0424728487886383E-3</v>
      </c>
      <c r="Q366" s="43">
        <f t="shared" si="69"/>
        <v>0.12369246754103497</v>
      </c>
      <c r="R366" s="144" t="e">
        <f t="shared" si="70"/>
        <v>#N/A</v>
      </c>
      <c r="S366" s="147" t="e">
        <f t="shared" si="71"/>
        <v>#N/A</v>
      </c>
    </row>
    <row r="367" spans="1:19">
      <c r="A367" s="144">
        <v>12.2</v>
      </c>
      <c r="B367" s="43">
        <v>8.6599999999999993E-3</v>
      </c>
      <c r="C367" s="43">
        <v>1.3919299999999999</v>
      </c>
      <c r="D367" s="43">
        <v>9.7014800000000001</v>
      </c>
      <c r="E367" s="147">
        <v>1.2</v>
      </c>
      <c r="F367" s="43"/>
      <c r="G367" s="39"/>
      <c r="H367" s="144">
        <f t="shared" si="60"/>
        <v>12.2</v>
      </c>
      <c r="I367" s="43">
        <f t="shared" si="61"/>
        <v>1.5637092731829574E-2</v>
      </c>
      <c r="J367" s="43">
        <f t="shared" si="62"/>
        <v>1.3919299999999999</v>
      </c>
      <c r="K367" s="43">
        <f t="shared" si="63"/>
        <v>3.812377415311391E-4</v>
      </c>
      <c r="L367" s="43">
        <f t="shared" ca="1" si="64"/>
        <v>0</v>
      </c>
      <c r="M367" s="43">
        <f t="shared" ca="1" si="65"/>
        <v>97.781126261923788</v>
      </c>
      <c r="N367" s="43">
        <f t="shared" ca="1" si="66"/>
        <v>1.0419298513089797E-3</v>
      </c>
      <c r="O367" s="43">
        <f t="shared" si="67"/>
        <v>97.679298245614021</v>
      </c>
      <c r="P367" s="43">
        <f t="shared" si="68"/>
        <v>1.0424728487886383E-3</v>
      </c>
      <c r="Q367" s="43">
        <f t="shared" si="69"/>
        <v>0.12369246754103497</v>
      </c>
      <c r="R367" s="144" t="e">
        <f t="shared" si="70"/>
        <v>#N/A</v>
      </c>
      <c r="S367" s="147" t="e">
        <f t="shared" si="71"/>
        <v>#N/A</v>
      </c>
    </row>
    <row r="368" spans="1:19">
      <c r="A368" s="144">
        <v>12.2</v>
      </c>
      <c r="B368" s="43">
        <v>8.6599999999999993E-3</v>
      </c>
      <c r="C368" s="43">
        <v>1.3919299999999999</v>
      </c>
      <c r="D368" s="43">
        <v>9.7014800000000001</v>
      </c>
      <c r="E368" s="147">
        <v>1.2</v>
      </c>
      <c r="F368" s="43"/>
      <c r="G368" s="39"/>
      <c r="H368" s="144">
        <f t="shared" si="60"/>
        <v>12.2</v>
      </c>
      <c r="I368" s="43">
        <f t="shared" si="61"/>
        <v>1.5637092731829574E-2</v>
      </c>
      <c r="J368" s="43">
        <f t="shared" si="62"/>
        <v>1.3919299999999999</v>
      </c>
      <c r="K368" s="43">
        <f t="shared" si="63"/>
        <v>3.812377415311391E-4</v>
      </c>
      <c r="L368" s="43">
        <f t="shared" ca="1" si="64"/>
        <v>0</v>
      </c>
      <c r="M368" s="43">
        <f t="shared" ca="1" si="65"/>
        <v>97.781126261923788</v>
      </c>
      <c r="N368" s="43">
        <f t="shared" ca="1" si="66"/>
        <v>1.0419298513089797E-3</v>
      </c>
      <c r="O368" s="43">
        <f t="shared" si="67"/>
        <v>97.679298245614021</v>
      </c>
      <c r="P368" s="43">
        <f t="shared" si="68"/>
        <v>1.0424728487886383E-3</v>
      </c>
      <c r="Q368" s="43">
        <f t="shared" si="69"/>
        <v>0.12369246754103497</v>
      </c>
      <c r="R368" s="144" t="e">
        <f t="shared" si="70"/>
        <v>#N/A</v>
      </c>
      <c r="S368" s="147" t="e">
        <f t="shared" si="71"/>
        <v>#N/A</v>
      </c>
    </row>
    <row r="369" spans="1:19">
      <c r="A369" s="144">
        <v>12.2</v>
      </c>
      <c r="B369" s="43">
        <v>8.6599999999999993E-3</v>
      </c>
      <c r="C369" s="43">
        <v>1.3919299999999999</v>
      </c>
      <c r="D369" s="43">
        <v>9.7014800000000001</v>
      </c>
      <c r="E369" s="147">
        <v>1.2</v>
      </c>
      <c r="F369" s="43"/>
      <c r="G369" s="39"/>
      <c r="H369" s="144">
        <f t="shared" si="60"/>
        <v>12.2</v>
      </c>
      <c r="I369" s="43">
        <f t="shared" si="61"/>
        <v>1.5637092731829574E-2</v>
      </c>
      <c r="J369" s="43">
        <f t="shared" si="62"/>
        <v>1.3919299999999999</v>
      </c>
      <c r="K369" s="43">
        <f t="shared" si="63"/>
        <v>3.812377415311391E-4</v>
      </c>
      <c r="L369" s="43">
        <f t="shared" ca="1" si="64"/>
        <v>0</v>
      </c>
      <c r="M369" s="43">
        <f t="shared" ca="1" si="65"/>
        <v>97.781126261923788</v>
      </c>
      <c r="N369" s="43">
        <f t="shared" ca="1" si="66"/>
        <v>1.0419298513089797E-3</v>
      </c>
      <c r="O369" s="43">
        <f t="shared" si="67"/>
        <v>97.679298245614021</v>
      </c>
      <c r="P369" s="43">
        <f t="shared" si="68"/>
        <v>1.0424728487886383E-3</v>
      </c>
      <c r="Q369" s="43">
        <f t="shared" si="69"/>
        <v>0.12369246754103497</v>
      </c>
      <c r="R369" s="144" t="e">
        <f t="shared" si="70"/>
        <v>#N/A</v>
      </c>
      <c r="S369" s="147" t="e">
        <f t="shared" si="71"/>
        <v>#N/A</v>
      </c>
    </row>
    <row r="370" spans="1:19">
      <c r="A370" s="144">
        <v>12.2</v>
      </c>
      <c r="B370" s="43">
        <v>8.6599999999999993E-3</v>
      </c>
      <c r="C370" s="43">
        <v>1.3919299999999999</v>
      </c>
      <c r="D370" s="43">
        <v>9.7014800000000001</v>
      </c>
      <c r="E370" s="147">
        <v>1.2</v>
      </c>
      <c r="F370" s="43"/>
      <c r="G370" s="39"/>
      <c r="H370" s="144">
        <f t="shared" si="60"/>
        <v>12.2</v>
      </c>
      <c r="I370" s="43">
        <f t="shared" si="61"/>
        <v>1.5637092731829574E-2</v>
      </c>
      <c r="J370" s="43">
        <f t="shared" si="62"/>
        <v>1.3919299999999999</v>
      </c>
      <c r="K370" s="43">
        <f t="shared" si="63"/>
        <v>3.812377415311391E-4</v>
      </c>
      <c r="L370" s="43">
        <f t="shared" ca="1" si="64"/>
        <v>0</v>
      </c>
      <c r="M370" s="43">
        <f t="shared" ca="1" si="65"/>
        <v>97.781126261923788</v>
      </c>
      <c r="N370" s="43">
        <f t="shared" ca="1" si="66"/>
        <v>1.0419298513089797E-3</v>
      </c>
      <c r="O370" s="43">
        <f t="shared" si="67"/>
        <v>97.679298245614021</v>
      </c>
      <c r="P370" s="43">
        <f t="shared" si="68"/>
        <v>1.0424728487886383E-3</v>
      </c>
      <c r="Q370" s="43">
        <f t="shared" si="69"/>
        <v>0.12369246754103497</v>
      </c>
      <c r="R370" s="144" t="e">
        <f t="shared" si="70"/>
        <v>#N/A</v>
      </c>
      <c r="S370" s="147" t="e">
        <f t="shared" si="71"/>
        <v>#N/A</v>
      </c>
    </row>
    <row r="371" spans="1:19">
      <c r="A371" s="144">
        <v>12.2</v>
      </c>
      <c r="B371" s="43">
        <v>8.6599999999999993E-3</v>
      </c>
      <c r="C371" s="43">
        <v>1.3919299999999999</v>
      </c>
      <c r="D371" s="43">
        <v>9.7014800000000001</v>
      </c>
      <c r="E371" s="147">
        <v>1.2</v>
      </c>
      <c r="F371" s="43"/>
      <c r="G371" s="39"/>
      <c r="H371" s="144">
        <f t="shared" si="60"/>
        <v>12.2</v>
      </c>
      <c r="I371" s="43">
        <f t="shared" si="61"/>
        <v>1.5637092731829574E-2</v>
      </c>
      <c r="J371" s="43">
        <f t="shared" si="62"/>
        <v>1.3919299999999999</v>
      </c>
      <c r="K371" s="43">
        <f t="shared" si="63"/>
        <v>3.812377415311391E-4</v>
      </c>
      <c r="L371" s="43">
        <f t="shared" ca="1" si="64"/>
        <v>0</v>
      </c>
      <c r="M371" s="43">
        <f t="shared" ca="1" si="65"/>
        <v>97.781126261923788</v>
      </c>
      <c r="N371" s="43">
        <f t="shared" ca="1" si="66"/>
        <v>1.0419298513089797E-3</v>
      </c>
      <c r="O371" s="43">
        <f t="shared" si="67"/>
        <v>97.679298245614021</v>
      </c>
      <c r="P371" s="43">
        <f t="shared" si="68"/>
        <v>1.0424728487886383E-3</v>
      </c>
      <c r="Q371" s="43">
        <f t="shared" si="69"/>
        <v>0.12369246754103497</v>
      </c>
      <c r="R371" s="144" t="e">
        <f t="shared" si="70"/>
        <v>#N/A</v>
      </c>
      <c r="S371" s="147" t="e">
        <f t="shared" si="71"/>
        <v>#N/A</v>
      </c>
    </row>
    <row r="372" spans="1:19">
      <c r="A372" s="144">
        <v>12.2</v>
      </c>
      <c r="B372" s="43">
        <v>8.6599999999999993E-3</v>
      </c>
      <c r="C372" s="43">
        <v>1.3919299999999999</v>
      </c>
      <c r="D372" s="43">
        <v>9.7014800000000001</v>
      </c>
      <c r="E372" s="147">
        <v>1.2</v>
      </c>
      <c r="F372" s="43"/>
      <c r="G372" s="39"/>
      <c r="H372" s="144">
        <f t="shared" si="60"/>
        <v>12.2</v>
      </c>
      <c r="I372" s="43">
        <f t="shared" si="61"/>
        <v>1.5637092731829574E-2</v>
      </c>
      <c r="J372" s="43">
        <f t="shared" si="62"/>
        <v>1.3919299999999999</v>
      </c>
      <c r="K372" s="43">
        <f t="shared" si="63"/>
        <v>3.812377415311391E-4</v>
      </c>
      <c r="L372" s="43">
        <f t="shared" ca="1" si="64"/>
        <v>0</v>
      </c>
      <c r="M372" s="43">
        <f t="shared" ca="1" si="65"/>
        <v>97.781126261923788</v>
      </c>
      <c r="N372" s="43">
        <f t="shared" ca="1" si="66"/>
        <v>1.0419298513089797E-3</v>
      </c>
      <c r="O372" s="43">
        <f t="shared" si="67"/>
        <v>97.679298245614021</v>
      </c>
      <c r="P372" s="43">
        <f t="shared" si="68"/>
        <v>1.0424728487886383E-3</v>
      </c>
      <c r="Q372" s="43">
        <f t="shared" si="69"/>
        <v>0.12369246754103497</v>
      </c>
      <c r="R372" s="144" t="e">
        <f t="shared" si="70"/>
        <v>#N/A</v>
      </c>
      <c r="S372" s="147" t="e">
        <f t="shared" si="71"/>
        <v>#N/A</v>
      </c>
    </row>
    <row r="373" spans="1:19">
      <c r="A373" s="144">
        <v>12.2</v>
      </c>
      <c r="B373" s="43">
        <v>8.6599999999999993E-3</v>
      </c>
      <c r="C373" s="43">
        <v>1.3919299999999999</v>
      </c>
      <c r="D373" s="43">
        <v>9.7014800000000001</v>
      </c>
      <c r="E373" s="147">
        <v>1.2</v>
      </c>
      <c r="F373" s="43"/>
      <c r="G373" s="39"/>
      <c r="H373" s="144">
        <f t="shared" si="60"/>
        <v>12.2</v>
      </c>
      <c r="I373" s="43">
        <f t="shared" si="61"/>
        <v>1.5637092731829574E-2</v>
      </c>
      <c r="J373" s="43">
        <f t="shared" si="62"/>
        <v>1.3919299999999999</v>
      </c>
      <c r="K373" s="43">
        <f t="shared" si="63"/>
        <v>3.812377415311391E-4</v>
      </c>
      <c r="L373" s="43">
        <f t="shared" ca="1" si="64"/>
        <v>0</v>
      </c>
      <c r="M373" s="43">
        <f t="shared" ca="1" si="65"/>
        <v>97.781126261923788</v>
      </c>
      <c r="N373" s="43">
        <f t="shared" ca="1" si="66"/>
        <v>1.0419298513089797E-3</v>
      </c>
      <c r="O373" s="43">
        <f t="shared" si="67"/>
        <v>97.679298245614021</v>
      </c>
      <c r="P373" s="43">
        <f t="shared" si="68"/>
        <v>1.0424728487886383E-3</v>
      </c>
      <c r="Q373" s="43">
        <f t="shared" si="69"/>
        <v>0.12369246754103497</v>
      </c>
      <c r="R373" s="144" t="e">
        <f t="shared" si="70"/>
        <v>#N/A</v>
      </c>
      <c r="S373" s="147" t="e">
        <f t="shared" si="71"/>
        <v>#N/A</v>
      </c>
    </row>
    <row r="374" spans="1:19">
      <c r="A374" s="144">
        <v>12.2</v>
      </c>
      <c r="B374" s="43">
        <v>8.6599999999999993E-3</v>
      </c>
      <c r="C374" s="43">
        <v>1.3919299999999999</v>
      </c>
      <c r="D374" s="43">
        <v>9.7014800000000001</v>
      </c>
      <c r="E374" s="147">
        <v>1.2</v>
      </c>
      <c r="F374" s="43"/>
      <c r="G374" s="39"/>
      <c r="H374" s="144">
        <f t="shared" si="60"/>
        <v>12.2</v>
      </c>
      <c r="I374" s="43">
        <f t="shared" si="61"/>
        <v>1.5637092731829574E-2</v>
      </c>
      <c r="J374" s="43">
        <f t="shared" si="62"/>
        <v>1.3919299999999999</v>
      </c>
      <c r="K374" s="43">
        <f t="shared" si="63"/>
        <v>3.812377415311391E-4</v>
      </c>
      <c r="L374" s="43">
        <f t="shared" ca="1" si="64"/>
        <v>0</v>
      </c>
      <c r="M374" s="43">
        <f t="shared" ca="1" si="65"/>
        <v>97.781126261923788</v>
      </c>
      <c r="N374" s="43">
        <f t="shared" ca="1" si="66"/>
        <v>1.0419298513089797E-3</v>
      </c>
      <c r="O374" s="43">
        <f t="shared" si="67"/>
        <v>97.679298245614021</v>
      </c>
      <c r="P374" s="43">
        <f t="shared" si="68"/>
        <v>1.0424728487886383E-3</v>
      </c>
      <c r="Q374" s="43">
        <f t="shared" si="69"/>
        <v>0.12369246754103497</v>
      </c>
      <c r="R374" s="144" t="e">
        <f t="shared" si="70"/>
        <v>#N/A</v>
      </c>
      <c r="S374" s="147" t="e">
        <f t="shared" si="71"/>
        <v>#N/A</v>
      </c>
    </row>
    <row r="375" spans="1:19">
      <c r="A375" s="144">
        <v>12.2</v>
      </c>
      <c r="B375" s="43">
        <v>8.6599999999999993E-3</v>
      </c>
      <c r="C375" s="43">
        <v>1.3919299999999999</v>
      </c>
      <c r="D375" s="43">
        <v>9.7014800000000001</v>
      </c>
      <c r="E375" s="147">
        <v>1.2</v>
      </c>
      <c r="F375" s="43"/>
      <c r="G375" s="39"/>
      <c r="H375" s="144">
        <f t="shared" si="60"/>
        <v>12.2</v>
      </c>
      <c r="I375" s="43">
        <f t="shared" si="61"/>
        <v>1.5637092731829574E-2</v>
      </c>
      <c r="J375" s="43">
        <f t="shared" si="62"/>
        <v>1.3919299999999999</v>
      </c>
      <c r="K375" s="43">
        <f t="shared" si="63"/>
        <v>3.812377415311391E-4</v>
      </c>
      <c r="L375" s="43">
        <f t="shared" ca="1" si="64"/>
        <v>0</v>
      </c>
      <c r="M375" s="43">
        <f t="shared" ca="1" si="65"/>
        <v>97.781126261923788</v>
      </c>
      <c r="N375" s="43">
        <f t="shared" ca="1" si="66"/>
        <v>1.0419298513089797E-3</v>
      </c>
      <c r="O375" s="43">
        <f t="shared" si="67"/>
        <v>97.679298245614021</v>
      </c>
      <c r="P375" s="43">
        <f t="shared" si="68"/>
        <v>1.0424728487886383E-3</v>
      </c>
      <c r="Q375" s="43">
        <f t="shared" si="69"/>
        <v>0.12369246754103497</v>
      </c>
      <c r="R375" s="144" t="e">
        <f t="shared" si="70"/>
        <v>#N/A</v>
      </c>
      <c r="S375" s="147" t="e">
        <f t="shared" si="71"/>
        <v>#N/A</v>
      </c>
    </row>
    <row r="376" spans="1:19">
      <c r="A376" s="144">
        <v>12.2</v>
      </c>
      <c r="B376" s="43">
        <v>8.6599999999999993E-3</v>
      </c>
      <c r="C376" s="43">
        <v>1.3919299999999999</v>
      </c>
      <c r="D376" s="43">
        <v>9.7014800000000001</v>
      </c>
      <c r="E376" s="147">
        <v>1.2</v>
      </c>
      <c r="F376" s="43"/>
      <c r="G376" s="39"/>
      <c r="H376" s="144">
        <f t="shared" si="60"/>
        <v>12.2</v>
      </c>
      <c r="I376" s="43">
        <f t="shared" si="61"/>
        <v>1.5637092731829574E-2</v>
      </c>
      <c r="J376" s="43">
        <f t="shared" si="62"/>
        <v>1.3919299999999999</v>
      </c>
      <c r="K376" s="43">
        <f t="shared" si="63"/>
        <v>3.812377415311391E-4</v>
      </c>
      <c r="L376" s="43">
        <f t="shared" ca="1" si="64"/>
        <v>0</v>
      </c>
      <c r="M376" s="43">
        <f t="shared" ca="1" si="65"/>
        <v>97.781126261923788</v>
      </c>
      <c r="N376" s="43">
        <f t="shared" ca="1" si="66"/>
        <v>1.0419298513089797E-3</v>
      </c>
      <c r="O376" s="43">
        <f t="shared" si="67"/>
        <v>97.679298245614021</v>
      </c>
      <c r="P376" s="43">
        <f t="shared" si="68"/>
        <v>1.0424728487886383E-3</v>
      </c>
      <c r="Q376" s="43">
        <f t="shared" si="69"/>
        <v>0.12369246754103497</v>
      </c>
      <c r="R376" s="144" t="e">
        <f t="shared" si="70"/>
        <v>#N/A</v>
      </c>
      <c r="S376" s="147" t="e">
        <f t="shared" si="71"/>
        <v>#N/A</v>
      </c>
    </row>
    <row r="377" spans="1:19">
      <c r="A377" s="144">
        <v>12.2</v>
      </c>
      <c r="B377" s="43">
        <v>8.6599999999999993E-3</v>
      </c>
      <c r="C377" s="43">
        <v>1.3919299999999999</v>
      </c>
      <c r="D377" s="43">
        <v>9.7014800000000001</v>
      </c>
      <c r="E377" s="147">
        <v>1.2</v>
      </c>
      <c r="F377" s="43"/>
      <c r="G377" s="39"/>
      <c r="H377" s="144">
        <f t="shared" si="60"/>
        <v>12.2</v>
      </c>
      <c r="I377" s="43">
        <f t="shared" si="61"/>
        <v>1.5637092731829574E-2</v>
      </c>
      <c r="J377" s="43">
        <f t="shared" si="62"/>
        <v>1.3919299999999999</v>
      </c>
      <c r="K377" s="43">
        <f t="shared" si="63"/>
        <v>3.812377415311391E-4</v>
      </c>
      <c r="L377" s="43">
        <f t="shared" ca="1" si="64"/>
        <v>0</v>
      </c>
      <c r="M377" s="43">
        <f t="shared" ca="1" si="65"/>
        <v>97.781126261923788</v>
      </c>
      <c r="N377" s="43">
        <f t="shared" ca="1" si="66"/>
        <v>1.0419298513089797E-3</v>
      </c>
      <c r="O377" s="43">
        <f t="shared" si="67"/>
        <v>97.679298245614021</v>
      </c>
      <c r="P377" s="43">
        <f t="shared" si="68"/>
        <v>1.0424728487886383E-3</v>
      </c>
      <c r="Q377" s="43">
        <f t="shared" si="69"/>
        <v>0.12369246754103497</v>
      </c>
      <c r="R377" s="144" t="e">
        <f t="shared" si="70"/>
        <v>#N/A</v>
      </c>
      <c r="S377" s="147" t="e">
        <f t="shared" si="71"/>
        <v>#N/A</v>
      </c>
    </row>
    <row r="378" spans="1:19">
      <c r="A378" s="144">
        <v>12.2</v>
      </c>
      <c r="B378" s="43">
        <v>8.6599999999999993E-3</v>
      </c>
      <c r="C378" s="43">
        <v>1.3919299999999999</v>
      </c>
      <c r="D378" s="43">
        <v>9.7014800000000001</v>
      </c>
      <c r="E378" s="147">
        <v>1.2</v>
      </c>
      <c r="F378" s="43"/>
      <c r="G378" s="39"/>
      <c r="H378" s="144">
        <f t="shared" si="60"/>
        <v>12.2</v>
      </c>
      <c r="I378" s="43">
        <f t="shared" si="61"/>
        <v>1.5637092731829574E-2</v>
      </c>
      <c r="J378" s="43">
        <f t="shared" si="62"/>
        <v>1.3919299999999999</v>
      </c>
      <c r="K378" s="43">
        <f t="shared" si="63"/>
        <v>3.812377415311391E-4</v>
      </c>
      <c r="L378" s="43">
        <f t="shared" ca="1" si="64"/>
        <v>0</v>
      </c>
      <c r="M378" s="43">
        <f t="shared" ca="1" si="65"/>
        <v>97.781126261923788</v>
      </c>
      <c r="N378" s="43">
        <f t="shared" ca="1" si="66"/>
        <v>1.0419298513089797E-3</v>
      </c>
      <c r="O378" s="43">
        <f t="shared" si="67"/>
        <v>97.679298245614021</v>
      </c>
      <c r="P378" s="43">
        <f t="shared" si="68"/>
        <v>1.0424728487886383E-3</v>
      </c>
      <c r="Q378" s="43">
        <f t="shared" si="69"/>
        <v>0.12369246754103497</v>
      </c>
      <c r="R378" s="144" t="e">
        <f t="shared" si="70"/>
        <v>#N/A</v>
      </c>
      <c r="S378" s="147" t="e">
        <f t="shared" si="71"/>
        <v>#N/A</v>
      </c>
    </row>
    <row r="379" spans="1:19">
      <c r="A379" s="144">
        <v>12.2</v>
      </c>
      <c r="B379" s="43">
        <v>8.6599999999999993E-3</v>
      </c>
      <c r="C379" s="43">
        <v>1.3919299999999999</v>
      </c>
      <c r="D379" s="43">
        <v>9.7014800000000001</v>
      </c>
      <c r="E379" s="147">
        <v>1.2</v>
      </c>
      <c r="F379" s="43"/>
      <c r="G379" s="39"/>
      <c r="H379" s="144">
        <f t="shared" si="60"/>
        <v>12.2</v>
      </c>
      <c r="I379" s="43">
        <f t="shared" si="61"/>
        <v>1.5637092731829574E-2</v>
      </c>
      <c r="J379" s="43">
        <f t="shared" si="62"/>
        <v>1.3919299999999999</v>
      </c>
      <c r="K379" s="43">
        <f t="shared" si="63"/>
        <v>3.812377415311391E-4</v>
      </c>
      <c r="L379" s="43">
        <f t="shared" ca="1" si="64"/>
        <v>0</v>
      </c>
      <c r="M379" s="43">
        <f t="shared" ca="1" si="65"/>
        <v>97.781126261923788</v>
      </c>
      <c r="N379" s="43">
        <f t="shared" ca="1" si="66"/>
        <v>1.0419298513089797E-3</v>
      </c>
      <c r="O379" s="43">
        <f t="shared" si="67"/>
        <v>97.679298245614021</v>
      </c>
      <c r="P379" s="43">
        <f t="shared" si="68"/>
        <v>1.0424728487886383E-3</v>
      </c>
      <c r="Q379" s="43">
        <f t="shared" si="69"/>
        <v>0.12369246754103497</v>
      </c>
      <c r="R379" s="144" t="e">
        <f t="shared" si="70"/>
        <v>#N/A</v>
      </c>
      <c r="S379" s="147" t="e">
        <f t="shared" si="71"/>
        <v>#N/A</v>
      </c>
    </row>
    <row r="380" spans="1:19">
      <c r="A380" s="144">
        <v>12.2</v>
      </c>
      <c r="B380" s="43">
        <v>8.6599999999999993E-3</v>
      </c>
      <c r="C380" s="43">
        <v>1.3919299999999999</v>
      </c>
      <c r="D380" s="43">
        <v>9.7014800000000001</v>
      </c>
      <c r="E380" s="147">
        <v>1.2</v>
      </c>
      <c r="F380" s="43"/>
      <c r="G380" s="43"/>
      <c r="H380" s="144">
        <f t="shared" si="60"/>
        <v>12.2</v>
      </c>
      <c r="I380" s="43">
        <f t="shared" si="61"/>
        <v>1.5637092731829574E-2</v>
      </c>
      <c r="J380" s="43">
        <f t="shared" si="62"/>
        <v>1.3919299999999999</v>
      </c>
      <c r="K380" s="43">
        <f t="shared" si="63"/>
        <v>3.812377415311391E-4</v>
      </c>
      <c r="L380" s="43">
        <f t="shared" ca="1" si="64"/>
        <v>0</v>
      </c>
      <c r="M380" s="43">
        <f t="shared" ca="1" si="65"/>
        <v>97.781126261923788</v>
      </c>
      <c r="N380" s="43">
        <f t="shared" ca="1" si="66"/>
        <v>1.0419298513089797E-3</v>
      </c>
      <c r="O380" s="43">
        <f t="shared" si="67"/>
        <v>97.679298245614021</v>
      </c>
      <c r="P380" s="43">
        <f t="shared" si="68"/>
        <v>1.0424728487886383E-3</v>
      </c>
      <c r="Q380" s="43">
        <f t="shared" si="69"/>
        <v>0.12369246754103497</v>
      </c>
      <c r="R380" s="144" t="e">
        <f t="shared" si="70"/>
        <v>#N/A</v>
      </c>
      <c r="S380" s="147" t="e">
        <f t="shared" si="71"/>
        <v>#N/A</v>
      </c>
    </row>
    <row r="381" spans="1:19">
      <c r="A381" s="144">
        <v>12.2</v>
      </c>
      <c r="B381" s="43">
        <v>8.6599999999999993E-3</v>
      </c>
      <c r="C381" s="43">
        <v>1.3919299999999999</v>
      </c>
      <c r="D381" s="43">
        <v>9.7014800000000001</v>
      </c>
      <c r="E381" s="147">
        <v>1.2</v>
      </c>
      <c r="F381" s="43"/>
      <c r="G381" s="39"/>
      <c r="H381" s="144">
        <f t="shared" si="60"/>
        <v>12.2</v>
      </c>
      <c r="I381" s="43">
        <f t="shared" si="61"/>
        <v>1.5637092731829574E-2</v>
      </c>
      <c r="J381" s="43">
        <f t="shared" si="62"/>
        <v>1.3919299999999999</v>
      </c>
      <c r="K381" s="43">
        <f t="shared" si="63"/>
        <v>3.812377415311391E-4</v>
      </c>
      <c r="L381" s="43">
        <f t="shared" ca="1" si="64"/>
        <v>0</v>
      </c>
      <c r="M381" s="43">
        <f t="shared" ca="1" si="65"/>
        <v>97.781126261923788</v>
      </c>
      <c r="N381" s="43">
        <f t="shared" ca="1" si="66"/>
        <v>1.0419298513089797E-3</v>
      </c>
      <c r="O381" s="43">
        <f t="shared" si="67"/>
        <v>97.679298245614021</v>
      </c>
      <c r="P381" s="43">
        <f t="shared" si="68"/>
        <v>1.0424728487886383E-3</v>
      </c>
      <c r="Q381" s="43">
        <f t="shared" si="69"/>
        <v>0.12369246754103497</v>
      </c>
      <c r="R381" s="144" t="e">
        <f t="shared" si="70"/>
        <v>#N/A</v>
      </c>
      <c r="S381" s="147" t="e">
        <f t="shared" si="71"/>
        <v>#N/A</v>
      </c>
    </row>
    <row r="382" spans="1:19">
      <c r="A382" s="144">
        <v>12.2</v>
      </c>
      <c r="B382" s="43">
        <v>8.6599999999999993E-3</v>
      </c>
      <c r="C382" s="43">
        <v>1.3919299999999999</v>
      </c>
      <c r="D382" s="43">
        <v>9.7014800000000001</v>
      </c>
      <c r="E382" s="147">
        <v>1.2</v>
      </c>
      <c r="F382" s="43"/>
      <c r="G382" s="39"/>
      <c r="H382" s="144">
        <f t="shared" si="60"/>
        <v>12.2</v>
      </c>
      <c r="I382" s="43">
        <f t="shared" si="61"/>
        <v>1.5637092731829574E-2</v>
      </c>
      <c r="J382" s="43">
        <f t="shared" si="62"/>
        <v>1.3919299999999999</v>
      </c>
      <c r="K382" s="43">
        <f t="shared" si="63"/>
        <v>3.812377415311391E-4</v>
      </c>
      <c r="L382" s="43">
        <f t="shared" ca="1" si="64"/>
        <v>0</v>
      </c>
      <c r="M382" s="43">
        <f t="shared" ca="1" si="65"/>
        <v>97.781126261923788</v>
      </c>
      <c r="N382" s="43">
        <f t="shared" ca="1" si="66"/>
        <v>1.0419298513089797E-3</v>
      </c>
      <c r="O382" s="43">
        <f t="shared" si="67"/>
        <v>97.679298245614021</v>
      </c>
      <c r="P382" s="43">
        <f t="shared" si="68"/>
        <v>1.0424728487886383E-3</v>
      </c>
      <c r="Q382" s="43">
        <f t="shared" si="69"/>
        <v>0.12369246754103497</v>
      </c>
      <c r="R382" s="144" t="e">
        <f t="shared" si="70"/>
        <v>#N/A</v>
      </c>
      <c r="S382" s="147" t="e">
        <f t="shared" si="71"/>
        <v>#N/A</v>
      </c>
    </row>
    <row r="383" spans="1:19">
      <c r="A383" s="144">
        <v>12.2</v>
      </c>
      <c r="B383" s="43">
        <v>8.6599999999999993E-3</v>
      </c>
      <c r="C383" s="43">
        <v>1.3919299999999999</v>
      </c>
      <c r="D383" s="43">
        <v>9.7014800000000001</v>
      </c>
      <c r="E383" s="147">
        <v>1.2</v>
      </c>
      <c r="F383" s="43"/>
      <c r="G383" s="39"/>
      <c r="H383" s="144">
        <f t="shared" si="60"/>
        <v>12.2</v>
      </c>
      <c r="I383" s="43">
        <f t="shared" si="61"/>
        <v>1.5637092731829574E-2</v>
      </c>
      <c r="J383" s="43">
        <f t="shared" si="62"/>
        <v>1.3919299999999999</v>
      </c>
      <c r="K383" s="43">
        <f t="shared" si="63"/>
        <v>3.812377415311391E-4</v>
      </c>
      <c r="L383" s="43">
        <f t="shared" ca="1" si="64"/>
        <v>0</v>
      </c>
      <c r="M383" s="43">
        <f t="shared" ca="1" si="65"/>
        <v>97.781126261923788</v>
      </c>
      <c r="N383" s="43">
        <f t="shared" ca="1" si="66"/>
        <v>1.0419298513089797E-3</v>
      </c>
      <c r="O383" s="43">
        <f t="shared" si="67"/>
        <v>97.679298245614021</v>
      </c>
      <c r="P383" s="43">
        <f t="shared" si="68"/>
        <v>1.0424728487886383E-3</v>
      </c>
      <c r="Q383" s="43">
        <f t="shared" si="69"/>
        <v>0.12369246754103497</v>
      </c>
      <c r="R383" s="144" t="e">
        <f t="shared" si="70"/>
        <v>#N/A</v>
      </c>
      <c r="S383" s="147" t="e">
        <f t="shared" si="71"/>
        <v>#N/A</v>
      </c>
    </row>
    <row r="384" spans="1:19">
      <c r="A384" s="144">
        <v>12.2</v>
      </c>
      <c r="B384" s="43">
        <v>8.6599999999999993E-3</v>
      </c>
      <c r="C384" s="43">
        <v>1.3919299999999999</v>
      </c>
      <c r="D384" s="43">
        <v>9.7014800000000001</v>
      </c>
      <c r="E384" s="147">
        <v>1.2</v>
      </c>
      <c r="F384" s="43"/>
      <c r="G384" s="39"/>
      <c r="H384" s="144">
        <f t="shared" si="60"/>
        <v>12.2</v>
      </c>
      <c r="I384" s="43">
        <f t="shared" si="61"/>
        <v>1.5637092731829574E-2</v>
      </c>
      <c r="J384" s="43">
        <f t="shared" si="62"/>
        <v>1.3919299999999999</v>
      </c>
      <c r="K384" s="43">
        <f t="shared" si="63"/>
        <v>3.812377415311391E-4</v>
      </c>
      <c r="L384" s="43">
        <f t="shared" ca="1" si="64"/>
        <v>0</v>
      </c>
      <c r="M384" s="43">
        <f t="shared" ca="1" si="65"/>
        <v>97.781126261923788</v>
      </c>
      <c r="N384" s="43">
        <f t="shared" ca="1" si="66"/>
        <v>1.0419298513089797E-3</v>
      </c>
      <c r="O384" s="43">
        <f t="shared" si="67"/>
        <v>97.679298245614021</v>
      </c>
      <c r="P384" s="43">
        <f t="shared" si="68"/>
        <v>1.0424728487886383E-3</v>
      </c>
      <c r="Q384" s="43">
        <f t="shared" si="69"/>
        <v>0.12369246754103497</v>
      </c>
      <c r="R384" s="144" t="e">
        <f t="shared" si="70"/>
        <v>#N/A</v>
      </c>
      <c r="S384" s="147" t="e">
        <f t="shared" si="71"/>
        <v>#N/A</v>
      </c>
    </row>
    <row r="385" spans="1:19">
      <c r="A385" s="144">
        <v>12.2</v>
      </c>
      <c r="B385" s="43">
        <v>8.6599999999999993E-3</v>
      </c>
      <c r="C385" s="43">
        <v>1.3919299999999999</v>
      </c>
      <c r="D385" s="43">
        <v>9.7014800000000001</v>
      </c>
      <c r="E385" s="147">
        <v>1.2</v>
      </c>
      <c r="F385" s="43"/>
      <c r="G385" s="39"/>
      <c r="H385" s="144">
        <f t="shared" si="60"/>
        <v>12.2</v>
      </c>
      <c r="I385" s="43">
        <f t="shared" si="61"/>
        <v>1.5637092731829574E-2</v>
      </c>
      <c r="J385" s="43">
        <f t="shared" si="62"/>
        <v>1.3919299999999999</v>
      </c>
      <c r="K385" s="43">
        <f t="shared" si="63"/>
        <v>3.812377415311391E-4</v>
      </c>
      <c r="L385" s="43">
        <f t="shared" ca="1" si="64"/>
        <v>0</v>
      </c>
      <c r="M385" s="43">
        <f t="shared" ca="1" si="65"/>
        <v>97.781126261923788</v>
      </c>
      <c r="N385" s="43">
        <f t="shared" ca="1" si="66"/>
        <v>1.0419298513089797E-3</v>
      </c>
      <c r="O385" s="43">
        <f t="shared" si="67"/>
        <v>97.679298245614021</v>
      </c>
      <c r="P385" s="43">
        <f t="shared" si="68"/>
        <v>1.0424728487886383E-3</v>
      </c>
      <c r="Q385" s="43">
        <f t="shared" si="69"/>
        <v>0.12369246754103497</v>
      </c>
      <c r="R385" s="144" t="e">
        <f t="shared" si="70"/>
        <v>#N/A</v>
      </c>
      <c r="S385" s="147" t="e">
        <f t="shared" si="71"/>
        <v>#N/A</v>
      </c>
    </row>
    <row r="386" spans="1:19">
      <c r="A386" s="144">
        <v>12.2</v>
      </c>
      <c r="B386" s="43">
        <v>8.6599999999999993E-3</v>
      </c>
      <c r="C386" s="43">
        <v>1.3919299999999999</v>
      </c>
      <c r="D386" s="43">
        <v>9.7014800000000001</v>
      </c>
      <c r="E386" s="147">
        <v>1.2</v>
      </c>
      <c r="F386" s="43"/>
      <c r="G386" s="39"/>
      <c r="H386" s="144">
        <f t="shared" si="60"/>
        <v>12.2</v>
      </c>
      <c r="I386" s="43">
        <f t="shared" si="61"/>
        <v>1.5637092731829574E-2</v>
      </c>
      <c r="J386" s="43">
        <f t="shared" si="62"/>
        <v>1.3919299999999999</v>
      </c>
      <c r="K386" s="43">
        <f t="shared" si="63"/>
        <v>3.812377415311391E-4</v>
      </c>
      <c r="L386" s="43">
        <f t="shared" ca="1" si="64"/>
        <v>0</v>
      </c>
      <c r="M386" s="43">
        <f t="shared" ca="1" si="65"/>
        <v>97.781126261923788</v>
      </c>
      <c r="N386" s="43">
        <f t="shared" ca="1" si="66"/>
        <v>1.0419298513089797E-3</v>
      </c>
      <c r="O386" s="43">
        <f t="shared" si="67"/>
        <v>97.679298245614021</v>
      </c>
      <c r="P386" s="43">
        <f t="shared" si="68"/>
        <v>1.0424728487886383E-3</v>
      </c>
      <c r="Q386" s="43">
        <f t="shared" si="69"/>
        <v>0.12369246754103497</v>
      </c>
      <c r="R386" s="144" t="e">
        <f t="shared" si="70"/>
        <v>#N/A</v>
      </c>
      <c r="S386" s="147" t="e">
        <f t="shared" si="71"/>
        <v>#N/A</v>
      </c>
    </row>
    <row r="387" spans="1:19">
      <c r="A387" s="144">
        <v>12.2</v>
      </c>
      <c r="B387" s="43">
        <v>8.6599999999999993E-3</v>
      </c>
      <c r="C387" s="43">
        <v>1.3919299999999999</v>
      </c>
      <c r="D387" s="43">
        <v>9.7014800000000001</v>
      </c>
      <c r="E387" s="147">
        <v>1.2</v>
      </c>
      <c r="F387" s="43"/>
      <c r="G387" s="39"/>
      <c r="H387" s="144">
        <f t="shared" si="60"/>
        <v>12.2</v>
      </c>
      <c r="I387" s="43">
        <f t="shared" si="61"/>
        <v>1.5637092731829574E-2</v>
      </c>
      <c r="J387" s="43">
        <f t="shared" si="62"/>
        <v>1.3919299999999999</v>
      </c>
      <c r="K387" s="43">
        <f t="shared" si="63"/>
        <v>3.812377415311391E-4</v>
      </c>
      <c r="L387" s="43">
        <f t="shared" ca="1" si="64"/>
        <v>0</v>
      </c>
      <c r="M387" s="43">
        <f t="shared" ca="1" si="65"/>
        <v>97.781126261923788</v>
      </c>
      <c r="N387" s="43">
        <f t="shared" ca="1" si="66"/>
        <v>1.0419298513089797E-3</v>
      </c>
      <c r="O387" s="43">
        <f t="shared" si="67"/>
        <v>97.679298245614021</v>
      </c>
      <c r="P387" s="43">
        <f t="shared" si="68"/>
        <v>1.0424728487886383E-3</v>
      </c>
      <c r="Q387" s="43">
        <f t="shared" si="69"/>
        <v>0.12369246754103497</v>
      </c>
      <c r="R387" s="144" t="e">
        <f t="shared" si="70"/>
        <v>#N/A</v>
      </c>
      <c r="S387" s="147" t="e">
        <f t="shared" si="71"/>
        <v>#N/A</v>
      </c>
    </row>
    <row r="388" spans="1:19">
      <c r="A388" s="144">
        <v>12.2</v>
      </c>
      <c r="B388" s="43">
        <v>8.6599999999999993E-3</v>
      </c>
      <c r="C388" s="43">
        <v>1.3919299999999999</v>
      </c>
      <c r="D388" s="43">
        <v>9.7014800000000001</v>
      </c>
      <c r="E388" s="147">
        <v>1.2</v>
      </c>
      <c r="F388" s="43"/>
      <c r="G388" s="39"/>
      <c r="H388" s="144">
        <f t="shared" si="60"/>
        <v>12.2</v>
      </c>
      <c r="I388" s="43">
        <f t="shared" si="61"/>
        <v>1.5637092731829574E-2</v>
      </c>
      <c r="J388" s="43">
        <f t="shared" si="62"/>
        <v>1.3919299999999999</v>
      </c>
      <c r="K388" s="43">
        <f t="shared" si="63"/>
        <v>3.812377415311391E-4</v>
      </c>
      <c r="L388" s="43">
        <f t="shared" ca="1" si="64"/>
        <v>0</v>
      </c>
      <c r="M388" s="43">
        <f t="shared" ca="1" si="65"/>
        <v>97.781126261923788</v>
      </c>
      <c r="N388" s="43">
        <f t="shared" ca="1" si="66"/>
        <v>1.0419298513089797E-3</v>
      </c>
      <c r="O388" s="43">
        <f t="shared" si="67"/>
        <v>97.679298245614021</v>
      </c>
      <c r="P388" s="43">
        <f t="shared" si="68"/>
        <v>1.0424728487886383E-3</v>
      </c>
      <c r="Q388" s="43">
        <f t="shared" si="69"/>
        <v>0.12369246754103497</v>
      </c>
      <c r="R388" s="144" t="e">
        <f t="shared" si="70"/>
        <v>#N/A</v>
      </c>
      <c r="S388" s="147" t="e">
        <f t="shared" si="71"/>
        <v>#N/A</v>
      </c>
    </row>
    <row r="389" spans="1:19">
      <c r="A389" s="144">
        <v>12.2</v>
      </c>
      <c r="B389" s="43">
        <v>8.6599999999999993E-3</v>
      </c>
      <c r="C389" s="43">
        <v>1.3919299999999999</v>
      </c>
      <c r="D389" s="43">
        <v>9.7014800000000001</v>
      </c>
      <c r="E389" s="147">
        <v>1.2</v>
      </c>
      <c r="F389" s="43"/>
      <c r="G389" s="39"/>
      <c r="H389" s="144">
        <f t="shared" si="60"/>
        <v>12.2</v>
      </c>
      <c r="I389" s="43">
        <f t="shared" si="61"/>
        <v>1.5637092731829574E-2</v>
      </c>
      <c r="J389" s="43">
        <f t="shared" si="62"/>
        <v>1.3919299999999999</v>
      </c>
      <c r="K389" s="43">
        <f t="shared" si="63"/>
        <v>3.812377415311391E-4</v>
      </c>
      <c r="L389" s="43">
        <f t="shared" ca="1" si="64"/>
        <v>0</v>
      </c>
      <c r="M389" s="43">
        <f t="shared" ca="1" si="65"/>
        <v>97.781126261923788</v>
      </c>
      <c r="N389" s="43">
        <f t="shared" ca="1" si="66"/>
        <v>1.0419298513089797E-3</v>
      </c>
      <c r="O389" s="43">
        <f t="shared" si="67"/>
        <v>97.679298245614021</v>
      </c>
      <c r="P389" s="43">
        <f t="shared" si="68"/>
        <v>1.0424728487886383E-3</v>
      </c>
      <c r="Q389" s="43">
        <f t="shared" si="69"/>
        <v>0.12369246754103497</v>
      </c>
      <c r="R389" s="144" t="e">
        <f t="shared" si="70"/>
        <v>#N/A</v>
      </c>
      <c r="S389" s="147" t="e">
        <f t="shared" si="71"/>
        <v>#N/A</v>
      </c>
    </row>
    <row r="390" spans="1:19">
      <c r="A390" s="144">
        <v>12.2</v>
      </c>
      <c r="B390" s="43">
        <v>8.6599999999999993E-3</v>
      </c>
      <c r="C390" s="43">
        <v>1.3919299999999999</v>
      </c>
      <c r="D390" s="43">
        <v>9.7014800000000001</v>
      </c>
      <c r="E390" s="147">
        <v>1.2</v>
      </c>
      <c r="F390" s="43"/>
      <c r="G390" s="39"/>
      <c r="H390" s="144">
        <f t="shared" si="60"/>
        <v>12.2</v>
      </c>
      <c r="I390" s="43">
        <f t="shared" si="61"/>
        <v>1.5637092731829574E-2</v>
      </c>
      <c r="J390" s="43">
        <f t="shared" si="62"/>
        <v>1.3919299999999999</v>
      </c>
      <c r="K390" s="43">
        <f t="shared" si="63"/>
        <v>3.812377415311391E-4</v>
      </c>
      <c r="L390" s="43">
        <f t="shared" ca="1" si="64"/>
        <v>0</v>
      </c>
      <c r="M390" s="43">
        <f t="shared" ca="1" si="65"/>
        <v>97.781126261923788</v>
      </c>
      <c r="N390" s="43">
        <f t="shared" ca="1" si="66"/>
        <v>1.0419298513089797E-3</v>
      </c>
      <c r="O390" s="43">
        <f t="shared" si="67"/>
        <v>97.679298245614021</v>
      </c>
      <c r="P390" s="43">
        <f t="shared" si="68"/>
        <v>1.0424728487886383E-3</v>
      </c>
      <c r="Q390" s="43">
        <f t="shared" si="69"/>
        <v>0.12369246754103497</v>
      </c>
      <c r="R390" s="144" t="e">
        <f t="shared" si="70"/>
        <v>#N/A</v>
      </c>
      <c r="S390" s="147" t="e">
        <f t="shared" si="71"/>
        <v>#N/A</v>
      </c>
    </row>
    <row r="391" spans="1:19">
      <c r="A391" s="144">
        <v>12.2</v>
      </c>
      <c r="B391" s="43">
        <v>8.6599999999999993E-3</v>
      </c>
      <c r="C391" s="43">
        <v>1.3919299999999999</v>
      </c>
      <c r="D391" s="43">
        <v>9.7014800000000001</v>
      </c>
      <c r="E391" s="147">
        <v>1.2</v>
      </c>
      <c r="F391" s="43"/>
      <c r="G391" s="39"/>
      <c r="H391" s="144">
        <f t="shared" si="60"/>
        <v>12.2</v>
      </c>
      <c r="I391" s="43">
        <f t="shared" si="61"/>
        <v>1.5637092731829574E-2</v>
      </c>
      <c r="J391" s="43">
        <f t="shared" si="62"/>
        <v>1.3919299999999999</v>
      </c>
      <c r="K391" s="43">
        <f t="shared" si="63"/>
        <v>3.812377415311391E-4</v>
      </c>
      <c r="L391" s="43">
        <f t="shared" ca="1" si="64"/>
        <v>0</v>
      </c>
      <c r="M391" s="43">
        <f t="shared" ca="1" si="65"/>
        <v>97.781126261923788</v>
      </c>
      <c r="N391" s="43">
        <f t="shared" ca="1" si="66"/>
        <v>1.0419298513089797E-3</v>
      </c>
      <c r="O391" s="43">
        <f t="shared" si="67"/>
        <v>97.679298245614021</v>
      </c>
      <c r="P391" s="43">
        <f t="shared" si="68"/>
        <v>1.0424728487886383E-3</v>
      </c>
      <c r="Q391" s="43">
        <f t="shared" si="69"/>
        <v>0.12369246754103497</v>
      </c>
      <c r="R391" s="144" t="e">
        <f t="shared" si="70"/>
        <v>#N/A</v>
      </c>
      <c r="S391" s="147" t="e">
        <f t="shared" si="71"/>
        <v>#N/A</v>
      </c>
    </row>
    <row r="392" spans="1:19">
      <c r="A392" s="144">
        <v>12.2</v>
      </c>
      <c r="B392" s="43">
        <v>8.6599999999999993E-3</v>
      </c>
      <c r="C392" s="43">
        <v>1.3919299999999999</v>
      </c>
      <c r="D392" s="43">
        <v>9.7014800000000001</v>
      </c>
      <c r="E392" s="147">
        <v>1.2</v>
      </c>
      <c r="F392" s="43"/>
      <c r="G392" s="39"/>
      <c r="H392" s="144">
        <f t="shared" si="60"/>
        <v>12.2</v>
      </c>
      <c r="I392" s="43">
        <f t="shared" si="61"/>
        <v>1.5637092731829574E-2</v>
      </c>
      <c r="J392" s="43">
        <f t="shared" si="62"/>
        <v>1.3919299999999999</v>
      </c>
      <c r="K392" s="43">
        <f t="shared" si="63"/>
        <v>3.812377415311391E-4</v>
      </c>
      <c r="L392" s="43">
        <f t="shared" ca="1" si="64"/>
        <v>0</v>
      </c>
      <c r="M392" s="43">
        <f t="shared" ca="1" si="65"/>
        <v>97.781126261923788</v>
      </c>
      <c r="N392" s="43">
        <f t="shared" ca="1" si="66"/>
        <v>1.0419298513089797E-3</v>
      </c>
      <c r="O392" s="43">
        <f t="shared" si="67"/>
        <v>97.679298245614021</v>
      </c>
      <c r="P392" s="43">
        <f t="shared" si="68"/>
        <v>1.0424728487886383E-3</v>
      </c>
      <c r="Q392" s="43">
        <f t="shared" si="69"/>
        <v>0.12369246754103497</v>
      </c>
      <c r="R392" s="144" t="e">
        <f t="shared" si="70"/>
        <v>#N/A</v>
      </c>
      <c r="S392" s="147" t="e">
        <f t="shared" si="71"/>
        <v>#N/A</v>
      </c>
    </row>
    <row r="393" spans="1:19">
      <c r="A393" s="144">
        <v>12.2</v>
      </c>
      <c r="B393" s="43">
        <v>8.6599999999999993E-3</v>
      </c>
      <c r="C393" s="43">
        <v>1.3919299999999999</v>
      </c>
      <c r="D393" s="43">
        <v>9.7014800000000001</v>
      </c>
      <c r="E393" s="147">
        <v>1.2</v>
      </c>
      <c r="F393" s="43"/>
      <c r="G393" s="39"/>
      <c r="H393" s="144">
        <f t="shared" si="60"/>
        <v>12.2</v>
      </c>
      <c r="I393" s="43">
        <f t="shared" si="61"/>
        <v>1.5637092731829574E-2</v>
      </c>
      <c r="J393" s="43">
        <f t="shared" si="62"/>
        <v>1.3919299999999999</v>
      </c>
      <c r="K393" s="43">
        <f t="shared" si="63"/>
        <v>3.812377415311391E-4</v>
      </c>
      <c r="L393" s="43">
        <f t="shared" ca="1" si="64"/>
        <v>0</v>
      </c>
      <c r="M393" s="43">
        <f t="shared" ca="1" si="65"/>
        <v>97.781126261923788</v>
      </c>
      <c r="N393" s="43">
        <f t="shared" ca="1" si="66"/>
        <v>1.0419298513089797E-3</v>
      </c>
      <c r="O393" s="43">
        <f t="shared" si="67"/>
        <v>97.679298245614021</v>
      </c>
      <c r="P393" s="43">
        <f t="shared" si="68"/>
        <v>1.0424728487886383E-3</v>
      </c>
      <c r="Q393" s="43">
        <f t="shared" si="69"/>
        <v>0.12369246754103497</v>
      </c>
      <c r="R393" s="144" t="e">
        <f t="shared" si="70"/>
        <v>#N/A</v>
      </c>
      <c r="S393" s="147" t="e">
        <f t="shared" si="71"/>
        <v>#N/A</v>
      </c>
    </row>
    <row r="394" spans="1:19">
      <c r="A394" s="144">
        <v>12.2</v>
      </c>
      <c r="B394" s="43">
        <v>8.6599999999999993E-3</v>
      </c>
      <c r="C394" s="43">
        <v>1.3919299999999999</v>
      </c>
      <c r="D394" s="43">
        <v>9.7014800000000001</v>
      </c>
      <c r="E394" s="147">
        <v>1.2</v>
      </c>
      <c r="F394" s="43"/>
      <c r="G394" s="39"/>
      <c r="H394" s="144">
        <f t="shared" si="60"/>
        <v>12.2</v>
      </c>
      <c r="I394" s="43">
        <f t="shared" si="61"/>
        <v>1.5637092731829574E-2</v>
      </c>
      <c r="J394" s="43">
        <f t="shared" si="62"/>
        <v>1.3919299999999999</v>
      </c>
      <c r="K394" s="43">
        <f t="shared" si="63"/>
        <v>3.812377415311391E-4</v>
      </c>
      <c r="L394" s="43">
        <f t="shared" ca="1" si="64"/>
        <v>0</v>
      </c>
      <c r="M394" s="43">
        <f t="shared" ca="1" si="65"/>
        <v>97.781126261923788</v>
      </c>
      <c r="N394" s="43">
        <f t="shared" ca="1" si="66"/>
        <v>1.0419298513089797E-3</v>
      </c>
      <c r="O394" s="43">
        <f t="shared" si="67"/>
        <v>97.679298245614021</v>
      </c>
      <c r="P394" s="43">
        <f t="shared" si="68"/>
        <v>1.0424728487886383E-3</v>
      </c>
      <c r="Q394" s="43">
        <f t="shared" si="69"/>
        <v>0.12369246754103497</v>
      </c>
      <c r="R394" s="144" t="e">
        <f t="shared" si="70"/>
        <v>#N/A</v>
      </c>
      <c r="S394" s="147" t="e">
        <f t="shared" si="71"/>
        <v>#N/A</v>
      </c>
    </row>
    <row r="395" spans="1:19">
      <c r="A395" s="144">
        <v>12.2</v>
      </c>
      <c r="B395" s="43">
        <v>8.6599999999999993E-3</v>
      </c>
      <c r="C395" s="43">
        <v>1.3919299999999999</v>
      </c>
      <c r="D395" s="43">
        <v>9.7014800000000001</v>
      </c>
      <c r="E395" s="147">
        <v>1.2</v>
      </c>
      <c r="F395" s="43"/>
      <c r="G395" s="39"/>
      <c r="H395" s="144">
        <f t="shared" si="60"/>
        <v>12.2</v>
      </c>
      <c r="I395" s="43">
        <f t="shared" si="61"/>
        <v>1.5637092731829574E-2</v>
      </c>
      <c r="J395" s="43">
        <f t="shared" si="62"/>
        <v>1.3919299999999999</v>
      </c>
      <c r="K395" s="43">
        <f t="shared" si="63"/>
        <v>3.812377415311391E-4</v>
      </c>
      <c r="L395" s="43">
        <f t="shared" ca="1" si="64"/>
        <v>0</v>
      </c>
      <c r="M395" s="43">
        <f t="shared" ca="1" si="65"/>
        <v>97.781126261923788</v>
      </c>
      <c r="N395" s="43">
        <f t="shared" ca="1" si="66"/>
        <v>1.0419298513089797E-3</v>
      </c>
      <c r="O395" s="43">
        <f t="shared" si="67"/>
        <v>97.679298245614021</v>
      </c>
      <c r="P395" s="43">
        <f t="shared" si="68"/>
        <v>1.0424728487886383E-3</v>
      </c>
      <c r="Q395" s="43">
        <f t="shared" si="69"/>
        <v>0.12369246754103497</v>
      </c>
      <c r="R395" s="144" t="e">
        <f t="shared" si="70"/>
        <v>#N/A</v>
      </c>
      <c r="S395" s="147" t="e">
        <f t="shared" si="71"/>
        <v>#N/A</v>
      </c>
    </row>
    <row r="396" spans="1:19">
      <c r="A396" s="144">
        <v>12.2</v>
      </c>
      <c r="B396" s="43">
        <v>8.6599999999999993E-3</v>
      </c>
      <c r="C396" s="43">
        <v>1.3919299999999999</v>
      </c>
      <c r="D396" s="43">
        <v>9.7014800000000001</v>
      </c>
      <c r="E396" s="147">
        <v>1.2</v>
      </c>
      <c r="F396" s="43"/>
      <c r="G396" s="39"/>
      <c r="H396" s="144">
        <f t="shared" si="60"/>
        <v>12.2</v>
      </c>
      <c r="I396" s="43">
        <f t="shared" si="61"/>
        <v>1.5637092731829574E-2</v>
      </c>
      <c r="J396" s="43">
        <f t="shared" si="62"/>
        <v>1.3919299999999999</v>
      </c>
      <c r="K396" s="43">
        <f t="shared" si="63"/>
        <v>3.812377415311391E-4</v>
      </c>
      <c r="L396" s="43">
        <f t="shared" ca="1" si="64"/>
        <v>0</v>
      </c>
      <c r="M396" s="43">
        <f t="shared" ca="1" si="65"/>
        <v>97.781126261923788</v>
      </c>
      <c r="N396" s="43">
        <f t="shared" ca="1" si="66"/>
        <v>1.0419298513089797E-3</v>
      </c>
      <c r="O396" s="43">
        <f t="shared" si="67"/>
        <v>97.679298245614021</v>
      </c>
      <c r="P396" s="43">
        <f t="shared" si="68"/>
        <v>1.0424728487886383E-3</v>
      </c>
      <c r="Q396" s="43">
        <f t="shared" si="69"/>
        <v>0.12369246754103497</v>
      </c>
      <c r="R396" s="144" t="e">
        <f t="shared" si="70"/>
        <v>#N/A</v>
      </c>
      <c r="S396" s="147" t="e">
        <f t="shared" si="71"/>
        <v>#N/A</v>
      </c>
    </row>
    <row r="397" spans="1:19">
      <c r="A397" s="144">
        <v>12.2</v>
      </c>
      <c r="B397" s="43">
        <v>8.6599999999999993E-3</v>
      </c>
      <c r="C397" s="43">
        <v>1.3919299999999999</v>
      </c>
      <c r="D397" s="43">
        <v>9.7014800000000001</v>
      </c>
      <c r="E397" s="147">
        <v>1.2</v>
      </c>
      <c r="F397" s="43"/>
      <c r="G397" s="39"/>
      <c r="H397" s="144">
        <f t="shared" si="60"/>
        <v>12.2</v>
      </c>
      <c r="I397" s="43">
        <f t="shared" si="61"/>
        <v>1.5637092731829574E-2</v>
      </c>
      <c r="J397" s="43">
        <f t="shared" si="62"/>
        <v>1.3919299999999999</v>
      </c>
      <c r="K397" s="43">
        <f t="shared" si="63"/>
        <v>3.812377415311391E-4</v>
      </c>
      <c r="L397" s="43">
        <f t="shared" ca="1" si="64"/>
        <v>0</v>
      </c>
      <c r="M397" s="43">
        <f t="shared" ca="1" si="65"/>
        <v>97.781126261923788</v>
      </c>
      <c r="N397" s="43">
        <f t="shared" ca="1" si="66"/>
        <v>1.0419298513089797E-3</v>
      </c>
      <c r="O397" s="43">
        <f t="shared" si="67"/>
        <v>97.679298245614021</v>
      </c>
      <c r="P397" s="43">
        <f t="shared" si="68"/>
        <v>1.0424728487886383E-3</v>
      </c>
      <c r="Q397" s="43">
        <f t="shared" si="69"/>
        <v>0.12369246754103497</v>
      </c>
      <c r="R397" s="144" t="e">
        <f t="shared" si="70"/>
        <v>#N/A</v>
      </c>
      <c r="S397" s="147" t="e">
        <f t="shared" si="71"/>
        <v>#N/A</v>
      </c>
    </row>
    <row r="398" spans="1:19">
      <c r="A398" s="144">
        <v>12.2</v>
      </c>
      <c r="B398" s="43">
        <v>8.6599999999999993E-3</v>
      </c>
      <c r="C398" s="43">
        <v>1.3919299999999999</v>
      </c>
      <c r="D398" s="43">
        <v>9.7014800000000001</v>
      </c>
      <c r="E398" s="147">
        <v>1.2</v>
      </c>
      <c r="F398" s="43"/>
      <c r="G398" s="39"/>
      <c r="H398" s="144">
        <f t="shared" si="60"/>
        <v>12.2</v>
      </c>
      <c r="I398" s="43">
        <f t="shared" si="61"/>
        <v>1.5637092731829574E-2</v>
      </c>
      <c r="J398" s="43">
        <f t="shared" si="62"/>
        <v>1.3919299999999999</v>
      </c>
      <c r="K398" s="43">
        <f t="shared" si="63"/>
        <v>3.812377415311391E-4</v>
      </c>
      <c r="L398" s="43">
        <f t="shared" ca="1" si="64"/>
        <v>0</v>
      </c>
      <c r="M398" s="43">
        <f t="shared" ca="1" si="65"/>
        <v>97.781126261923788</v>
      </c>
      <c r="N398" s="43">
        <f t="shared" ca="1" si="66"/>
        <v>1.0419298513089797E-3</v>
      </c>
      <c r="O398" s="43">
        <f t="shared" si="67"/>
        <v>97.679298245614021</v>
      </c>
      <c r="P398" s="43">
        <f t="shared" si="68"/>
        <v>1.0424728487886383E-3</v>
      </c>
      <c r="Q398" s="43">
        <f t="shared" si="69"/>
        <v>0.12369246754103497</v>
      </c>
      <c r="R398" s="144" t="e">
        <f t="shared" si="70"/>
        <v>#N/A</v>
      </c>
      <c r="S398" s="147" t="e">
        <f t="shared" si="71"/>
        <v>#N/A</v>
      </c>
    </row>
    <row r="399" spans="1:19">
      <c r="A399" s="144">
        <v>12.2</v>
      </c>
      <c r="B399" s="43">
        <v>8.6599999999999993E-3</v>
      </c>
      <c r="C399" s="43">
        <v>1.3919299999999999</v>
      </c>
      <c r="D399" s="43">
        <v>9.7014800000000001</v>
      </c>
      <c r="E399" s="147">
        <v>1.2</v>
      </c>
      <c r="F399" s="43"/>
      <c r="G399" s="39"/>
      <c r="H399" s="144">
        <f t="shared" si="60"/>
        <v>12.2</v>
      </c>
      <c r="I399" s="43">
        <f t="shared" si="61"/>
        <v>1.5637092731829574E-2</v>
      </c>
      <c r="J399" s="43">
        <f t="shared" si="62"/>
        <v>1.3919299999999999</v>
      </c>
      <c r="K399" s="43">
        <f t="shared" si="63"/>
        <v>3.812377415311391E-4</v>
      </c>
      <c r="L399" s="43">
        <f t="shared" ca="1" si="64"/>
        <v>0</v>
      </c>
      <c r="M399" s="43">
        <f t="shared" ca="1" si="65"/>
        <v>97.781126261923788</v>
      </c>
      <c r="N399" s="43">
        <f t="shared" ca="1" si="66"/>
        <v>1.0419298513089797E-3</v>
      </c>
      <c r="O399" s="43">
        <f t="shared" si="67"/>
        <v>97.679298245614021</v>
      </c>
      <c r="P399" s="43">
        <f t="shared" si="68"/>
        <v>1.0424728487886383E-3</v>
      </c>
      <c r="Q399" s="43">
        <f t="shared" si="69"/>
        <v>0.12369246754103497</v>
      </c>
      <c r="R399" s="144" t="e">
        <f t="shared" si="70"/>
        <v>#N/A</v>
      </c>
      <c r="S399" s="147" t="e">
        <f t="shared" si="71"/>
        <v>#N/A</v>
      </c>
    </row>
    <row r="400" spans="1:19">
      <c r="A400" s="144">
        <v>12.2</v>
      </c>
      <c r="B400" s="43">
        <v>8.6599999999999993E-3</v>
      </c>
      <c r="C400" s="43">
        <v>1.3919299999999999</v>
      </c>
      <c r="D400" s="43">
        <v>9.7014800000000001</v>
      </c>
      <c r="E400" s="147">
        <v>1.2</v>
      </c>
      <c r="F400" s="43"/>
      <c r="G400" s="39"/>
      <c r="H400" s="144">
        <f t="shared" ref="H400:H463" si="72">A400</f>
        <v>12.2</v>
      </c>
      <c r="I400" s="43">
        <f t="shared" ref="I400:I463" si="73">B400+$G$7</f>
        <v>1.5637092731829574E-2</v>
      </c>
      <c r="J400" s="43">
        <f t="shared" ref="J400:J463" si="74">C400</f>
        <v>1.3919299999999999</v>
      </c>
      <c r="K400" s="43">
        <f t="shared" ref="K400:K463" si="75">(P400-(O400/$I$9))</f>
        <v>3.812377415311391E-4</v>
      </c>
      <c r="L400" s="43">
        <f t="shared" ref="L400:L463" ca="1" si="76">IF(I400&lt;$I$5,(LN(D400/$D$15))/LN(($I$10*$D$15)/((B400+$I$10)*D400)),#N/A)</f>
        <v>0</v>
      </c>
      <c r="M400" s="43">
        <f t="shared" ref="M400:M463" ca="1" si="77">IF(I400&lt;$I$5,O400*(1+P400),#N/A)</f>
        <v>97.781126261923788</v>
      </c>
      <c r="N400" s="43">
        <f t="shared" ref="N400:N463" ca="1" si="78">IF(I400&lt;$I$5,LN(1+P400),#N/A)</f>
        <v>1.0419298513089797E-3</v>
      </c>
      <c r="O400" s="43">
        <f t="shared" ref="O400:O463" si="79">(C400*1000)/$I$7</f>
        <v>97.679298245614021</v>
      </c>
      <c r="P400" s="43">
        <f t="shared" ref="P400:P463" si="80">I400/$I$10</f>
        <v>1.0424728487886383E-3</v>
      </c>
      <c r="Q400" s="43">
        <f t="shared" ref="Q400:Q463" si="81">E400/$D$15</f>
        <v>0.12369246754103497</v>
      </c>
      <c r="R400" s="144" t="e">
        <f t="shared" ref="R400:R463" si="82">IF(AND(($N$8/100)&lt;K400,($N$9/100)&gt;K400),LN(1-Q400),#N/A)</f>
        <v>#N/A</v>
      </c>
      <c r="S400" s="147" t="e">
        <f t="shared" ref="S400:S463" si="83">IF(AND(($N$8/100)&lt;K400,($N$9/100)&gt;K400),LN(1+P400),#N/A)</f>
        <v>#N/A</v>
      </c>
    </row>
    <row r="401" spans="1:19">
      <c r="A401" s="144">
        <v>12.2</v>
      </c>
      <c r="B401" s="43">
        <v>8.6599999999999993E-3</v>
      </c>
      <c r="C401" s="43">
        <v>1.3919299999999999</v>
      </c>
      <c r="D401" s="43">
        <v>9.7014800000000001</v>
      </c>
      <c r="E401" s="147">
        <v>1.2</v>
      </c>
      <c r="F401" s="43"/>
      <c r="G401" s="39"/>
      <c r="H401" s="144">
        <f t="shared" si="72"/>
        <v>12.2</v>
      </c>
      <c r="I401" s="43">
        <f t="shared" si="73"/>
        <v>1.5637092731829574E-2</v>
      </c>
      <c r="J401" s="43">
        <f t="shared" si="74"/>
        <v>1.3919299999999999</v>
      </c>
      <c r="K401" s="43">
        <f t="shared" si="75"/>
        <v>3.812377415311391E-4</v>
      </c>
      <c r="L401" s="43">
        <f t="shared" ca="1" si="76"/>
        <v>0</v>
      </c>
      <c r="M401" s="43">
        <f t="shared" ca="1" si="77"/>
        <v>97.781126261923788</v>
      </c>
      <c r="N401" s="43">
        <f t="shared" ca="1" si="78"/>
        <v>1.0419298513089797E-3</v>
      </c>
      <c r="O401" s="43">
        <f t="shared" si="79"/>
        <v>97.679298245614021</v>
      </c>
      <c r="P401" s="43">
        <f t="shared" si="80"/>
        <v>1.0424728487886383E-3</v>
      </c>
      <c r="Q401" s="43">
        <f t="shared" si="81"/>
        <v>0.12369246754103497</v>
      </c>
      <c r="R401" s="144" t="e">
        <f t="shared" si="82"/>
        <v>#N/A</v>
      </c>
      <c r="S401" s="147" t="e">
        <f t="shared" si="83"/>
        <v>#N/A</v>
      </c>
    </row>
    <row r="402" spans="1:19">
      <c r="A402" s="144">
        <v>12.2</v>
      </c>
      <c r="B402" s="43">
        <v>8.6599999999999993E-3</v>
      </c>
      <c r="C402" s="43">
        <v>1.3919299999999999</v>
      </c>
      <c r="D402" s="43">
        <v>9.7014800000000001</v>
      </c>
      <c r="E402" s="147">
        <v>1.2</v>
      </c>
      <c r="F402" s="43"/>
      <c r="G402" s="39"/>
      <c r="H402" s="144">
        <f t="shared" si="72"/>
        <v>12.2</v>
      </c>
      <c r="I402" s="43">
        <f t="shared" si="73"/>
        <v>1.5637092731829574E-2</v>
      </c>
      <c r="J402" s="43">
        <f t="shared" si="74"/>
        <v>1.3919299999999999</v>
      </c>
      <c r="K402" s="43">
        <f t="shared" si="75"/>
        <v>3.812377415311391E-4</v>
      </c>
      <c r="L402" s="43">
        <f t="shared" ca="1" si="76"/>
        <v>0</v>
      </c>
      <c r="M402" s="43">
        <f t="shared" ca="1" si="77"/>
        <v>97.781126261923788</v>
      </c>
      <c r="N402" s="43">
        <f t="shared" ca="1" si="78"/>
        <v>1.0419298513089797E-3</v>
      </c>
      <c r="O402" s="43">
        <f t="shared" si="79"/>
        <v>97.679298245614021</v>
      </c>
      <c r="P402" s="43">
        <f t="shared" si="80"/>
        <v>1.0424728487886383E-3</v>
      </c>
      <c r="Q402" s="43">
        <f t="shared" si="81"/>
        <v>0.12369246754103497</v>
      </c>
      <c r="R402" s="144" t="e">
        <f t="shared" si="82"/>
        <v>#N/A</v>
      </c>
      <c r="S402" s="147" t="e">
        <f t="shared" si="83"/>
        <v>#N/A</v>
      </c>
    </row>
    <row r="403" spans="1:19">
      <c r="A403" s="144">
        <v>12.2</v>
      </c>
      <c r="B403" s="43">
        <v>8.6599999999999993E-3</v>
      </c>
      <c r="C403" s="43">
        <v>1.3919299999999999</v>
      </c>
      <c r="D403" s="43">
        <v>9.7014800000000001</v>
      </c>
      <c r="E403" s="147">
        <v>1.2</v>
      </c>
      <c r="F403" s="43"/>
      <c r="G403" s="39"/>
      <c r="H403" s="144">
        <f t="shared" si="72"/>
        <v>12.2</v>
      </c>
      <c r="I403" s="43">
        <f t="shared" si="73"/>
        <v>1.5637092731829574E-2</v>
      </c>
      <c r="J403" s="43">
        <f t="shared" si="74"/>
        <v>1.3919299999999999</v>
      </c>
      <c r="K403" s="43">
        <f t="shared" si="75"/>
        <v>3.812377415311391E-4</v>
      </c>
      <c r="L403" s="43">
        <f t="shared" ca="1" si="76"/>
        <v>0</v>
      </c>
      <c r="M403" s="43">
        <f t="shared" ca="1" si="77"/>
        <v>97.781126261923788</v>
      </c>
      <c r="N403" s="43">
        <f t="shared" ca="1" si="78"/>
        <v>1.0419298513089797E-3</v>
      </c>
      <c r="O403" s="43">
        <f t="shared" si="79"/>
        <v>97.679298245614021</v>
      </c>
      <c r="P403" s="43">
        <f t="shared" si="80"/>
        <v>1.0424728487886383E-3</v>
      </c>
      <c r="Q403" s="43">
        <f t="shared" si="81"/>
        <v>0.12369246754103497</v>
      </c>
      <c r="R403" s="144" t="e">
        <f t="shared" si="82"/>
        <v>#N/A</v>
      </c>
      <c r="S403" s="147" t="e">
        <f t="shared" si="83"/>
        <v>#N/A</v>
      </c>
    </row>
    <row r="404" spans="1:19">
      <c r="A404" s="144">
        <v>12.2</v>
      </c>
      <c r="B404" s="43">
        <v>8.6599999999999993E-3</v>
      </c>
      <c r="C404" s="43">
        <v>1.3919299999999999</v>
      </c>
      <c r="D404" s="43">
        <v>9.7014800000000001</v>
      </c>
      <c r="E404" s="147">
        <v>1.2</v>
      </c>
      <c r="F404" s="43"/>
      <c r="G404" s="39"/>
      <c r="H404" s="144">
        <f t="shared" si="72"/>
        <v>12.2</v>
      </c>
      <c r="I404" s="43">
        <f t="shared" si="73"/>
        <v>1.5637092731829574E-2</v>
      </c>
      <c r="J404" s="43">
        <f t="shared" si="74"/>
        <v>1.3919299999999999</v>
      </c>
      <c r="K404" s="43">
        <f t="shared" si="75"/>
        <v>3.812377415311391E-4</v>
      </c>
      <c r="L404" s="43">
        <f t="shared" ca="1" si="76"/>
        <v>0</v>
      </c>
      <c r="M404" s="43">
        <f t="shared" ca="1" si="77"/>
        <v>97.781126261923788</v>
      </c>
      <c r="N404" s="43">
        <f t="shared" ca="1" si="78"/>
        <v>1.0419298513089797E-3</v>
      </c>
      <c r="O404" s="43">
        <f t="shared" si="79"/>
        <v>97.679298245614021</v>
      </c>
      <c r="P404" s="43">
        <f t="shared" si="80"/>
        <v>1.0424728487886383E-3</v>
      </c>
      <c r="Q404" s="43">
        <f t="shared" si="81"/>
        <v>0.12369246754103497</v>
      </c>
      <c r="R404" s="144" t="e">
        <f t="shared" si="82"/>
        <v>#N/A</v>
      </c>
      <c r="S404" s="147" t="e">
        <f t="shared" si="83"/>
        <v>#N/A</v>
      </c>
    </row>
    <row r="405" spans="1:19">
      <c r="A405" s="144">
        <v>12.2</v>
      </c>
      <c r="B405" s="43">
        <v>8.6599999999999993E-3</v>
      </c>
      <c r="C405" s="43">
        <v>1.3919299999999999</v>
      </c>
      <c r="D405" s="43">
        <v>9.7014800000000001</v>
      </c>
      <c r="E405" s="147">
        <v>1.2</v>
      </c>
      <c r="F405" s="43"/>
      <c r="G405" s="39"/>
      <c r="H405" s="144">
        <f t="shared" si="72"/>
        <v>12.2</v>
      </c>
      <c r="I405" s="43">
        <f t="shared" si="73"/>
        <v>1.5637092731829574E-2</v>
      </c>
      <c r="J405" s="43">
        <f t="shared" si="74"/>
        <v>1.3919299999999999</v>
      </c>
      <c r="K405" s="43">
        <f t="shared" si="75"/>
        <v>3.812377415311391E-4</v>
      </c>
      <c r="L405" s="43">
        <f t="shared" ca="1" si="76"/>
        <v>0</v>
      </c>
      <c r="M405" s="43">
        <f t="shared" ca="1" si="77"/>
        <v>97.781126261923788</v>
      </c>
      <c r="N405" s="43">
        <f t="shared" ca="1" si="78"/>
        <v>1.0419298513089797E-3</v>
      </c>
      <c r="O405" s="43">
        <f t="shared" si="79"/>
        <v>97.679298245614021</v>
      </c>
      <c r="P405" s="43">
        <f t="shared" si="80"/>
        <v>1.0424728487886383E-3</v>
      </c>
      <c r="Q405" s="43">
        <f t="shared" si="81"/>
        <v>0.12369246754103497</v>
      </c>
      <c r="R405" s="144" t="e">
        <f t="shared" si="82"/>
        <v>#N/A</v>
      </c>
      <c r="S405" s="147" t="e">
        <f t="shared" si="83"/>
        <v>#N/A</v>
      </c>
    </row>
    <row r="406" spans="1:19">
      <c r="A406" s="144">
        <v>12.2</v>
      </c>
      <c r="B406" s="43">
        <v>8.6599999999999993E-3</v>
      </c>
      <c r="C406" s="43">
        <v>1.3919299999999999</v>
      </c>
      <c r="D406" s="43">
        <v>9.7014800000000001</v>
      </c>
      <c r="E406" s="147">
        <v>1.2</v>
      </c>
      <c r="F406" s="43"/>
      <c r="G406" s="39"/>
      <c r="H406" s="144">
        <f t="shared" si="72"/>
        <v>12.2</v>
      </c>
      <c r="I406" s="43">
        <f t="shared" si="73"/>
        <v>1.5637092731829574E-2</v>
      </c>
      <c r="J406" s="43">
        <f t="shared" si="74"/>
        <v>1.3919299999999999</v>
      </c>
      <c r="K406" s="43">
        <f t="shared" si="75"/>
        <v>3.812377415311391E-4</v>
      </c>
      <c r="L406" s="43">
        <f t="shared" ca="1" si="76"/>
        <v>0</v>
      </c>
      <c r="M406" s="43">
        <f t="shared" ca="1" si="77"/>
        <v>97.781126261923788</v>
      </c>
      <c r="N406" s="43">
        <f t="shared" ca="1" si="78"/>
        <v>1.0419298513089797E-3</v>
      </c>
      <c r="O406" s="43">
        <f t="shared" si="79"/>
        <v>97.679298245614021</v>
      </c>
      <c r="P406" s="43">
        <f t="shared" si="80"/>
        <v>1.0424728487886383E-3</v>
      </c>
      <c r="Q406" s="43">
        <f t="shared" si="81"/>
        <v>0.12369246754103497</v>
      </c>
      <c r="R406" s="144" t="e">
        <f t="shared" si="82"/>
        <v>#N/A</v>
      </c>
      <c r="S406" s="147" t="e">
        <f t="shared" si="83"/>
        <v>#N/A</v>
      </c>
    </row>
    <row r="407" spans="1:19">
      <c r="A407" s="144">
        <v>12.2</v>
      </c>
      <c r="B407" s="43">
        <v>8.6599999999999993E-3</v>
      </c>
      <c r="C407" s="43">
        <v>1.3919299999999999</v>
      </c>
      <c r="D407" s="43">
        <v>9.7014800000000001</v>
      </c>
      <c r="E407" s="147">
        <v>1.2</v>
      </c>
      <c r="F407" s="43"/>
      <c r="G407" s="39"/>
      <c r="H407" s="144">
        <f t="shared" si="72"/>
        <v>12.2</v>
      </c>
      <c r="I407" s="43">
        <f t="shared" si="73"/>
        <v>1.5637092731829574E-2</v>
      </c>
      <c r="J407" s="43">
        <f t="shared" si="74"/>
        <v>1.3919299999999999</v>
      </c>
      <c r="K407" s="43">
        <f t="shared" si="75"/>
        <v>3.812377415311391E-4</v>
      </c>
      <c r="L407" s="43">
        <f t="shared" ca="1" si="76"/>
        <v>0</v>
      </c>
      <c r="M407" s="43">
        <f t="shared" ca="1" si="77"/>
        <v>97.781126261923788</v>
      </c>
      <c r="N407" s="43">
        <f t="shared" ca="1" si="78"/>
        <v>1.0419298513089797E-3</v>
      </c>
      <c r="O407" s="43">
        <f t="shared" si="79"/>
        <v>97.679298245614021</v>
      </c>
      <c r="P407" s="43">
        <f t="shared" si="80"/>
        <v>1.0424728487886383E-3</v>
      </c>
      <c r="Q407" s="43">
        <f t="shared" si="81"/>
        <v>0.12369246754103497</v>
      </c>
      <c r="R407" s="144" t="e">
        <f t="shared" si="82"/>
        <v>#N/A</v>
      </c>
      <c r="S407" s="147" t="e">
        <f t="shared" si="83"/>
        <v>#N/A</v>
      </c>
    </row>
    <row r="408" spans="1:19">
      <c r="A408" s="144">
        <v>12.2</v>
      </c>
      <c r="B408" s="43">
        <v>8.6599999999999993E-3</v>
      </c>
      <c r="C408" s="43">
        <v>1.3919299999999999</v>
      </c>
      <c r="D408" s="43">
        <v>9.7014800000000001</v>
      </c>
      <c r="E408" s="147">
        <v>1.2</v>
      </c>
      <c r="F408" s="43"/>
      <c r="G408" s="39"/>
      <c r="H408" s="144">
        <f t="shared" si="72"/>
        <v>12.2</v>
      </c>
      <c r="I408" s="43">
        <f t="shared" si="73"/>
        <v>1.5637092731829574E-2</v>
      </c>
      <c r="J408" s="43">
        <f t="shared" si="74"/>
        <v>1.3919299999999999</v>
      </c>
      <c r="K408" s="43">
        <f t="shared" si="75"/>
        <v>3.812377415311391E-4</v>
      </c>
      <c r="L408" s="43">
        <f t="shared" ca="1" si="76"/>
        <v>0</v>
      </c>
      <c r="M408" s="43">
        <f t="shared" ca="1" si="77"/>
        <v>97.781126261923788</v>
      </c>
      <c r="N408" s="43">
        <f t="shared" ca="1" si="78"/>
        <v>1.0419298513089797E-3</v>
      </c>
      <c r="O408" s="43">
        <f t="shared" si="79"/>
        <v>97.679298245614021</v>
      </c>
      <c r="P408" s="43">
        <f t="shared" si="80"/>
        <v>1.0424728487886383E-3</v>
      </c>
      <c r="Q408" s="43">
        <f t="shared" si="81"/>
        <v>0.12369246754103497</v>
      </c>
      <c r="R408" s="144" t="e">
        <f t="shared" si="82"/>
        <v>#N/A</v>
      </c>
      <c r="S408" s="147" t="e">
        <f t="shared" si="83"/>
        <v>#N/A</v>
      </c>
    </row>
    <row r="409" spans="1:19">
      <c r="A409" s="144">
        <v>12.2</v>
      </c>
      <c r="B409" s="43">
        <v>8.6599999999999993E-3</v>
      </c>
      <c r="C409" s="43">
        <v>1.3919299999999999</v>
      </c>
      <c r="D409" s="43">
        <v>9.7014800000000001</v>
      </c>
      <c r="E409" s="147">
        <v>1.2</v>
      </c>
      <c r="F409" s="43"/>
      <c r="G409" s="39"/>
      <c r="H409" s="144">
        <f t="shared" si="72"/>
        <v>12.2</v>
      </c>
      <c r="I409" s="43">
        <f t="shared" si="73"/>
        <v>1.5637092731829574E-2</v>
      </c>
      <c r="J409" s="43">
        <f t="shared" si="74"/>
        <v>1.3919299999999999</v>
      </c>
      <c r="K409" s="43">
        <f t="shared" si="75"/>
        <v>3.812377415311391E-4</v>
      </c>
      <c r="L409" s="43">
        <f t="shared" ca="1" si="76"/>
        <v>0</v>
      </c>
      <c r="M409" s="43">
        <f t="shared" ca="1" si="77"/>
        <v>97.781126261923788</v>
      </c>
      <c r="N409" s="43">
        <f t="shared" ca="1" si="78"/>
        <v>1.0419298513089797E-3</v>
      </c>
      <c r="O409" s="43">
        <f t="shared" si="79"/>
        <v>97.679298245614021</v>
      </c>
      <c r="P409" s="43">
        <f t="shared" si="80"/>
        <v>1.0424728487886383E-3</v>
      </c>
      <c r="Q409" s="43">
        <f t="shared" si="81"/>
        <v>0.12369246754103497</v>
      </c>
      <c r="R409" s="144" t="e">
        <f t="shared" si="82"/>
        <v>#N/A</v>
      </c>
      <c r="S409" s="147" t="e">
        <f t="shared" si="83"/>
        <v>#N/A</v>
      </c>
    </row>
    <row r="410" spans="1:19">
      <c r="A410" s="144">
        <v>12.2</v>
      </c>
      <c r="B410" s="43">
        <v>8.6599999999999993E-3</v>
      </c>
      <c r="C410" s="43">
        <v>1.3919299999999999</v>
      </c>
      <c r="D410" s="43">
        <v>9.7014800000000001</v>
      </c>
      <c r="E410" s="147">
        <v>1.2</v>
      </c>
      <c r="F410" s="43"/>
      <c r="G410" s="39"/>
      <c r="H410" s="144">
        <f t="shared" si="72"/>
        <v>12.2</v>
      </c>
      <c r="I410" s="43">
        <f t="shared" si="73"/>
        <v>1.5637092731829574E-2</v>
      </c>
      <c r="J410" s="43">
        <f t="shared" si="74"/>
        <v>1.3919299999999999</v>
      </c>
      <c r="K410" s="43">
        <f t="shared" si="75"/>
        <v>3.812377415311391E-4</v>
      </c>
      <c r="L410" s="43">
        <f t="shared" ca="1" si="76"/>
        <v>0</v>
      </c>
      <c r="M410" s="43">
        <f t="shared" ca="1" si="77"/>
        <v>97.781126261923788</v>
      </c>
      <c r="N410" s="43">
        <f t="shared" ca="1" si="78"/>
        <v>1.0419298513089797E-3</v>
      </c>
      <c r="O410" s="43">
        <f t="shared" si="79"/>
        <v>97.679298245614021</v>
      </c>
      <c r="P410" s="43">
        <f t="shared" si="80"/>
        <v>1.0424728487886383E-3</v>
      </c>
      <c r="Q410" s="43">
        <f t="shared" si="81"/>
        <v>0.12369246754103497</v>
      </c>
      <c r="R410" s="144" t="e">
        <f t="shared" si="82"/>
        <v>#N/A</v>
      </c>
      <c r="S410" s="147" t="e">
        <f t="shared" si="83"/>
        <v>#N/A</v>
      </c>
    </row>
    <row r="411" spans="1:19">
      <c r="A411" s="144">
        <v>12.2</v>
      </c>
      <c r="B411" s="43">
        <v>8.6599999999999993E-3</v>
      </c>
      <c r="C411" s="43">
        <v>1.3919299999999999</v>
      </c>
      <c r="D411" s="43">
        <v>9.7014800000000001</v>
      </c>
      <c r="E411" s="147">
        <v>1.2</v>
      </c>
      <c r="F411" s="43"/>
      <c r="G411" s="39"/>
      <c r="H411" s="144">
        <f t="shared" si="72"/>
        <v>12.2</v>
      </c>
      <c r="I411" s="43">
        <f t="shared" si="73"/>
        <v>1.5637092731829574E-2</v>
      </c>
      <c r="J411" s="43">
        <f t="shared" si="74"/>
        <v>1.3919299999999999</v>
      </c>
      <c r="K411" s="43">
        <f t="shared" si="75"/>
        <v>3.812377415311391E-4</v>
      </c>
      <c r="L411" s="43">
        <f t="shared" ca="1" si="76"/>
        <v>0</v>
      </c>
      <c r="M411" s="43">
        <f t="shared" ca="1" si="77"/>
        <v>97.781126261923788</v>
      </c>
      <c r="N411" s="43">
        <f t="shared" ca="1" si="78"/>
        <v>1.0419298513089797E-3</v>
      </c>
      <c r="O411" s="43">
        <f t="shared" si="79"/>
        <v>97.679298245614021</v>
      </c>
      <c r="P411" s="43">
        <f t="shared" si="80"/>
        <v>1.0424728487886383E-3</v>
      </c>
      <c r="Q411" s="43">
        <f t="shared" si="81"/>
        <v>0.12369246754103497</v>
      </c>
      <c r="R411" s="144" t="e">
        <f t="shared" si="82"/>
        <v>#N/A</v>
      </c>
      <c r="S411" s="147" t="e">
        <f t="shared" si="83"/>
        <v>#N/A</v>
      </c>
    </row>
    <row r="412" spans="1:19">
      <c r="A412" s="144">
        <v>12.2</v>
      </c>
      <c r="B412" s="43">
        <v>8.6599999999999993E-3</v>
      </c>
      <c r="C412" s="43">
        <v>1.3919299999999999</v>
      </c>
      <c r="D412" s="43">
        <v>9.7014800000000001</v>
      </c>
      <c r="E412" s="147">
        <v>1.2</v>
      </c>
      <c r="F412" s="43"/>
      <c r="G412" s="39"/>
      <c r="H412" s="144">
        <f t="shared" si="72"/>
        <v>12.2</v>
      </c>
      <c r="I412" s="43">
        <f t="shared" si="73"/>
        <v>1.5637092731829574E-2</v>
      </c>
      <c r="J412" s="43">
        <f t="shared" si="74"/>
        <v>1.3919299999999999</v>
      </c>
      <c r="K412" s="43">
        <f t="shared" si="75"/>
        <v>3.812377415311391E-4</v>
      </c>
      <c r="L412" s="43">
        <f t="shared" ca="1" si="76"/>
        <v>0</v>
      </c>
      <c r="M412" s="43">
        <f t="shared" ca="1" si="77"/>
        <v>97.781126261923788</v>
      </c>
      <c r="N412" s="43">
        <f t="shared" ca="1" si="78"/>
        <v>1.0419298513089797E-3</v>
      </c>
      <c r="O412" s="43">
        <f t="shared" si="79"/>
        <v>97.679298245614021</v>
      </c>
      <c r="P412" s="43">
        <f t="shared" si="80"/>
        <v>1.0424728487886383E-3</v>
      </c>
      <c r="Q412" s="43">
        <f t="shared" si="81"/>
        <v>0.12369246754103497</v>
      </c>
      <c r="R412" s="144" t="e">
        <f t="shared" si="82"/>
        <v>#N/A</v>
      </c>
      <c r="S412" s="147" t="e">
        <f t="shared" si="83"/>
        <v>#N/A</v>
      </c>
    </row>
    <row r="413" spans="1:19">
      <c r="A413" s="144">
        <v>12.2</v>
      </c>
      <c r="B413" s="43">
        <v>8.6599999999999993E-3</v>
      </c>
      <c r="C413" s="43">
        <v>1.3919299999999999</v>
      </c>
      <c r="D413" s="43">
        <v>9.7014800000000001</v>
      </c>
      <c r="E413" s="147">
        <v>1.2</v>
      </c>
      <c r="F413" s="43"/>
      <c r="G413" s="39"/>
      <c r="H413" s="144">
        <f t="shared" si="72"/>
        <v>12.2</v>
      </c>
      <c r="I413" s="43">
        <f t="shared" si="73"/>
        <v>1.5637092731829574E-2</v>
      </c>
      <c r="J413" s="43">
        <f t="shared" si="74"/>
        <v>1.3919299999999999</v>
      </c>
      <c r="K413" s="43">
        <f t="shared" si="75"/>
        <v>3.812377415311391E-4</v>
      </c>
      <c r="L413" s="43">
        <f t="shared" ca="1" si="76"/>
        <v>0</v>
      </c>
      <c r="M413" s="43">
        <f t="shared" ca="1" si="77"/>
        <v>97.781126261923788</v>
      </c>
      <c r="N413" s="43">
        <f t="shared" ca="1" si="78"/>
        <v>1.0419298513089797E-3</v>
      </c>
      <c r="O413" s="43">
        <f t="shared" si="79"/>
        <v>97.679298245614021</v>
      </c>
      <c r="P413" s="43">
        <f t="shared" si="80"/>
        <v>1.0424728487886383E-3</v>
      </c>
      <c r="Q413" s="43">
        <f t="shared" si="81"/>
        <v>0.12369246754103497</v>
      </c>
      <c r="R413" s="144" t="e">
        <f t="shared" si="82"/>
        <v>#N/A</v>
      </c>
      <c r="S413" s="147" t="e">
        <f t="shared" si="83"/>
        <v>#N/A</v>
      </c>
    </row>
    <row r="414" spans="1:19">
      <c r="A414" s="144">
        <v>12.2</v>
      </c>
      <c r="B414" s="43">
        <v>8.6599999999999993E-3</v>
      </c>
      <c r="C414" s="43">
        <v>1.3919299999999999</v>
      </c>
      <c r="D414" s="43">
        <v>9.7014800000000001</v>
      </c>
      <c r="E414" s="147">
        <v>1.2</v>
      </c>
      <c r="F414" s="43"/>
      <c r="G414" s="39"/>
      <c r="H414" s="144">
        <f t="shared" si="72"/>
        <v>12.2</v>
      </c>
      <c r="I414" s="43">
        <f t="shared" si="73"/>
        <v>1.5637092731829574E-2</v>
      </c>
      <c r="J414" s="43">
        <f t="shared" si="74"/>
        <v>1.3919299999999999</v>
      </c>
      <c r="K414" s="43">
        <f t="shared" si="75"/>
        <v>3.812377415311391E-4</v>
      </c>
      <c r="L414" s="43">
        <f t="shared" ca="1" si="76"/>
        <v>0</v>
      </c>
      <c r="M414" s="43">
        <f t="shared" ca="1" si="77"/>
        <v>97.781126261923788</v>
      </c>
      <c r="N414" s="43">
        <f t="shared" ca="1" si="78"/>
        <v>1.0419298513089797E-3</v>
      </c>
      <c r="O414" s="43">
        <f t="shared" si="79"/>
        <v>97.679298245614021</v>
      </c>
      <c r="P414" s="43">
        <f t="shared" si="80"/>
        <v>1.0424728487886383E-3</v>
      </c>
      <c r="Q414" s="43">
        <f t="shared" si="81"/>
        <v>0.12369246754103497</v>
      </c>
      <c r="R414" s="144" t="e">
        <f t="shared" si="82"/>
        <v>#N/A</v>
      </c>
      <c r="S414" s="147" t="e">
        <f t="shared" si="83"/>
        <v>#N/A</v>
      </c>
    </row>
    <row r="415" spans="1:19">
      <c r="A415" s="144">
        <v>12.2</v>
      </c>
      <c r="B415" s="43">
        <v>8.6599999999999993E-3</v>
      </c>
      <c r="C415" s="43">
        <v>1.3919299999999999</v>
      </c>
      <c r="D415" s="43">
        <v>9.7014800000000001</v>
      </c>
      <c r="E415" s="147">
        <v>1.2</v>
      </c>
      <c r="F415" s="43"/>
      <c r="G415" s="39"/>
      <c r="H415" s="144">
        <f t="shared" si="72"/>
        <v>12.2</v>
      </c>
      <c r="I415" s="43">
        <f t="shared" si="73"/>
        <v>1.5637092731829574E-2</v>
      </c>
      <c r="J415" s="43">
        <f t="shared" si="74"/>
        <v>1.3919299999999999</v>
      </c>
      <c r="K415" s="43">
        <f t="shared" si="75"/>
        <v>3.812377415311391E-4</v>
      </c>
      <c r="L415" s="43">
        <f t="shared" ca="1" si="76"/>
        <v>0</v>
      </c>
      <c r="M415" s="43">
        <f t="shared" ca="1" si="77"/>
        <v>97.781126261923788</v>
      </c>
      <c r="N415" s="43">
        <f t="shared" ca="1" si="78"/>
        <v>1.0419298513089797E-3</v>
      </c>
      <c r="O415" s="43">
        <f t="shared" si="79"/>
        <v>97.679298245614021</v>
      </c>
      <c r="P415" s="43">
        <f t="shared" si="80"/>
        <v>1.0424728487886383E-3</v>
      </c>
      <c r="Q415" s="43">
        <f t="shared" si="81"/>
        <v>0.12369246754103497</v>
      </c>
      <c r="R415" s="144" t="e">
        <f t="shared" si="82"/>
        <v>#N/A</v>
      </c>
      <c r="S415" s="147" t="e">
        <f t="shared" si="83"/>
        <v>#N/A</v>
      </c>
    </row>
    <row r="416" spans="1:19">
      <c r="A416" s="144">
        <v>12.2</v>
      </c>
      <c r="B416" s="43">
        <v>8.6599999999999993E-3</v>
      </c>
      <c r="C416" s="43">
        <v>1.3919299999999999</v>
      </c>
      <c r="D416" s="43">
        <v>9.7014800000000001</v>
      </c>
      <c r="E416" s="147">
        <v>1.2</v>
      </c>
      <c r="F416" s="43"/>
      <c r="G416" s="39"/>
      <c r="H416" s="144">
        <f t="shared" si="72"/>
        <v>12.2</v>
      </c>
      <c r="I416" s="43">
        <f t="shared" si="73"/>
        <v>1.5637092731829574E-2</v>
      </c>
      <c r="J416" s="43">
        <f t="shared" si="74"/>
        <v>1.3919299999999999</v>
      </c>
      <c r="K416" s="43">
        <f t="shared" si="75"/>
        <v>3.812377415311391E-4</v>
      </c>
      <c r="L416" s="43">
        <f t="shared" ca="1" si="76"/>
        <v>0</v>
      </c>
      <c r="M416" s="43">
        <f t="shared" ca="1" si="77"/>
        <v>97.781126261923788</v>
      </c>
      <c r="N416" s="43">
        <f t="shared" ca="1" si="78"/>
        <v>1.0419298513089797E-3</v>
      </c>
      <c r="O416" s="43">
        <f t="shared" si="79"/>
        <v>97.679298245614021</v>
      </c>
      <c r="P416" s="43">
        <f t="shared" si="80"/>
        <v>1.0424728487886383E-3</v>
      </c>
      <c r="Q416" s="43">
        <f t="shared" si="81"/>
        <v>0.12369246754103497</v>
      </c>
      <c r="R416" s="144" t="e">
        <f t="shared" si="82"/>
        <v>#N/A</v>
      </c>
      <c r="S416" s="147" t="e">
        <f t="shared" si="83"/>
        <v>#N/A</v>
      </c>
    </row>
    <row r="417" spans="1:19">
      <c r="A417" s="144">
        <v>12.2</v>
      </c>
      <c r="B417" s="43">
        <v>8.6599999999999993E-3</v>
      </c>
      <c r="C417" s="43">
        <v>1.3919299999999999</v>
      </c>
      <c r="D417" s="43">
        <v>9.7014800000000001</v>
      </c>
      <c r="E417" s="147">
        <v>1.2</v>
      </c>
      <c r="F417" s="43"/>
      <c r="G417" s="39"/>
      <c r="H417" s="144">
        <f t="shared" si="72"/>
        <v>12.2</v>
      </c>
      <c r="I417" s="43">
        <f t="shared" si="73"/>
        <v>1.5637092731829574E-2</v>
      </c>
      <c r="J417" s="43">
        <f t="shared" si="74"/>
        <v>1.3919299999999999</v>
      </c>
      <c r="K417" s="43">
        <f t="shared" si="75"/>
        <v>3.812377415311391E-4</v>
      </c>
      <c r="L417" s="43">
        <f t="shared" ca="1" si="76"/>
        <v>0</v>
      </c>
      <c r="M417" s="43">
        <f t="shared" ca="1" si="77"/>
        <v>97.781126261923788</v>
      </c>
      <c r="N417" s="43">
        <f t="shared" ca="1" si="78"/>
        <v>1.0419298513089797E-3</v>
      </c>
      <c r="O417" s="43">
        <f t="shared" si="79"/>
        <v>97.679298245614021</v>
      </c>
      <c r="P417" s="43">
        <f t="shared" si="80"/>
        <v>1.0424728487886383E-3</v>
      </c>
      <c r="Q417" s="43">
        <f t="shared" si="81"/>
        <v>0.12369246754103497</v>
      </c>
      <c r="R417" s="144" t="e">
        <f t="shared" si="82"/>
        <v>#N/A</v>
      </c>
      <c r="S417" s="147" t="e">
        <f t="shared" si="83"/>
        <v>#N/A</v>
      </c>
    </row>
    <row r="418" spans="1:19">
      <c r="A418" s="144">
        <v>12.2</v>
      </c>
      <c r="B418" s="43">
        <v>8.6599999999999993E-3</v>
      </c>
      <c r="C418" s="43">
        <v>1.3919299999999999</v>
      </c>
      <c r="D418" s="43">
        <v>9.7014800000000001</v>
      </c>
      <c r="E418" s="147">
        <v>1.2</v>
      </c>
      <c r="F418" s="43"/>
      <c r="G418" s="39"/>
      <c r="H418" s="144">
        <f t="shared" si="72"/>
        <v>12.2</v>
      </c>
      <c r="I418" s="43">
        <f t="shared" si="73"/>
        <v>1.5637092731829574E-2</v>
      </c>
      <c r="J418" s="43">
        <f t="shared" si="74"/>
        <v>1.3919299999999999</v>
      </c>
      <c r="K418" s="43">
        <f t="shared" si="75"/>
        <v>3.812377415311391E-4</v>
      </c>
      <c r="L418" s="43">
        <f t="shared" ca="1" si="76"/>
        <v>0</v>
      </c>
      <c r="M418" s="43">
        <f t="shared" ca="1" si="77"/>
        <v>97.781126261923788</v>
      </c>
      <c r="N418" s="43">
        <f t="shared" ca="1" si="78"/>
        <v>1.0419298513089797E-3</v>
      </c>
      <c r="O418" s="43">
        <f t="shared" si="79"/>
        <v>97.679298245614021</v>
      </c>
      <c r="P418" s="43">
        <f t="shared" si="80"/>
        <v>1.0424728487886383E-3</v>
      </c>
      <c r="Q418" s="43">
        <f t="shared" si="81"/>
        <v>0.12369246754103497</v>
      </c>
      <c r="R418" s="144" t="e">
        <f t="shared" si="82"/>
        <v>#N/A</v>
      </c>
      <c r="S418" s="147" t="e">
        <f t="shared" si="83"/>
        <v>#N/A</v>
      </c>
    </row>
    <row r="419" spans="1:19">
      <c r="A419" s="144">
        <v>12.2</v>
      </c>
      <c r="B419" s="43">
        <v>8.6599999999999993E-3</v>
      </c>
      <c r="C419" s="43">
        <v>1.3919299999999999</v>
      </c>
      <c r="D419" s="43">
        <v>9.7014800000000001</v>
      </c>
      <c r="E419" s="147">
        <v>1.2</v>
      </c>
      <c r="F419" s="43"/>
      <c r="G419" s="39"/>
      <c r="H419" s="144">
        <f t="shared" si="72"/>
        <v>12.2</v>
      </c>
      <c r="I419" s="43">
        <f t="shared" si="73"/>
        <v>1.5637092731829574E-2</v>
      </c>
      <c r="J419" s="43">
        <f t="shared" si="74"/>
        <v>1.3919299999999999</v>
      </c>
      <c r="K419" s="43">
        <f t="shared" si="75"/>
        <v>3.812377415311391E-4</v>
      </c>
      <c r="L419" s="43">
        <f t="shared" ca="1" si="76"/>
        <v>0</v>
      </c>
      <c r="M419" s="43">
        <f t="shared" ca="1" si="77"/>
        <v>97.781126261923788</v>
      </c>
      <c r="N419" s="43">
        <f t="shared" ca="1" si="78"/>
        <v>1.0419298513089797E-3</v>
      </c>
      <c r="O419" s="43">
        <f t="shared" si="79"/>
        <v>97.679298245614021</v>
      </c>
      <c r="P419" s="43">
        <f t="shared" si="80"/>
        <v>1.0424728487886383E-3</v>
      </c>
      <c r="Q419" s="43">
        <f t="shared" si="81"/>
        <v>0.12369246754103497</v>
      </c>
      <c r="R419" s="144" t="e">
        <f t="shared" si="82"/>
        <v>#N/A</v>
      </c>
      <c r="S419" s="147" t="e">
        <f t="shared" si="83"/>
        <v>#N/A</v>
      </c>
    </row>
    <row r="420" spans="1:19">
      <c r="A420" s="144">
        <v>12.2</v>
      </c>
      <c r="B420" s="43">
        <v>8.6599999999999993E-3</v>
      </c>
      <c r="C420" s="43">
        <v>1.3919299999999999</v>
      </c>
      <c r="D420" s="43">
        <v>9.7014800000000001</v>
      </c>
      <c r="E420" s="147">
        <v>1.2</v>
      </c>
      <c r="F420" s="43"/>
      <c r="G420" s="39"/>
      <c r="H420" s="144">
        <f t="shared" si="72"/>
        <v>12.2</v>
      </c>
      <c r="I420" s="43">
        <f t="shared" si="73"/>
        <v>1.5637092731829574E-2</v>
      </c>
      <c r="J420" s="43">
        <f t="shared" si="74"/>
        <v>1.3919299999999999</v>
      </c>
      <c r="K420" s="43">
        <f t="shared" si="75"/>
        <v>3.812377415311391E-4</v>
      </c>
      <c r="L420" s="43">
        <f t="shared" ca="1" si="76"/>
        <v>0</v>
      </c>
      <c r="M420" s="43">
        <f t="shared" ca="1" si="77"/>
        <v>97.781126261923788</v>
      </c>
      <c r="N420" s="43">
        <f t="shared" ca="1" si="78"/>
        <v>1.0419298513089797E-3</v>
      </c>
      <c r="O420" s="43">
        <f t="shared" si="79"/>
        <v>97.679298245614021</v>
      </c>
      <c r="P420" s="43">
        <f t="shared" si="80"/>
        <v>1.0424728487886383E-3</v>
      </c>
      <c r="Q420" s="43">
        <f t="shared" si="81"/>
        <v>0.12369246754103497</v>
      </c>
      <c r="R420" s="144" t="e">
        <f t="shared" si="82"/>
        <v>#N/A</v>
      </c>
      <c r="S420" s="147" t="e">
        <f t="shared" si="83"/>
        <v>#N/A</v>
      </c>
    </row>
    <row r="421" spans="1:19">
      <c r="A421" s="144">
        <v>12.2</v>
      </c>
      <c r="B421" s="43">
        <v>8.6599999999999993E-3</v>
      </c>
      <c r="C421" s="43">
        <v>1.3919299999999999</v>
      </c>
      <c r="D421" s="43">
        <v>9.7014800000000001</v>
      </c>
      <c r="E421" s="147">
        <v>1.2</v>
      </c>
      <c r="F421" s="43"/>
      <c r="G421" s="39"/>
      <c r="H421" s="144">
        <f t="shared" si="72"/>
        <v>12.2</v>
      </c>
      <c r="I421" s="43">
        <f t="shared" si="73"/>
        <v>1.5637092731829574E-2</v>
      </c>
      <c r="J421" s="43">
        <f t="shared" si="74"/>
        <v>1.3919299999999999</v>
      </c>
      <c r="K421" s="43">
        <f t="shared" si="75"/>
        <v>3.812377415311391E-4</v>
      </c>
      <c r="L421" s="43">
        <f t="shared" ca="1" si="76"/>
        <v>0</v>
      </c>
      <c r="M421" s="43">
        <f t="shared" ca="1" si="77"/>
        <v>97.781126261923788</v>
      </c>
      <c r="N421" s="43">
        <f t="shared" ca="1" si="78"/>
        <v>1.0419298513089797E-3</v>
      </c>
      <c r="O421" s="43">
        <f t="shared" si="79"/>
        <v>97.679298245614021</v>
      </c>
      <c r="P421" s="43">
        <f t="shared" si="80"/>
        <v>1.0424728487886383E-3</v>
      </c>
      <c r="Q421" s="43">
        <f t="shared" si="81"/>
        <v>0.12369246754103497</v>
      </c>
      <c r="R421" s="144" t="e">
        <f t="shared" si="82"/>
        <v>#N/A</v>
      </c>
      <c r="S421" s="147" t="e">
        <f t="shared" si="83"/>
        <v>#N/A</v>
      </c>
    </row>
    <row r="422" spans="1:19">
      <c r="A422" s="144">
        <v>12.2</v>
      </c>
      <c r="B422" s="43">
        <v>8.6599999999999993E-3</v>
      </c>
      <c r="C422" s="43">
        <v>1.3919299999999999</v>
      </c>
      <c r="D422" s="43">
        <v>9.7014800000000001</v>
      </c>
      <c r="E422" s="147">
        <v>1.2</v>
      </c>
      <c r="F422" s="43"/>
      <c r="G422" s="39"/>
      <c r="H422" s="144">
        <f t="shared" si="72"/>
        <v>12.2</v>
      </c>
      <c r="I422" s="43">
        <f t="shared" si="73"/>
        <v>1.5637092731829574E-2</v>
      </c>
      <c r="J422" s="43">
        <f t="shared" si="74"/>
        <v>1.3919299999999999</v>
      </c>
      <c r="K422" s="43">
        <f t="shared" si="75"/>
        <v>3.812377415311391E-4</v>
      </c>
      <c r="L422" s="43">
        <f t="shared" ca="1" si="76"/>
        <v>0</v>
      </c>
      <c r="M422" s="43">
        <f t="shared" ca="1" si="77"/>
        <v>97.781126261923788</v>
      </c>
      <c r="N422" s="43">
        <f t="shared" ca="1" si="78"/>
        <v>1.0419298513089797E-3</v>
      </c>
      <c r="O422" s="43">
        <f t="shared" si="79"/>
        <v>97.679298245614021</v>
      </c>
      <c r="P422" s="43">
        <f t="shared" si="80"/>
        <v>1.0424728487886383E-3</v>
      </c>
      <c r="Q422" s="43">
        <f t="shared" si="81"/>
        <v>0.12369246754103497</v>
      </c>
      <c r="R422" s="144" t="e">
        <f t="shared" si="82"/>
        <v>#N/A</v>
      </c>
      <c r="S422" s="147" t="e">
        <f t="shared" si="83"/>
        <v>#N/A</v>
      </c>
    </row>
    <row r="423" spans="1:19">
      <c r="A423" s="144">
        <v>12.2</v>
      </c>
      <c r="B423" s="43">
        <v>8.6599999999999993E-3</v>
      </c>
      <c r="C423" s="43">
        <v>1.3919299999999999</v>
      </c>
      <c r="D423" s="43">
        <v>9.7014800000000001</v>
      </c>
      <c r="E423" s="147">
        <v>1.2</v>
      </c>
      <c r="F423" s="43"/>
      <c r="G423" s="39"/>
      <c r="H423" s="144">
        <f t="shared" si="72"/>
        <v>12.2</v>
      </c>
      <c r="I423" s="43">
        <f t="shared" si="73"/>
        <v>1.5637092731829574E-2</v>
      </c>
      <c r="J423" s="43">
        <f t="shared" si="74"/>
        <v>1.3919299999999999</v>
      </c>
      <c r="K423" s="43">
        <f t="shared" si="75"/>
        <v>3.812377415311391E-4</v>
      </c>
      <c r="L423" s="43">
        <f t="shared" ca="1" si="76"/>
        <v>0</v>
      </c>
      <c r="M423" s="43">
        <f t="shared" ca="1" si="77"/>
        <v>97.781126261923788</v>
      </c>
      <c r="N423" s="43">
        <f t="shared" ca="1" si="78"/>
        <v>1.0419298513089797E-3</v>
      </c>
      <c r="O423" s="43">
        <f t="shared" si="79"/>
        <v>97.679298245614021</v>
      </c>
      <c r="P423" s="43">
        <f t="shared" si="80"/>
        <v>1.0424728487886383E-3</v>
      </c>
      <c r="Q423" s="43">
        <f t="shared" si="81"/>
        <v>0.12369246754103497</v>
      </c>
      <c r="R423" s="144" t="e">
        <f t="shared" si="82"/>
        <v>#N/A</v>
      </c>
      <c r="S423" s="147" t="e">
        <f t="shared" si="83"/>
        <v>#N/A</v>
      </c>
    </row>
    <row r="424" spans="1:19">
      <c r="A424" s="144">
        <v>12.2</v>
      </c>
      <c r="B424" s="43">
        <v>8.6599999999999993E-3</v>
      </c>
      <c r="C424" s="43">
        <v>1.3919299999999999</v>
      </c>
      <c r="D424" s="43">
        <v>9.7014800000000001</v>
      </c>
      <c r="E424" s="147">
        <v>1.2</v>
      </c>
      <c r="F424" s="43"/>
      <c r="G424" s="39"/>
      <c r="H424" s="144">
        <f t="shared" si="72"/>
        <v>12.2</v>
      </c>
      <c r="I424" s="43">
        <f t="shared" si="73"/>
        <v>1.5637092731829574E-2</v>
      </c>
      <c r="J424" s="43">
        <f t="shared" si="74"/>
        <v>1.3919299999999999</v>
      </c>
      <c r="K424" s="43">
        <f t="shared" si="75"/>
        <v>3.812377415311391E-4</v>
      </c>
      <c r="L424" s="43">
        <f t="shared" ca="1" si="76"/>
        <v>0</v>
      </c>
      <c r="M424" s="43">
        <f t="shared" ca="1" si="77"/>
        <v>97.781126261923788</v>
      </c>
      <c r="N424" s="43">
        <f t="shared" ca="1" si="78"/>
        <v>1.0419298513089797E-3</v>
      </c>
      <c r="O424" s="43">
        <f t="shared" si="79"/>
        <v>97.679298245614021</v>
      </c>
      <c r="P424" s="43">
        <f t="shared" si="80"/>
        <v>1.0424728487886383E-3</v>
      </c>
      <c r="Q424" s="43">
        <f t="shared" si="81"/>
        <v>0.12369246754103497</v>
      </c>
      <c r="R424" s="144" t="e">
        <f t="shared" si="82"/>
        <v>#N/A</v>
      </c>
      <c r="S424" s="147" t="e">
        <f t="shared" si="83"/>
        <v>#N/A</v>
      </c>
    </row>
    <row r="425" spans="1:19">
      <c r="A425" s="144">
        <v>12.2</v>
      </c>
      <c r="B425" s="43">
        <v>8.6599999999999993E-3</v>
      </c>
      <c r="C425" s="43">
        <v>1.3919299999999999</v>
      </c>
      <c r="D425" s="43">
        <v>9.7014800000000001</v>
      </c>
      <c r="E425" s="147">
        <v>1.2</v>
      </c>
      <c r="F425" s="43"/>
      <c r="G425" s="39"/>
      <c r="H425" s="144">
        <f t="shared" si="72"/>
        <v>12.2</v>
      </c>
      <c r="I425" s="43">
        <f t="shared" si="73"/>
        <v>1.5637092731829574E-2</v>
      </c>
      <c r="J425" s="43">
        <f t="shared" si="74"/>
        <v>1.3919299999999999</v>
      </c>
      <c r="K425" s="43">
        <f t="shared" si="75"/>
        <v>3.812377415311391E-4</v>
      </c>
      <c r="L425" s="43">
        <f t="shared" ca="1" si="76"/>
        <v>0</v>
      </c>
      <c r="M425" s="43">
        <f t="shared" ca="1" si="77"/>
        <v>97.781126261923788</v>
      </c>
      <c r="N425" s="43">
        <f t="shared" ca="1" si="78"/>
        <v>1.0419298513089797E-3</v>
      </c>
      <c r="O425" s="43">
        <f t="shared" si="79"/>
        <v>97.679298245614021</v>
      </c>
      <c r="P425" s="43">
        <f t="shared" si="80"/>
        <v>1.0424728487886383E-3</v>
      </c>
      <c r="Q425" s="43">
        <f t="shared" si="81"/>
        <v>0.12369246754103497</v>
      </c>
      <c r="R425" s="144" t="e">
        <f t="shared" si="82"/>
        <v>#N/A</v>
      </c>
      <c r="S425" s="147" t="e">
        <f t="shared" si="83"/>
        <v>#N/A</v>
      </c>
    </row>
    <row r="426" spans="1:19">
      <c r="A426" s="144">
        <v>12.2</v>
      </c>
      <c r="B426" s="43">
        <v>8.6599999999999993E-3</v>
      </c>
      <c r="C426" s="43">
        <v>1.3919299999999999</v>
      </c>
      <c r="D426" s="43">
        <v>9.7014800000000001</v>
      </c>
      <c r="E426" s="147">
        <v>1.2</v>
      </c>
      <c r="F426" s="43"/>
      <c r="G426" s="39"/>
      <c r="H426" s="144">
        <f t="shared" si="72"/>
        <v>12.2</v>
      </c>
      <c r="I426" s="43">
        <f t="shared" si="73"/>
        <v>1.5637092731829574E-2</v>
      </c>
      <c r="J426" s="43">
        <f t="shared" si="74"/>
        <v>1.3919299999999999</v>
      </c>
      <c r="K426" s="43">
        <f t="shared" si="75"/>
        <v>3.812377415311391E-4</v>
      </c>
      <c r="L426" s="43">
        <f t="shared" ca="1" si="76"/>
        <v>0</v>
      </c>
      <c r="M426" s="43">
        <f t="shared" ca="1" si="77"/>
        <v>97.781126261923788</v>
      </c>
      <c r="N426" s="43">
        <f t="shared" ca="1" si="78"/>
        <v>1.0419298513089797E-3</v>
      </c>
      <c r="O426" s="43">
        <f t="shared" si="79"/>
        <v>97.679298245614021</v>
      </c>
      <c r="P426" s="43">
        <f t="shared" si="80"/>
        <v>1.0424728487886383E-3</v>
      </c>
      <c r="Q426" s="43">
        <f t="shared" si="81"/>
        <v>0.12369246754103497</v>
      </c>
      <c r="R426" s="144" t="e">
        <f t="shared" si="82"/>
        <v>#N/A</v>
      </c>
      <c r="S426" s="147" t="e">
        <f t="shared" si="83"/>
        <v>#N/A</v>
      </c>
    </row>
    <row r="427" spans="1:19">
      <c r="A427" s="144">
        <v>12.2</v>
      </c>
      <c r="B427" s="43">
        <v>8.6599999999999993E-3</v>
      </c>
      <c r="C427" s="43">
        <v>1.3919299999999999</v>
      </c>
      <c r="D427" s="43">
        <v>9.7014800000000001</v>
      </c>
      <c r="E427" s="147">
        <v>1.2</v>
      </c>
      <c r="F427" s="43"/>
      <c r="G427" s="39"/>
      <c r="H427" s="144">
        <f t="shared" si="72"/>
        <v>12.2</v>
      </c>
      <c r="I427" s="43">
        <f t="shared" si="73"/>
        <v>1.5637092731829574E-2</v>
      </c>
      <c r="J427" s="43">
        <f t="shared" si="74"/>
        <v>1.3919299999999999</v>
      </c>
      <c r="K427" s="43">
        <f t="shared" si="75"/>
        <v>3.812377415311391E-4</v>
      </c>
      <c r="L427" s="43">
        <f t="shared" ca="1" si="76"/>
        <v>0</v>
      </c>
      <c r="M427" s="43">
        <f t="shared" ca="1" si="77"/>
        <v>97.781126261923788</v>
      </c>
      <c r="N427" s="43">
        <f t="shared" ca="1" si="78"/>
        <v>1.0419298513089797E-3</v>
      </c>
      <c r="O427" s="43">
        <f t="shared" si="79"/>
        <v>97.679298245614021</v>
      </c>
      <c r="P427" s="43">
        <f t="shared" si="80"/>
        <v>1.0424728487886383E-3</v>
      </c>
      <c r="Q427" s="43">
        <f t="shared" si="81"/>
        <v>0.12369246754103497</v>
      </c>
      <c r="R427" s="144" t="e">
        <f t="shared" si="82"/>
        <v>#N/A</v>
      </c>
      <c r="S427" s="147" t="e">
        <f t="shared" si="83"/>
        <v>#N/A</v>
      </c>
    </row>
    <row r="428" spans="1:19">
      <c r="A428" s="144">
        <v>12.2</v>
      </c>
      <c r="B428" s="43">
        <v>8.6599999999999993E-3</v>
      </c>
      <c r="C428" s="43">
        <v>1.3919299999999999</v>
      </c>
      <c r="D428" s="43">
        <v>9.7014800000000001</v>
      </c>
      <c r="E428" s="147">
        <v>1.2</v>
      </c>
      <c r="F428" s="43"/>
      <c r="G428" s="39"/>
      <c r="H428" s="144">
        <f t="shared" si="72"/>
        <v>12.2</v>
      </c>
      <c r="I428" s="43">
        <f t="shared" si="73"/>
        <v>1.5637092731829574E-2</v>
      </c>
      <c r="J428" s="43">
        <f t="shared" si="74"/>
        <v>1.3919299999999999</v>
      </c>
      <c r="K428" s="43">
        <f t="shared" si="75"/>
        <v>3.812377415311391E-4</v>
      </c>
      <c r="L428" s="43">
        <f t="shared" ca="1" si="76"/>
        <v>0</v>
      </c>
      <c r="M428" s="43">
        <f t="shared" ca="1" si="77"/>
        <v>97.781126261923788</v>
      </c>
      <c r="N428" s="43">
        <f t="shared" ca="1" si="78"/>
        <v>1.0419298513089797E-3</v>
      </c>
      <c r="O428" s="43">
        <f t="shared" si="79"/>
        <v>97.679298245614021</v>
      </c>
      <c r="P428" s="43">
        <f t="shared" si="80"/>
        <v>1.0424728487886383E-3</v>
      </c>
      <c r="Q428" s="43">
        <f t="shared" si="81"/>
        <v>0.12369246754103497</v>
      </c>
      <c r="R428" s="144" t="e">
        <f t="shared" si="82"/>
        <v>#N/A</v>
      </c>
      <c r="S428" s="147" t="e">
        <f t="shared" si="83"/>
        <v>#N/A</v>
      </c>
    </row>
    <row r="429" spans="1:19">
      <c r="A429" s="144">
        <v>12.2</v>
      </c>
      <c r="B429" s="43">
        <v>8.6599999999999993E-3</v>
      </c>
      <c r="C429" s="43">
        <v>1.3919299999999999</v>
      </c>
      <c r="D429" s="43">
        <v>9.7014800000000001</v>
      </c>
      <c r="E429" s="147">
        <v>1.2</v>
      </c>
      <c r="F429" s="43"/>
      <c r="G429" s="39"/>
      <c r="H429" s="144">
        <f t="shared" si="72"/>
        <v>12.2</v>
      </c>
      <c r="I429" s="43">
        <f t="shared" si="73"/>
        <v>1.5637092731829574E-2</v>
      </c>
      <c r="J429" s="43">
        <f t="shared" si="74"/>
        <v>1.3919299999999999</v>
      </c>
      <c r="K429" s="43">
        <f t="shared" si="75"/>
        <v>3.812377415311391E-4</v>
      </c>
      <c r="L429" s="43">
        <f t="shared" ca="1" si="76"/>
        <v>0</v>
      </c>
      <c r="M429" s="43">
        <f t="shared" ca="1" si="77"/>
        <v>97.781126261923788</v>
      </c>
      <c r="N429" s="43">
        <f t="shared" ca="1" si="78"/>
        <v>1.0419298513089797E-3</v>
      </c>
      <c r="O429" s="43">
        <f t="shared" si="79"/>
        <v>97.679298245614021</v>
      </c>
      <c r="P429" s="43">
        <f t="shared" si="80"/>
        <v>1.0424728487886383E-3</v>
      </c>
      <c r="Q429" s="43">
        <f t="shared" si="81"/>
        <v>0.12369246754103497</v>
      </c>
      <c r="R429" s="144" t="e">
        <f t="shared" si="82"/>
        <v>#N/A</v>
      </c>
      <c r="S429" s="147" t="e">
        <f t="shared" si="83"/>
        <v>#N/A</v>
      </c>
    </row>
    <row r="430" spans="1:19">
      <c r="A430" s="144">
        <v>12.2</v>
      </c>
      <c r="B430" s="43">
        <v>8.6599999999999993E-3</v>
      </c>
      <c r="C430" s="43">
        <v>1.3919299999999999</v>
      </c>
      <c r="D430" s="43">
        <v>9.7014800000000001</v>
      </c>
      <c r="E430" s="147">
        <v>1.2</v>
      </c>
      <c r="F430" s="43"/>
      <c r="G430" s="39"/>
      <c r="H430" s="144">
        <f t="shared" si="72"/>
        <v>12.2</v>
      </c>
      <c r="I430" s="43">
        <f t="shared" si="73"/>
        <v>1.5637092731829574E-2</v>
      </c>
      <c r="J430" s="43">
        <f t="shared" si="74"/>
        <v>1.3919299999999999</v>
      </c>
      <c r="K430" s="43">
        <f t="shared" si="75"/>
        <v>3.812377415311391E-4</v>
      </c>
      <c r="L430" s="43">
        <f t="shared" ca="1" si="76"/>
        <v>0</v>
      </c>
      <c r="M430" s="43">
        <f t="shared" ca="1" si="77"/>
        <v>97.781126261923788</v>
      </c>
      <c r="N430" s="43">
        <f t="shared" ca="1" si="78"/>
        <v>1.0419298513089797E-3</v>
      </c>
      <c r="O430" s="43">
        <f t="shared" si="79"/>
        <v>97.679298245614021</v>
      </c>
      <c r="P430" s="43">
        <f t="shared" si="80"/>
        <v>1.0424728487886383E-3</v>
      </c>
      <c r="Q430" s="43">
        <f t="shared" si="81"/>
        <v>0.12369246754103497</v>
      </c>
      <c r="R430" s="144" t="e">
        <f t="shared" si="82"/>
        <v>#N/A</v>
      </c>
      <c r="S430" s="147" t="e">
        <f t="shared" si="83"/>
        <v>#N/A</v>
      </c>
    </row>
    <row r="431" spans="1:19">
      <c r="A431" s="144">
        <v>12.2</v>
      </c>
      <c r="B431" s="43">
        <v>8.6599999999999993E-3</v>
      </c>
      <c r="C431" s="43">
        <v>1.3919299999999999</v>
      </c>
      <c r="D431" s="43">
        <v>9.7014800000000001</v>
      </c>
      <c r="E431" s="147">
        <v>1.2</v>
      </c>
      <c r="F431" s="43"/>
      <c r="G431" s="39"/>
      <c r="H431" s="144">
        <f t="shared" si="72"/>
        <v>12.2</v>
      </c>
      <c r="I431" s="43">
        <f t="shared" si="73"/>
        <v>1.5637092731829574E-2</v>
      </c>
      <c r="J431" s="43">
        <f t="shared" si="74"/>
        <v>1.3919299999999999</v>
      </c>
      <c r="K431" s="43">
        <f t="shared" si="75"/>
        <v>3.812377415311391E-4</v>
      </c>
      <c r="L431" s="43">
        <f t="shared" ca="1" si="76"/>
        <v>0</v>
      </c>
      <c r="M431" s="43">
        <f t="shared" ca="1" si="77"/>
        <v>97.781126261923788</v>
      </c>
      <c r="N431" s="43">
        <f t="shared" ca="1" si="78"/>
        <v>1.0419298513089797E-3</v>
      </c>
      <c r="O431" s="43">
        <f t="shared" si="79"/>
        <v>97.679298245614021</v>
      </c>
      <c r="P431" s="43">
        <f t="shared" si="80"/>
        <v>1.0424728487886383E-3</v>
      </c>
      <c r="Q431" s="43">
        <f t="shared" si="81"/>
        <v>0.12369246754103497</v>
      </c>
      <c r="R431" s="144" t="e">
        <f t="shared" si="82"/>
        <v>#N/A</v>
      </c>
      <c r="S431" s="147" t="e">
        <f t="shared" si="83"/>
        <v>#N/A</v>
      </c>
    </row>
    <row r="432" spans="1:19">
      <c r="A432" s="144">
        <v>12.2</v>
      </c>
      <c r="B432" s="43">
        <v>8.6599999999999993E-3</v>
      </c>
      <c r="C432" s="43">
        <v>1.3919299999999999</v>
      </c>
      <c r="D432" s="43">
        <v>9.7014800000000001</v>
      </c>
      <c r="E432" s="147">
        <v>1.2</v>
      </c>
      <c r="F432" s="43"/>
      <c r="G432" s="39"/>
      <c r="H432" s="144">
        <f t="shared" si="72"/>
        <v>12.2</v>
      </c>
      <c r="I432" s="43">
        <f t="shared" si="73"/>
        <v>1.5637092731829574E-2</v>
      </c>
      <c r="J432" s="43">
        <f t="shared" si="74"/>
        <v>1.3919299999999999</v>
      </c>
      <c r="K432" s="43">
        <f t="shared" si="75"/>
        <v>3.812377415311391E-4</v>
      </c>
      <c r="L432" s="43">
        <f t="shared" ca="1" si="76"/>
        <v>0</v>
      </c>
      <c r="M432" s="43">
        <f t="shared" ca="1" si="77"/>
        <v>97.781126261923788</v>
      </c>
      <c r="N432" s="43">
        <f t="shared" ca="1" si="78"/>
        <v>1.0419298513089797E-3</v>
      </c>
      <c r="O432" s="43">
        <f t="shared" si="79"/>
        <v>97.679298245614021</v>
      </c>
      <c r="P432" s="43">
        <f t="shared" si="80"/>
        <v>1.0424728487886383E-3</v>
      </c>
      <c r="Q432" s="43">
        <f t="shared" si="81"/>
        <v>0.12369246754103497</v>
      </c>
      <c r="R432" s="144" t="e">
        <f t="shared" si="82"/>
        <v>#N/A</v>
      </c>
      <c r="S432" s="147" t="e">
        <f t="shared" si="83"/>
        <v>#N/A</v>
      </c>
    </row>
    <row r="433" spans="1:19">
      <c r="A433" s="144">
        <v>12.2</v>
      </c>
      <c r="B433" s="43">
        <v>8.6599999999999993E-3</v>
      </c>
      <c r="C433" s="43">
        <v>1.3919299999999999</v>
      </c>
      <c r="D433" s="43">
        <v>9.7014800000000001</v>
      </c>
      <c r="E433" s="147">
        <v>1.2</v>
      </c>
      <c r="F433" s="43"/>
      <c r="G433" s="39"/>
      <c r="H433" s="144">
        <f t="shared" si="72"/>
        <v>12.2</v>
      </c>
      <c r="I433" s="43">
        <f t="shared" si="73"/>
        <v>1.5637092731829574E-2</v>
      </c>
      <c r="J433" s="43">
        <f t="shared" si="74"/>
        <v>1.3919299999999999</v>
      </c>
      <c r="K433" s="43">
        <f t="shared" si="75"/>
        <v>3.812377415311391E-4</v>
      </c>
      <c r="L433" s="43">
        <f t="shared" ca="1" si="76"/>
        <v>0</v>
      </c>
      <c r="M433" s="43">
        <f t="shared" ca="1" si="77"/>
        <v>97.781126261923788</v>
      </c>
      <c r="N433" s="43">
        <f t="shared" ca="1" si="78"/>
        <v>1.0419298513089797E-3</v>
      </c>
      <c r="O433" s="43">
        <f t="shared" si="79"/>
        <v>97.679298245614021</v>
      </c>
      <c r="P433" s="43">
        <f t="shared" si="80"/>
        <v>1.0424728487886383E-3</v>
      </c>
      <c r="Q433" s="43">
        <f t="shared" si="81"/>
        <v>0.12369246754103497</v>
      </c>
      <c r="R433" s="144" t="e">
        <f t="shared" si="82"/>
        <v>#N/A</v>
      </c>
      <c r="S433" s="147" t="e">
        <f t="shared" si="83"/>
        <v>#N/A</v>
      </c>
    </row>
    <row r="434" spans="1:19">
      <c r="A434" s="144">
        <v>12.2</v>
      </c>
      <c r="B434" s="43">
        <v>8.6599999999999993E-3</v>
      </c>
      <c r="C434" s="43">
        <v>1.3919299999999999</v>
      </c>
      <c r="D434" s="43">
        <v>9.7014800000000001</v>
      </c>
      <c r="E434" s="147">
        <v>1.2</v>
      </c>
      <c r="F434" s="43"/>
      <c r="G434" s="39"/>
      <c r="H434" s="144">
        <f t="shared" si="72"/>
        <v>12.2</v>
      </c>
      <c r="I434" s="43">
        <f t="shared" si="73"/>
        <v>1.5637092731829574E-2</v>
      </c>
      <c r="J434" s="43">
        <f t="shared" si="74"/>
        <v>1.3919299999999999</v>
      </c>
      <c r="K434" s="43">
        <f t="shared" si="75"/>
        <v>3.812377415311391E-4</v>
      </c>
      <c r="L434" s="43">
        <f t="shared" ca="1" si="76"/>
        <v>0</v>
      </c>
      <c r="M434" s="43">
        <f t="shared" ca="1" si="77"/>
        <v>97.781126261923788</v>
      </c>
      <c r="N434" s="43">
        <f t="shared" ca="1" si="78"/>
        <v>1.0419298513089797E-3</v>
      </c>
      <c r="O434" s="43">
        <f t="shared" si="79"/>
        <v>97.679298245614021</v>
      </c>
      <c r="P434" s="43">
        <f t="shared" si="80"/>
        <v>1.0424728487886383E-3</v>
      </c>
      <c r="Q434" s="43">
        <f t="shared" si="81"/>
        <v>0.12369246754103497</v>
      </c>
      <c r="R434" s="144" t="e">
        <f t="shared" si="82"/>
        <v>#N/A</v>
      </c>
      <c r="S434" s="147" t="e">
        <f t="shared" si="83"/>
        <v>#N/A</v>
      </c>
    </row>
    <row r="435" spans="1:19">
      <c r="A435" s="144">
        <v>12.2</v>
      </c>
      <c r="B435" s="43">
        <v>8.6599999999999993E-3</v>
      </c>
      <c r="C435" s="43">
        <v>1.3919299999999999</v>
      </c>
      <c r="D435" s="43">
        <v>9.7014800000000001</v>
      </c>
      <c r="E435" s="147">
        <v>1.2</v>
      </c>
      <c r="F435" s="43"/>
      <c r="G435" s="39"/>
      <c r="H435" s="144">
        <f t="shared" si="72"/>
        <v>12.2</v>
      </c>
      <c r="I435" s="43">
        <f t="shared" si="73"/>
        <v>1.5637092731829574E-2</v>
      </c>
      <c r="J435" s="43">
        <f t="shared" si="74"/>
        <v>1.3919299999999999</v>
      </c>
      <c r="K435" s="43">
        <f t="shared" si="75"/>
        <v>3.812377415311391E-4</v>
      </c>
      <c r="L435" s="43">
        <f t="shared" ca="1" si="76"/>
        <v>0</v>
      </c>
      <c r="M435" s="43">
        <f t="shared" ca="1" si="77"/>
        <v>97.781126261923788</v>
      </c>
      <c r="N435" s="43">
        <f t="shared" ca="1" si="78"/>
        <v>1.0419298513089797E-3</v>
      </c>
      <c r="O435" s="43">
        <f t="shared" si="79"/>
        <v>97.679298245614021</v>
      </c>
      <c r="P435" s="43">
        <f t="shared" si="80"/>
        <v>1.0424728487886383E-3</v>
      </c>
      <c r="Q435" s="43">
        <f t="shared" si="81"/>
        <v>0.12369246754103497</v>
      </c>
      <c r="R435" s="144" t="e">
        <f t="shared" si="82"/>
        <v>#N/A</v>
      </c>
      <c r="S435" s="147" t="e">
        <f t="shared" si="83"/>
        <v>#N/A</v>
      </c>
    </row>
    <row r="436" spans="1:19">
      <c r="A436" s="144">
        <v>12.2</v>
      </c>
      <c r="B436" s="43">
        <v>8.6599999999999993E-3</v>
      </c>
      <c r="C436" s="43">
        <v>1.3919299999999999</v>
      </c>
      <c r="D436" s="43">
        <v>9.7014800000000001</v>
      </c>
      <c r="E436" s="147">
        <v>1.2</v>
      </c>
      <c r="F436" s="43"/>
      <c r="G436" s="39"/>
      <c r="H436" s="144">
        <f t="shared" si="72"/>
        <v>12.2</v>
      </c>
      <c r="I436" s="43">
        <f t="shared" si="73"/>
        <v>1.5637092731829574E-2</v>
      </c>
      <c r="J436" s="43">
        <f t="shared" si="74"/>
        <v>1.3919299999999999</v>
      </c>
      <c r="K436" s="43">
        <f t="shared" si="75"/>
        <v>3.812377415311391E-4</v>
      </c>
      <c r="L436" s="43">
        <f t="shared" ca="1" si="76"/>
        <v>0</v>
      </c>
      <c r="M436" s="43">
        <f t="shared" ca="1" si="77"/>
        <v>97.781126261923788</v>
      </c>
      <c r="N436" s="43">
        <f t="shared" ca="1" si="78"/>
        <v>1.0419298513089797E-3</v>
      </c>
      <c r="O436" s="43">
        <f t="shared" si="79"/>
        <v>97.679298245614021</v>
      </c>
      <c r="P436" s="43">
        <f t="shared" si="80"/>
        <v>1.0424728487886383E-3</v>
      </c>
      <c r="Q436" s="43">
        <f t="shared" si="81"/>
        <v>0.12369246754103497</v>
      </c>
      <c r="R436" s="144" t="e">
        <f t="shared" si="82"/>
        <v>#N/A</v>
      </c>
      <c r="S436" s="147" t="e">
        <f t="shared" si="83"/>
        <v>#N/A</v>
      </c>
    </row>
    <row r="437" spans="1:19">
      <c r="A437" s="144">
        <v>12.2</v>
      </c>
      <c r="B437" s="43">
        <v>8.6599999999999993E-3</v>
      </c>
      <c r="C437" s="43">
        <v>1.3919299999999999</v>
      </c>
      <c r="D437" s="43">
        <v>9.7014800000000001</v>
      </c>
      <c r="E437" s="147">
        <v>1.2</v>
      </c>
      <c r="F437" s="43"/>
      <c r="G437" s="39"/>
      <c r="H437" s="144">
        <f t="shared" si="72"/>
        <v>12.2</v>
      </c>
      <c r="I437" s="43">
        <f t="shared" si="73"/>
        <v>1.5637092731829574E-2</v>
      </c>
      <c r="J437" s="43">
        <f t="shared" si="74"/>
        <v>1.3919299999999999</v>
      </c>
      <c r="K437" s="43">
        <f t="shared" si="75"/>
        <v>3.812377415311391E-4</v>
      </c>
      <c r="L437" s="43">
        <f t="shared" ca="1" si="76"/>
        <v>0</v>
      </c>
      <c r="M437" s="43">
        <f t="shared" ca="1" si="77"/>
        <v>97.781126261923788</v>
      </c>
      <c r="N437" s="43">
        <f t="shared" ca="1" si="78"/>
        <v>1.0419298513089797E-3</v>
      </c>
      <c r="O437" s="43">
        <f t="shared" si="79"/>
        <v>97.679298245614021</v>
      </c>
      <c r="P437" s="43">
        <f t="shared" si="80"/>
        <v>1.0424728487886383E-3</v>
      </c>
      <c r="Q437" s="43">
        <f t="shared" si="81"/>
        <v>0.12369246754103497</v>
      </c>
      <c r="R437" s="144" t="e">
        <f t="shared" si="82"/>
        <v>#N/A</v>
      </c>
      <c r="S437" s="147" t="e">
        <f t="shared" si="83"/>
        <v>#N/A</v>
      </c>
    </row>
    <row r="438" spans="1:19">
      <c r="A438" s="144">
        <v>12.2</v>
      </c>
      <c r="B438" s="43">
        <v>8.6599999999999993E-3</v>
      </c>
      <c r="C438" s="43">
        <v>1.3919299999999999</v>
      </c>
      <c r="D438" s="43">
        <v>9.7014800000000001</v>
      </c>
      <c r="E438" s="147">
        <v>1.2</v>
      </c>
      <c r="F438" s="43"/>
      <c r="G438" s="39"/>
      <c r="H438" s="144">
        <f t="shared" si="72"/>
        <v>12.2</v>
      </c>
      <c r="I438" s="43">
        <f t="shared" si="73"/>
        <v>1.5637092731829574E-2</v>
      </c>
      <c r="J438" s="43">
        <f t="shared" si="74"/>
        <v>1.3919299999999999</v>
      </c>
      <c r="K438" s="43">
        <f t="shared" si="75"/>
        <v>3.812377415311391E-4</v>
      </c>
      <c r="L438" s="43">
        <f t="shared" ca="1" si="76"/>
        <v>0</v>
      </c>
      <c r="M438" s="43">
        <f t="shared" ca="1" si="77"/>
        <v>97.781126261923788</v>
      </c>
      <c r="N438" s="43">
        <f t="shared" ca="1" si="78"/>
        <v>1.0419298513089797E-3</v>
      </c>
      <c r="O438" s="43">
        <f t="shared" si="79"/>
        <v>97.679298245614021</v>
      </c>
      <c r="P438" s="43">
        <f t="shared" si="80"/>
        <v>1.0424728487886383E-3</v>
      </c>
      <c r="Q438" s="43">
        <f t="shared" si="81"/>
        <v>0.12369246754103497</v>
      </c>
      <c r="R438" s="144" t="e">
        <f t="shared" si="82"/>
        <v>#N/A</v>
      </c>
      <c r="S438" s="147" t="e">
        <f t="shared" si="83"/>
        <v>#N/A</v>
      </c>
    </row>
    <row r="439" spans="1:19">
      <c r="A439" s="144">
        <v>12.2</v>
      </c>
      <c r="B439" s="43">
        <v>8.6599999999999993E-3</v>
      </c>
      <c r="C439" s="43">
        <v>1.3919299999999999</v>
      </c>
      <c r="D439" s="43">
        <v>9.7014800000000001</v>
      </c>
      <c r="E439" s="147">
        <v>1.2</v>
      </c>
      <c r="F439" s="43"/>
      <c r="G439" s="39"/>
      <c r="H439" s="144">
        <f t="shared" si="72"/>
        <v>12.2</v>
      </c>
      <c r="I439" s="43">
        <f t="shared" si="73"/>
        <v>1.5637092731829574E-2</v>
      </c>
      <c r="J439" s="43">
        <f t="shared" si="74"/>
        <v>1.3919299999999999</v>
      </c>
      <c r="K439" s="43">
        <f t="shared" si="75"/>
        <v>3.812377415311391E-4</v>
      </c>
      <c r="L439" s="43">
        <f t="shared" ca="1" si="76"/>
        <v>0</v>
      </c>
      <c r="M439" s="43">
        <f t="shared" ca="1" si="77"/>
        <v>97.781126261923788</v>
      </c>
      <c r="N439" s="43">
        <f t="shared" ca="1" si="78"/>
        <v>1.0419298513089797E-3</v>
      </c>
      <c r="O439" s="43">
        <f t="shared" si="79"/>
        <v>97.679298245614021</v>
      </c>
      <c r="P439" s="43">
        <f t="shared" si="80"/>
        <v>1.0424728487886383E-3</v>
      </c>
      <c r="Q439" s="43">
        <f t="shared" si="81"/>
        <v>0.12369246754103497</v>
      </c>
      <c r="R439" s="144" t="e">
        <f t="shared" si="82"/>
        <v>#N/A</v>
      </c>
      <c r="S439" s="147" t="e">
        <f t="shared" si="83"/>
        <v>#N/A</v>
      </c>
    </row>
    <row r="440" spans="1:19">
      <c r="A440" s="144">
        <v>12.2</v>
      </c>
      <c r="B440" s="43">
        <v>8.6599999999999993E-3</v>
      </c>
      <c r="C440" s="43">
        <v>1.3919299999999999</v>
      </c>
      <c r="D440" s="43">
        <v>9.7014800000000001</v>
      </c>
      <c r="E440" s="147">
        <v>1.2</v>
      </c>
      <c r="F440" s="43"/>
      <c r="G440" s="39"/>
      <c r="H440" s="144">
        <f t="shared" si="72"/>
        <v>12.2</v>
      </c>
      <c r="I440" s="43">
        <f t="shared" si="73"/>
        <v>1.5637092731829574E-2</v>
      </c>
      <c r="J440" s="43">
        <f t="shared" si="74"/>
        <v>1.3919299999999999</v>
      </c>
      <c r="K440" s="43">
        <f t="shared" si="75"/>
        <v>3.812377415311391E-4</v>
      </c>
      <c r="L440" s="43">
        <f t="shared" ca="1" si="76"/>
        <v>0</v>
      </c>
      <c r="M440" s="43">
        <f t="shared" ca="1" si="77"/>
        <v>97.781126261923788</v>
      </c>
      <c r="N440" s="43">
        <f t="shared" ca="1" si="78"/>
        <v>1.0419298513089797E-3</v>
      </c>
      <c r="O440" s="43">
        <f t="shared" si="79"/>
        <v>97.679298245614021</v>
      </c>
      <c r="P440" s="43">
        <f t="shared" si="80"/>
        <v>1.0424728487886383E-3</v>
      </c>
      <c r="Q440" s="43">
        <f t="shared" si="81"/>
        <v>0.12369246754103497</v>
      </c>
      <c r="R440" s="144" t="e">
        <f t="shared" si="82"/>
        <v>#N/A</v>
      </c>
      <c r="S440" s="147" t="e">
        <f t="shared" si="83"/>
        <v>#N/A</v>
      </c>
    </row>
    <row r="441" spans="1:19">
      <c r="A441" s="144">
        <v>12.2</v>
      </c>
      <c r="B441" s="43">
        <v>8.6599999999999993E-3</v>
      </c>
      <c r="C441" s="43">
        <v>1.3919299999999999</v>
      </c>
      <c r="D441" s="43">
        <v>9.7014800000000001</v>
      </c>
      <c r="E441" s="147">
        <v>1.2</v>
      </c>
      <c r="F441" s="43"/>
      <c r="G441" s="39"/>
      <c r="H441" s="144">
        <f t="shared" si="72"/>
        <v>12.2</v>
      </c>
      <c r="I441" s="43">
        <f t="shared" si="73"/>
        <v>1.5637092731829574E-2</v>
      </c>
      <c r="J441" s="43">
        <f t="shared" si="74"/>
        <v>1.3919299999999999</v>
      </c>
      <c r="K441" s="43">
        <f t="shared" si="75"/>
        <v>3.812377415311391E-4</v>
      </c>
      <c r="L441" s="43">
        <f t="shared" ca="1" si="76"/>
        <v>0</v>
      </c>
      <c r="M441" s="43">
        <f t="shared" ca="1" si="77"/>
        <v>97.781126261923788</v>
      </c>
      <c r="N441" s="43">
        <f t="shared" ca="1" si="78"/>
        <v>1.0419298513089797E-3</v>
      </c>
      <c r="O441" s="43">
        <f t="shared" si="79"/>
        <v>97.679298245614021</v>
      </c>
      <c r="P441" s="43">
        <f t="shared" si="80"/>
        <v>1.0424728487886383E-3</v>
      </c>
      <c r="Q441" s="43">
        <f t="shared" si="81"/>
        <v>0.12369246754103497</v>
      </c>
      <c r="R441" s="144" t="e">
        <f t="shared" si="82"/>
        <v>#N/A</v>
      </c>
      <c r="S441" s="147" t="e">
        <f t="shared" si="83"/>
        <v>#N/A</v>
      </c>
    </row>
    <row r="442" spans="1:19">
      <c r="A442" s="144">
        <v>12.2</v>
      </c>
      <c r="B442" s="43">
        <v>8.6599999999999993E-3</v>
      </c>
      <c r="C442" s="43">
        <v>1.3919299999999999</v>
      </c>
      <c r="D442" s="43">
        <v>9.7014800000000001</v>
      </c>
      <c r="E442" s="147">
        <v>1.2</v>
      </c>
      <c r="F442" s="43"/>
      <c r="G442" s="39"/>
      <c r="H442" s="144">
        <f t="shared" si="72"/>
        <v>12.2</v>
      </c>
      <c r="I442" s="43">
        <f t="shared" si="73"/>
        <v>1.5637092731829574E-2</v>
      </c>
      <c r="J442" s="43">
        <f t="shared" si="74"/>
        <v>1.3919299999999999</v>
      </c>
      <c r="K442" s="43">
        <f t="shared" si="75"/>
        <v>3.812377415311391E-4</v>
      </c>
      <c r="L442" s="43">
        <f t="shared" ca="1" si="76"/>
        <v>0</v>
      </c>
      <c r="M442" s="43">
        <f t="shared" ca="1" si="77"/>
        <v>97.781126261923788</v>
      </c>
      <c r="N442" s="43">
        <f t="shared" ca="1" si="78"/>
        <v>1.0419298513089797E-3</v>
      </c>
      <c r="O442" s="43">
        <f t="shared" si="79"/>
        <v>97.679298245614021</v>
      </c>
      <c r="P442" s="43">
        <f t="shared" si="80"/>
        <v>1.0424728487886383E-3</v>
      </c>
      <c r="Q442" s="43">
        <f t="shared" si="81"/>
        <v>0.12369246754103497</v>
      </c>
      <c r="R442" s="144" t="e">
        <f t="shared" si="82"/>
        <v>#N/A</v>
      </c>
      <c r="S442" s="147" t="e">
        <f t="shared" si="83"/>
        <v>#N/A</v>
      </c>
    </row>
    <row r="443" spans="1:19">
      <c r="A443" s="144">
        <v>12.2</v>
      </c>
      <c r="B443" s="43">
        <v>8.6599999999999993E-3</v>
      </c>
      <c r="C443" s="43">
        <v>1.3919299999999999</v>
      </c>
      <c r="D443" s="43">
        <v>9.7014800000000001</v>
      </c>
      <c r="E443" s="147">
        <v>1.2</v>
      </c>
      <c r="F443" s="43"/>
      <c r="G443" s="39"/>
      <c r="H443" s="144">
        <f t="shared" si="72"/>
        <v>12.2</v>
      </c>
      <c r="I443" s="43">
        <f t="shared" si="73"/>
        <v>1.5637092731829574E-2</v>
      </c>
      <c r="J443" s="43">
        <f t="shared" si="74"/>
        <v>1.3919299999999999</v>
      </c>
      <c r="K443" s="43">
        <f t="shared" si="75"/>
        <v>3.812377415311391E-4</v>
      </c>
      <c r="L443" s="43">
        <f t="shared" ca="1" si="76"/>
        <v>0</v>
      </c>
      <c r="M443" s="43">
        <f t="shared" ca="1" si="77"/>
        <v>97.781126261923788</v>
      </c>
      <c r="N443" s="43">
        <f t="shared" ca="1" si="78"/>
        <v>1.0419298513089797E-3</v>
      </c>
      <c r="O443" s="43">
        <f t="shared" si="79"/>
        <v>97.679298245614021</v>
      </c>
      <c r="P443" s="43">
        <f t="shared" si="80"/>
        <v>1.0424728487886383E-3</v>
      </c>
      <c r="Q443" s="43">
        <f t="shared" si="81"/>
        <v>0.12369246754103497</v>
      </c>
      <c r="R443" s="144" t="e">
        <f t="shared" si="82"/>
        <v>#N/A</v>
      </c>
      <c r="S443" s="147" t="e">
        <f t="shared" si="83"/>
        <v>#N/A</v>
      </c>
    </row>
    <row r="444" spans="1:19">
      <c r="A444" s="144">
        <v>12.2</v>
      </c>
      <c r="B444" s="43">
        <v>8.6599999999999993E-3</v>
      </c>
      <c r="C444" s="43">
        <v>1.3919299999999999</v>
      </c>
      <c r="D444" s="43">
        <v>9.7014800000000001</v>
      </c>
      <c r="E444" s="147">
        <v>1.2</v>
      </c>
      <c r="F444" s="43"/>
      <c r="G444" s="39"/>
      <c r="H444" s="144">
        <f t="shared" si="72"/>
        <v>12.2</v>
      </c>
      <c r="I444" s="43">
        <f t="shared" si="73"/>
        <v>1.5637092731829574E-2</v>
      </c>
      <c r="J444" s="43">
        <f t="shared" si="74"/>
        <v>1.3919299999999999</v>
      </c>
      <c r="K444" s="43">
        <f t="shared" si="75"/>
        <v>3.812377415311391E-4</v>
      </c>
      <c r="L444" s="43">
        <f t="shared" ca="1" si="76"/>
        <v>0</v>
      </c>
      <c r="M444" s="43">
        <f t="shared" ca="1" si="77"/>
        <v>97.781126261923788</v>
      </c>
      <c r="N444" s="43">
        <f t="shared" ca="1" si="78"/>
        <v>1.0419298513089797E-3</v>
      </c>
      <c r="O444" s="43">
        <f t="shared" si="79"/>
        <v>97.679298245614021</v>
      </c>
      <c r="P444" s="43">
        <f t="shared" si="80"/>
        <v>1.0424728487886383E-3</v>
      </c>
      <c r="Q444" s="43">
        <f t="shared" si="81"/>
        <v>0.12369246754103497</v>
      </c>
      <c r="R444" s="144" t="e">
        <f t="shared" si="82"/>
        <v>#N/A</v>
      </c>
      <c r="S444" s="147" t="e">
        <f t="shared" si="83"/>
        <v>#N/A</v>
      </c>
    </row>
    <row r="445" spans="1:19">
      <c r="A445" s="144">
        <v>12.2</v>
      </c>
      <c r="B445" s="43">
        <v>8.6599999999999993E-3</v>
      </c>
      <c r="C445" s="43">
        <v>1.3919299999999999</v>
      </c>
      <c r="D445" s="43">
        <v>9.7014800000000001</v>
      </c>
      <c r="E445" s="147">
        <v>1.2</v>
      </c>
      <c r="F445" s="43"/>
      <c r="G445" s="39"/>
      <c r="H445" s="144">
        <f t="shared" si="72"/>
        <v>12.2</v>
      </c>
      <c r="I445" s="43">
        <f t="shared" si="73"/>
        <v>1.5637092731829574E-2</v>
      </c>
      <c r="J445" s="43">
        <f t="shared" si="74"/>
        <v>1.3919299999999999</v>
      </c>
      <c r="K445" s="43">
        <f t="shared" si="75"/>
        <v>3.812377415311391E-4</v>
      </c>
      <c r="L445" s="43">
        <f t="shared" ca="1" si="76"/>
        <v>0</v>
      </c>
      <c r="M445" s="43">
        <f t="shared" ca="1" si="77"/>
        <v>97.781126261923788</v>
      </c>
      <c r="N445" s="43">
        <f t="shared" ca="1" si="78"/>
        <v>1.0419298513089797E-3</v>
      </c>
      <c r="O445" s="43">
        <f t="shared" si="79"/>
        <v>97.679298245614021</v>
      </c>
      <c r="P445" s="43">
        <f t="shared" si="80"/>
        <v>1.0424728487886383E-3</v>
      </c>
      <c r="Q445" s="43">
        <f t="shared" si="81"/>
        <v>0.12369246754103497</v>
      </c>
      <c r="R445" s="144" t="e">
        <f t="shared" si="82"/>
        <v>#N/A</v>
      </c>
      <c r="S445" s="147" t="e">
        <f t="shared" si="83"/>
        <v>#N/A</v>
      </c>
    </row>
    <row r="446" spans="1:19">
      <c r="A446" s="144">
        <v>12.2</v>
      </c>
      <c r="B446" s="43">
        <v>8.6599999999999993E-3</v>
      </c>
      <c r="C446" s="43">
        <v>1.3919299999999999</v>
      </c>
      <c r="D446" s="43">
        <v>9.7014800000000001</v>
      </c>
      <c r="E446" s="147">
        <v>1.2</v>
      </c>
      <c r="F446" s="43"/>
      <c r="G446" s="39"/>
      <c r="H446" s="144">
        <f t="shared" si="72"/>
        <v>12.2</v>
      </c>
      <c r="I446" s="43">
        <f t="shared" si="73"/>
        <v>1.5637092731829574E-2</v>
      </c>
      <c r="J446" s="43">
        <f t="shared" si="74"/>
        <v>1.3919299999999999</v>
      </c>
      <c r="K446" s="43">
        <f t="shared" si="75"/>
        <v>3.812377415311391E-4</v>
      </c>
      <c r="L446" s="43">
        <f t="shared" ca="1" si="76"/>
        <v>0</v>
      </c>
      <c r="M446" s="43">
        <f t="shared" ca="1" si="77"/>
        <v>97.781126261923788</v>
      </c>
      <c r="N446" s="43">
        <f t="shared" ca="1" si="78"/>
        <v>1.0419298513089797E-3</v>
      </c>
      <c r="O446" s="43">
        <f t="shared" si="79"/>
        <v>97.679298245614021</v>
      </c>
      <c r="P446" s="43">
        <f t="shared" si="80"/>
        <v>1.0424728487886383E-3</v>
      </c>
      <c r="Q446" s="43">
        <f t="shared" si="81"/>
        <v>0.12369246754103497</v>
      </c>
      <c r="R446" s="144" t="e">
        <f t="shared" si="82"/>
        <v>#N/A</v>
      </c>
      <c r="S446" s="147" t="e">
        <f t="shared" si="83"/>
        <v>#N/A</v>
      </c>
    </row>
    <row r="447" spans="1:19">
      <c r="A447" s="144">
        <v>12.2</v>
      </c>
      <c r="B447" s="43">
        <v>8.6599999999999993E-3</v>
      </c>
      <c r="C447" s="43">
        <v>1.3919299999999999</v>
      </c>
      <c r="D447" s="43">
        <v>9.7014800000000001</v>
      </c>
      <c r="E447" s="147">
        <v>1.2</v>
      </c>
      <c r="F447" s="43"/>
      <c r="G447" s="39"/>
      <c r="H447" s="144">
        <f t="shared" si="72"/>
        <v>12.2</v>
      </c>
      <c r="I447" s="43">
        <f t="shared" si="73"/>
        <v>1.5637092731829574E-2</v>
      </c>
      <c r="J447" s="43">
        <f t="shared" si="74"/>
        <v>1.3919299999999999</v>
      </c>
      <c r="K447" s="43">
        <f t="shared" si="75"/>
        <v>3.812377415311391E-4</v>
      </c>
      <c r="L447" s="43">
        <f t="shared" ca="1" si="76"/>
        <v>0</v>
      </c>
      <c r="M447" s="43">
        <f t="shared" ca="1" si="77"/>
        <v>97.781126261923788</v>
      </c>
      <c r="N447" s="43">
        <f t="shared" ca="1" si="78"/>
        <v>1.0419298513089797E-3</v>
      </c>
      <c r="O447" s="43">
        <f t="shared" si="79"/>
        <v>97.679298245614021</v>
      </c>
      <c r="P447" s="43">
        <f t="shared" si="80"/>
        <v>1.0424728487886383E-3</v>
      </c>
      <c r="Q447" s="43">
        <f t="shared" si="81"/>
        <v>0.12369246754103497</v>
      </c>
      <c r="R447" s="144" t="e">
        <f t="shared" si="82"/>
        <v>#N/A</v>
      </c>
      <c r="S447" s="147" t="e">
        <f t="shared" si="83"/>
        <v>#N/A</v>
      </c>
    </row>
    <row r="448" spans="1:19">
      <c r="A448" s="144">
        <v>12.2</v>
      </c>
      <c r="B448" s="43">
        <v>8.6599999999999993E-3</v>
      </c>
      <c r="C448" s="43">
        <v>1.3919299999999999</v>
      </c>
      <c r="D448" s="43">
        <v>9.7014800000000001</v>
      </c>
      <c r="E448" s="147">
        <v>1.2</v>
      </c>
      <c r="F448" s="43"/>
      <c r="G448" s="39"/>
      <c r="H448" s="144">
        <f t="shared" si="72"/>
        <v>12.2</v>
      </c>
      <c r="I448" s="43">
        <f t="shared" si="73"/>
        <v>1.5637092731829574E-2</v>
      </c>
      <c r="J448" s="43">
        <f t="shared" si="74"/>
        <v>1.3919299999999999</v>
      </c>
      <c r="K448" s="43">
        <f t="shared" si="75"/>
        <v>3.812377415311391E-4</v>
      </c>
      <c r="L448" s="43">
        <f t="shared" ca="1" si="76"/>
        <v>0</v>
      </c>
      <c r="M448" s="43">
        <f t="shared" ca="1" si="77"/>
        <v>97.781126261923788</v>
      </c>
      <c r="N448" s="43">
        <f t="shared" ca="1" si="78"/>
        <v>1.0419298513089797E-3</v>
      </c>
      <c r="O448" s="43">
        <f t="shared" si="79"/>
        <v>97.679298245614021</v>
      </c>
      <c r="P448" s="43">
        <f t="shared" si="80"/>
        <v>1.0424728487886383E-3</v>
      </c>
      <c r="Q448" s="43">
        <f t="shared" si="81"/>
        <v>0.12369246754103497</v>
      </c>
      <c r="R448" s="144" t="e">
        <f t="shared" si="82"/>
        <v>#N/A</v>
      </c>
      <c r="S448" s="147" t="e">
        <f t="shared" si="83"/>
        <v>#N/A</v>
      </c>
    </row>
    <row r="449" spans="1:19">
      <c r="A449" s="144">
        <v>12.2</v>
      </c>
      <c r="B449" s="43">
        <v>8.6599999999999993E-3</v>
      </c>
      <c r="C449" s="43">
        <v>1.3919299999999999</v>
      </c>
      <c r="D449" s="43">
        <v>9.7014800000000001</v>
      </c>
      <c r="E449" s="147">
        <v>1.2</v>
      </c>
      <c r="F449" s="43"/>
      <c r="G449" s="39"/>
      <c r="H449" s="144">
        <f t="shared" si="72"/>
        <v>12.2</v>
      </c>
      <c r="I449" s="43">
        <f t="shared" si="73"/>
        <v>1.5637092731829574E-2</v>
      </c>
      <c r="J449" s="43">
        <f t="shared" si="74"/>
        <v>1.3919299999999999</v>
      </c>
      <c r="K449" s="43">
        <f t="shared" si="75"/>
        <v>3.812377415311391E-4</v>
      </c>
      <c r="L449" s="43">
        <f t="shared" ca="1" si="76"/>
        <v>0</v>
      </c>
      <c r="M449" s="43">
        <f t="shared" ca="1" si="77"/>
        <v>97.781126261923788</v>
      </c>
      <c r="N449" s="43">
        <f t="shared" ca="1" si="78"/>
        <v>1.0419298513089797E-3</v>
      </c>
      <c r="O449" s="43">
        <f t="shared" si="79"/>
        <v>97.679298245614021</v>
      </c>
      <c r="P449" s="43">
        <f t="shared" si="80"/>
        <v>1.0424728487886383E-3</v>
      </c>
      <c r="Q449" s="43">
        <f t="shared" si="81"/>
        <v>0.12369246754103497</v>
      </c>
      <c r="R449" s="144" t="e">
        <f t="shared" si="82"/>
        <v>#N/A</v>
      </c>
      <c r="S449" s="147" t="e">
        <f t="shared" si="83"/>
        <v>#N/A</v>
      </c>
    </row>
    <row r="450" spans="1:19">
      <c r="A450" s="144">
        <v>12.2</v>
      </c>
      <c r="B450" s="43">
        <v>8.6599999999999993E-3</v>
      </c>
      <c r="C450" s="43">
        <v>1.3919299999999999</v>
      </c>
      <c r="D450" s="43">
        <v>9.7014800000000001</v>
      </c>
      <c r="E450" s="147">
        <v>1.2</v>
      </c>
      <c r="F450" s="43"/>
      <c r="G450" s="39"/>
      <c r="H450" s="144">
        <f t="shared" si="72"/>
        <v>12.2</v>
      </c>
      <c r="I450" s="43">
        <f t="shared" si="73"/>
        <v>1.5637092731829574E-2</v>
      </c>
      <c r="J450" s="43">
        <f t="shared" si="74"/>
        <v>1.3919299999999999</v>
      </c>
      <c r="K450" s="43">
        <f t="shared" si="75"/>
        <v>3.812377415311391E-4</v>
      </c>
      <c r="L450" s="43">
        <f t="shared" ca="1" si="76"/>
        <v>0</v>
      </c>
      <c r="M450" s="43">
        <f t="shared" ca="1" si="77"/>
        <v>97.781126261923788</v>
      </c>
      <c r="N450" s="43">
        <f t="shared" ca="1" si="78"/>
        <v>1.0419298513089797E-3</v>
      </c>
      <c r="O450" s="43">
        <f t="shared" si="79"/>
        <v>97.679298245614021</v>
      </c>
      <c r="P450" s="43">
        <f t="shared" si="80"/>
        <v>1.0424728487886383E-3</v>
      </c>
      <c r="Q450" s="43">
        <f t="shared" si="81"/>
        <v>0.12369246754103497</v>
      </c>
      <c r="R450" s="144" t="e">
        <f t="shared" si="82"/>
        <v>#N/A</v>
      </c>
      <c r="S450" s="147" t="e">
        <f t="shared" si="83"/>
        <v>#N/A</v>
      </c>
    </row>
    <row r="451" spans="1:19">
      <c r="A451" s="144">
        <v>12.2</v>
      </c>
      <c r="B451" s="43">
        <v>8.6599999999999993E-3</v>
      </c>
      <c r="C451" s="43">
        <v>1.3919299999999999</v>
      </c>
      <c r="D451" s="43">
        <v>9.7014800000000001</v>
      </c>
      <c r="E451" s="147">
        <v>1.2</v>
      </c>
      <c r="F451" s="43"/>
      <c r="G451" s="39"/>
      <c r="H451" s="144">
        <f t="shared" si="72"/>
        <v>12.2</v>
      </c>
      <c r="I451" s="43">
        <f t="shared" si="73"/>
        <v>1.5637092731829574E-2</v>
      </c>
      <c r="J451" s="43">
        <f t="shared" si="74"/>
        <v>1.3919299999999999</v>
      </c>
      <c r="K451" s="43">
        <f t="shared" si="75"/>
        <v>3.812377415311391E-4</v>
      </c>
      <c r="L451" s="43">
        <f t="shared" ca="1" si="76"/>
        <v>0</v>
      </c>
      <c r="M451" s="43">
        <f t="shared" ca="1" si="77"/>
        <v>97.781126261923788</v>
      </c>
      <c r="N451" s="43">
        <f t="shared" ca="1" si="78"/>
        <v>1.0419298513089797E-3</v>
      </c>
      <c r="O451" s="43">
        <f t="shared" si="79"/>
        <v>97.679298245614021</v>
      </c>
      <c r="P451" s="43">
        <f t="shared" si="80"/>
        <v>1.0424728487886383E-3</v>
      </c>
      <c r="Q451" s="43">
        <f t="shared" si="81"/>
        <v>0.12369246754103497</v>
      </c>
      <c r="R451" s="144" t="e">
        <f t="shared" si="82"/>
        <v>#N/A</v>
      </c>
      <c r="S451" s="147" t="e">
        <f t="shared" si="83"/>
        <v>#N/A</v>
      </c>
    </row>
    <row r="452" spans="1:19">
      <c r="A452" s="144">
        <v>12.2</v>
      </c>
      <c r="B452" s="43">
        <v>8.6599999999999993E-3</v>
      </c>
      <c r="C452" s="43">
        <v>1.3919299999999999</v>
      </c>
      <c r="D452" s="43">
        <v>9.7014800000000001</v>
      </c>
      <c r="E452" s="147">
        <v>1.2</v>
      </c>
      <c r="F452" s="43"/>
      <c r="G452" s="39"/>
      <c r="H452" s="144">
        <f t="shared" si="72"/>
        <v>12.2</v>
      </c>
      <c r="I452" s="43">
        <f t="shared" si="73"/>
        <v>1.5637092731829574E-2</v>
      </c>
      <c r="J452" s="43">
        <f t="shared" si="74"/>
        <v>1.3919299999999999</v>
      </c>
      <c r="K452" s="43">
        <f t="shared" si="75"/>
        <v>3.812377415311391E-4</v>
      </c>
      <c r="L452" s="43">
        <f t="shared" ca="1" si="76"/>
        <v>0</v>
      </c>
      <c r="M452" s="43">
        <f t="shared" ca="1" si="77"/>
        <v>97.781126261923788</v>
      </c>
      <c r="N452" s="43">
        <f t="shared" ca="1" si="78"/>
        <v>1.0419298513089797E-3</v>
      </c>
      <c r="O452" s="43">
        <f t="shared" si="79"/>
        <v>97.679298245614021</v>
      </c>
      <c r="P452" s="43">
        <f t="shared" si="80"/>
        <v>1.0424728487886383E-3</v>
      </c>
      <c r="Q452" s="43">
        <f t="shared" si="81"/>
        <v>0.12369246754103497</v>
      </c>
      <c r="R452" s="144" t="e">
        <f t="shared" si="82"/>
        <v>#N/A</v>
      </c>
      <c r="S452" s="147" t="e">
        <f t="shared" si="83"/>
        <v>#N/A</v>
      </c>
    </row>
    <row r="453" spans="1:19">
      <c r="A453" s="144">
        <v>12.2</v>
      </c>
      <c r="B453" s="43">
        <v>8.6599999999999993E-3</v>
      </c>
      <c r="C453" s="43">
        <v>1.3919299999999999</v>
      </c>
      <c r="D453" s="43">
        <v>9.7014800000000001</v>
      </c>
      <c r="E453" s="147">
        <v>1.2</v>
      </c>
      <c r="F453" s="43"/>
      <c r="G453" s="39"/>
      <c r="H453" s="144">
        <f t="shared" si="72"/>
        <v>12.2</v>
      </c>
      <c r="I453" s="43">
        <f t="shared" si="73"/>
        <v>1.5637092731829574E-2</v>
      </c>
      <c r="J453" s="43">
        <f t="shared" si="74"/>
        <v>1.3919299999999999</v>
      </c>
      <c r="K453" s="43">
        <f t="shared" si="75"/>
        <v>3.812377415311391E-4</v>
      </c>
      <c r="L453" s="43">
        <f t="shared" ca="1" si="76"/>
        <v>0</v>
      </c>
      <c r="M453" s="43">
        <f t="shared" ca="1" si="77"/>
        <v>97.781126261923788</v>
      </c>
      <c r="N453" s="43">
        <f t="shared" ca="1" si="78"/>
        <v>1.0419298513089797E-3</v>
      </c>
      <c r="O453" s="43">
        <f t="shared" si="79"/>
        <v>97.679298245614021</v>
      </c>
      <c r="P453" s="43">
        <f t="shared" si="80"/>
        <v>1.0424728487886383E-3</v>
      </c>
      <c r="Q453" s="43">
        <f t="shared" si="81"/>
        <v>0.12369246754103497</v>
      </c>
      <c r="R453" s="144" t="e">
        <f t="shared" si="82"/>
        <v>#N/A</v>
      </c>
      <c r="S453" s="147" t="e">
        <f t="shared" si="83"/>
        <v>#N/A</v>
      </c>
    </row>
    <row r="454" spans="1:19">
      <c r="A454" s="144">
        <v>12.2</v>
      </c>
      <c r="B454" s="43">
        <v>8.6599999999999993E-3</v>
      </c>
      <c r="C454" s="43">
        <v>1.3919299999999999</v>
      </c>
      <c r="D454" s="43">
        <v>9.7014800000000001</v>
      </c>
      <c r="E454" s="147">
        <v>1.2</v>
      </c>
      <c r="F454" s="43"/>
      <c r="G454" s="39"/>
      <c r="H454" s="144">
        <f t="shared" si="72"/>
        <v>12.2</v>
      </c>
      <c r="I454" s="43">
        <f t="shared" si="73"/>
        <v>1.5637092731829574E-2</v>
      </c>
      <c r="J454" s="43">
        <f t="shared" si="74"/>
        <v>1.3919299999999999</v>
      </c>
      <c r="K454" s="43">
        <f t="shared" si="75"/>
        <v>3.812377415311391E-4</v>
      </c>
      <c r="L454" s="43">
        <f t="shared" ca="1" si="76"/>
        <v>0</v>
      </c>
      <c r="M454" s="43">
        <f t="shared" ca="1" si="77"/>
        <v>97.781126261923788</v>
      </c>
      <c r="N454" s="43">
        <f t="shared" ca="1" si="78"/>
        <v>1.0419298513089797E-3</v>
      </c>
      <c r="O454" s="43">
        <f t="shared" si="79"/>
        <v>97.679298245614021</v>
      </c>
      <c r="P454" s="43">
        <f t="shared" si="80"/>
        <v>1.0424728487886383E-3</v>
      </c>
      <c r="Q454" s="43">
        <f t="shared" si="81"/>
        <v>0.12369246754103497</v>
      </c>
      <c r="R454" s="144" t="e">
        <f t="shared" si="82"/>
        <v>#N/A</v>
      </c>
      <c r="S454" s="147" t="e">
        <f t="shared" si="83"/>
        <v>#N/A</v>
      </c>
    </row>
    <row r="455" spans="1:19">
      <c r="A455" s="144">
        <v>12.2</v>
      </c>
      <c r="B455" s="43">
        <v>8.6599999999999993E-3</v>
      </c>
      <c r="C455" s="43">
        <v>1.3919299999999999</v>
      </c>
      <c r="D455" s="43">
        <v>9.7014800000000001</v>
      </c>
      <c r="E455" s="147">
        <v>1.2</v>
      </c>
      <c r="F455" s="43"/>
      <c r="G455" s="39"/>
      <c r="H455" s="144">
        <f t="shared" si="72"/>
        <v>12.2</v>
      </c>
      <c r="I455" s="43">
        <f t="shared" si="73"/>
        <v>1.5637092731829574E-2</v>
      </c>
      <c r="J455" s="43">
        <f t="shared" si="74"/>
        <v>1.3919299999999999</v>
      </c>
      <c r="K455" s="43">
        <f t="shared" si="75"/>
        <v>3.812377415311391E-4</v>
      </c>
      <c r="L455" s="43">
        <f t="shared" ca="1" si="76"/>
        <v>0</v>
      </c>
      <c r="M455" s="43">
        <f t="shared" ca="1" si="77"/>
        <v>97.781126261923788</v>
      </c>
      <c r="N455" s="43">
        <f t="shared" ca="1" si="78"/>
        <v>1.0419298513089797E-3</v>
      </c>
      <c r="O455" s="43">
        <f t="shared" si="79"/>
        <v>97.679298245614021</v>
      </c>
      <c r="P455" s="43">
        <f t="shared" si="80"/>
        <v>1.0424728487886383E-3</v>
      </c>
      <c r="Q455" s="43">
        <f t="shared" si="81"/>
        <v>0.12369246754103497</v>
      </c>
      <c r="R455" s="144" t="e">
        <f t="shared" si="82"/>
        <v>#N/A</v>
      </c>
      <c r="S455" s="147" t="e">
        <f t="shared" si="83"/>
        <v>#N/A</v>
      </c>
    </row>
    <row r="456" spans="1:19">
      <c r="A456" s="144">
        <v>12.2</v>
      </c>
      <c r="B456" s="43">
        <v>8.6599999999999993E-3</v>
      </c>
      <c r="C456" s="43">
        <v>1.3919299999999999</v>
      </c>
      <c r="D456" s="43">
        <v>9.7014800000000001</v>
      </c>
      <c r="E456" s="147">
        <v>1.2</v>
      </c>
      <c r="F456" s="43"/>
      <c r="G456" s="39"/>
      <c r="H456" s="144">
        <f t="shared" si="72"/>
        <v>12.2</v>
      </c>
      <c r="I456" s="43">
        <f t="shared" si="73"/>
        <v>1.5637092731829574E-2</v>
      </c>
      <c r="J456" s="43">
        <f t="shared" si="74"/>
        <v>1.3919299999999999</v>
      </c>
      <c r="K456" s="43">
        <f t="shared" si="75"/>
        <v>3.812377415311391E-4</v>
      </c>
      <c r="L456" s="43">
        <f t="shared" ca="1" si="76"/>
        <v>0</v>
      </c>
      <c r="M456" s="43">
        <f t="shared" ca="1" si="77"/>
        <v>97.781126261923788</v>
      </c>
      <c r="N456" s="43">
        <f t="shared" ca="1" si="78"/>
        <v>1.0419298513089797E-3</v>
      </c>
      <c r="O456" s="43">
        <f t="shared" si="79"/>
        <v>97.679298245614021</v>
      </c>
      <c r="P456" s="43">
        <f t="shared" si="80"/>
        <v>1.0424728487886383E-3</v>
      </c>
      <c r="Q456" s="43">
        <f t="shared" si="81"/>
        <v>0.12369246754103497</v>
      </c>
      <c r="R456" s="144" t="e">
        <f t="shared" si="82"/>
        <v>#N/A</v>
      </c>
      <c r="S456" s="147" t="e">
        <f t="shared" si="83"/>
        <v>#N/A</v>
      </c>
    </row>
    <row r="457" spans="1:19">
      <c r="A457" s="144">
        <v>12.2</v>
      </c>
      <c r="B457" s="43">
        <v>8.6599999999999993E-3</v>
      </c>
      <c r="C457" s="43">
        <v>1.3919299999999999</v>
      </c>
      <c r="D457" s="43">
        <v>9.7014800000000001</v>
      </c>
      <c r="E457" s="147">
        <v>1.2</v>
      </c>
      <c r="F457" s="43"/>
      <c r="G457" s="39"/>
      <c r="H457" s="144">
        <f t="shared" si="72"/>
        <v>12.2</v>
      </c>
      <c r="I457" s="43">
        <f t="shared" si="73"/>
        <v>1.5637092731829574E-2</v>
      </c>
      <c r="J457" s="43">
        <f t="shared" si="74"/>
        <v>1.3919299999999999</v>
      </c>
      <c r="K457" s="43">
        <f t="shared" si="75"/>
        <v>3.812377415311391E-4</v>
      </c>
      <c r="L457" s="43">
        <f t="shared" ca="1" si="76"/>
        <v>0</v>
      </c>
      <c r="M457" s="43">
        <f t="shared" ca="1" si="77"/>
        <v>97.781126261923788</v>
      </c>
      <c r="N457" s="43">
        <f t="shared" ca="1" si="78"/>
        <v>1.0419298513089797E-3</v>
      </c>
      <c r="O457" s="43">
        <f t="shared" si="79"/>
        <v>97.679298245614021</v>
      </c>
      <c r="P457" s="43">
        <f t="shared" si="80"/>
        <v>1.0424728487886383E-3</v>
      </c>
      <c r="Q457" s="43">
        <f t="shared" si="81"/>
        <v>0.12369246754103497</v>
      </c>
      <c r="R457" s="144" t="e">
        <f t="shared" si="82"/>
        <v>#N/A</v>
      </c>
      <c r="S457" s="147" t="e">
        <f t="shared" si="83"/>
        <v>#N/A</v>
      </c>
    </row>
    <row r="458" spans="1:19">
      <c r="A458" s="144">
        <v>12.2</v>
      </c>
      <c r="B458" s="43">
        <v>8.6599999999999993E-3</v>
      </c>
      <c r="C458" s="43">
        <v>1.3919299999999999</v>
      </c>
      <c r="D458" s="43">
        <v>9.7014800000000001</v>
      </c>
      <c r="E458" s="147">
        <v>1.2</v>
      </c>
      <c r="F458" s="43"/>
      <c r="G458" s="39"/>
      <c r="H458" s="144">
        <f t="shared" si="72"/>
        <v>12.2</v>
      </c>
      <c r="I458" s="43">
        <f t="shared" si="73"/>
        <v>1.5637092731829574E-2</v>
      </c>
      <c r="J458" s="43">
        <f t="shared" si="74"/>
        <v>1.3919299999999999</v>
      </c>
      <c r="K458" s="43">
        <f t="shared" si="75"/>
        <v>3.812377415311391E-4</v>
      </c>
      <c r="L458" s="43">
        <f t="shared" ca="1" si="76"/>
        <v>0</v>
      </c>
      <c r="M458" s="43">
        <f t="shared" ca="1" si="77"/>
        <v>97.781126261923788</v>
      </c>
      <c r="N458" s="43">
        <f t="shared" ca="1" si="78"/>
        <v>1.0419298513089797E-3</v>
      </c>
      <c r="O458" s="43">
        <f t="shared" si="79"/>
        <v>97.679298245614021</v>
      </c>
      <c r="P458" s="43">
        <f t="shared" si="80"/>
        <v>1.0424728487886383E-3</v>
      </c>
      <c r="Q458" s="43">
        <f t="shared" si="81"/>
        <v>0.12369246754103497</v>
      </c>
      <c r="R458" s="144" t="e">
        <f t="shared" si="82"/>
        <v>#N/A</v>
      </c>
      <c r="S458" s="147" t="e">
        <f t="shared" si="83"/>
        <v>#N/A</v>
      </c>
    </row>
    <row r="459" spans="1:19">
      <c r="A459" s="144">
        <v>12.2</v>
      </c>
      <c r="B459" s="43">
        <v>8.6599999999999993E-3</v>
      </c>
      <c r="C459" s="43">
        <v>1.3919299999999999</v>
      </c>
      <c r="D459" s="43">
        <v>9.7014800000000001</v>
      </c>
      <c r="E459" s="147">
        <v>1.2</v>
      </c>
      <c r="F459" s="43"/>
      <c r="G459" s="39"/>
      <c r="H459" s="144">
        <f t="shared" si="72"/>
        <v>12.2</v>
      </c>
      <c r="I459" s="43">
        <f t="shared" si="73"/>
        <v>1.5637092731829574E-2</v>
      </c>
      <c r="J459" s="43">
        <f t="shared" si="74"/>
        <v>1.3919299999999999</v>
      </c>
      <c r="K459" s="43">
        <f t="shared" si="75"/>
        <v>3.812377415311391E-4</v>
      </c>
      <c r="L459" s="43">
        <f t="shared" ca="1" si="76"/>
        <v>0</v>
      </c>
      <c r="M459" s="43">
        <f t="shared" ca="1" si="77"/>
        <v>97.781126261923788</v>
      </c>
      <c r="N459" s="43">
        <f t="shared" ca="1" si="78"/>
        <v>1.0419298513089797E-3</v>
      </c>
      <c r="O459" s="43">
        <f t="shared" si="79"/>
        <v>97.679298245614021</v>
      </c>
      <c r="P459" s="43">
        <f t="shared" si="80"/>
        <v>1.0424728487886383E-3</v>
      </c>
      <c r="Q459" s="43">
        <f t="shared" si="81"/>
        <v>0.12369246754103497</v>
      </c>
      <c r="R459" s="144" t="e">
        <f t="shared" si="82"/>
        <v>#N/A</v>
      </c>
      <c r="S459" s="147" t="e">
        <f t="shared" si="83"/>
        <v>#N/A</v>
      </c>
    </row>
    <row r="460" spans="1:19">
      <c r="A460" s="144">
        <v>12.2</v>
      </c>
      <c r="B460" s="43">
        <v>8.6599999999999993E-3</v>
      </c>
      <c r="C460" s="43">
        <v>1.3919299999999999</v>
      </c>
      <c r="D460" s="43">
        <v>9.7014800000000001</v>
      </c>
      <c r="E460" s="147">
        <v>1.2</v>
      </c>
      <c r="F460" s="43"/>
      <c r="G460" s="39"/>
      <c r="H460" s="144">
        <f t="shared" si="72"/>
        <v>12.2</v>
      </c>
      <c r="I460" s="43">
        <f t="shared" si="73"/>
        <v>1.5637092731829574E-2</v>
      </c>
      <c r="J460" s="43">
        <f t="shared" si="74"/>
        <v>1.3919299999999999</v>
      </c>
      <c r="K460" s="43">
        <f t="shared" si="75"/>
        <v>3.812377415311391E-4</v>
      </c>
      <c r="L460" s="43">
        <f t="shared" ca="1" si="76"/>
        <v>0</v>
      </c>
      <c r="M460" s="43">
        <f t="shared" ca="1" si="77"/>
        <v>97.781126261923788</v>
      </c>
      <c r="N460" s="43">
        <f t="shared" ca="1" si="78"/>
        <v>1.0419298513089797E-3</v>
      </c>
      <c r="O460" s="43">
        <f t="shared" si="79"/>
        <v>97.679298245614021</v>
      </c>
      <c r="P460" s="43">
        <f t="shared" si="80"/>
        <v>1.0424728487886383E-3</v>
      </c>
      <c r="Q460" s="43">
        <f t="shared" si="81"/>
        <v>0.12369246754103497</v>
      </c>
      <c r="R460" s="144" t="e">
        <f t="shared" si="82"/>
        <v>#N/A</v>
      </c>
      <c r="S460" s="147" t="e">
        <f t="shared" si="83"/>
        <v>#N/A</v>
      </c>
    </row>
    <row r="461" spans="1:19">
      <c r="A461" s="144">
        <v>12.2</v>
      </c>
      <c r="B461" s="43">
        <v>8.6599999999999993E-3</v>
      </c>
      <c r="C461" s="43">
        <v>1.3919299999999999</v>
      </c>
      <c r="D461" s="43">
        <v>9.7014800000000001</v>
      </c>
      <c r="E461" s="147">
        <v>1.2</v>
      </c>
      <c r="F461" s="43"/>
      <c r="G461" s="39"/>
      <c r="H461" s="144">
        <f t="shared" si="72"/>
        <v>12.2</v>
      </c>
      <c r="I461" s="43">
        <f t="shared" si="73"/>
        <v>1.5637092731829574E-2</v>
      </c>
      <c r="J461" s="43">
        <f t="shared" si="74"/>
        <v>1.3919299999999999</v>
      </c>
      <c r="K461" s="43">
        <f t="shared" si="75"/>
        <v>3.812377415311391E-4</v>
      </c>
      <c r="L461" s="43">
        <f t="shared" ca="1" si="76"/>
        <v>0</v>
      </c>
      <c r="M461" s="43">
        <f t="shared" ca="1" si="77"/>
        <v>97.781126261923788</v>
      </c>
      <c r="N461" s="43">
        <f t="shared" ca="1" si="78"/>
        <v>1.0419298513089797E-3</v>
      </c>
      <c r="O461" s="43">
        <f t="shared" si="79"/>
        <v>97.679298245614021</v>
      </c>
      <c r="P461" s="43">
        <f t="shared" si="80"/>
        <v>1.0424728487886383E-3</v>
      </c>
      <c r="Q461" s="43">
        <f t="shared" si="81"/>
        <v>0.12369246754103497</v>
      </c>
      <c r="R461" s="144" t="e">
        <f t="shared" si="82"/>
        <v>#N/A</v>
      </c>
      <c r="S461" s="147" t="e">
        <f t="shared" si="83"/>
        <v>#N/A</v>
      </c>
    </row>
    <row r="462" spans="1:19">
      <c r="A462" s="144">
        <v>12.2</v>
      </c>
      <c r="B462" s="43">
        <v>8.6599999999999993E-3</v>
      </c>
      <c r="C462" s="43">
        <v>1.3919299999999999</v>
      </c>
      <c r="D462" s="43">
        <v>9.7014800000000001</v>
      </c>
      <c r="E462" s="147">
        <v>1.2</v>
      </c>
      <c r="F462" s="43"/>
      <c r="G462" s="39"/>
      <c r="H462" s="144">
        <f t="shared" si="72"/>
        <v>12.2</v>
      </c>
      <c r="I462" s="43">
        <f t="shared" si="73"/>
        <v>1.5637092731829574E-2</v>
      </c>
      <c r="J462" s="43">
        <f t="shared" si="74"/>
        <v>1.3919299999999999</v>
      </c>
      <c r="K462" s="43">
        <f t="shared" si="75"/>
        <v>3.812377415311391E-4</v>
      </c>
      <c r="L462" s="43">
        <f t="shared" ca="1" si="76"/>
        <v>0</v>
      </c>
      <c r="M462" s="43">
        <f t="shared" ca="1" si="77"/>
        <v>97.781126261923788</v>
      </c>
      <c r="N462" s="43">
        <f t="shared" ca="1" si="78"/>
        <v>1.0419298513089797E-3</v>
      </c>
      <c r="O462" s="43">
        <f t="shared" si="79"/>
        <v>97.679298245614021</v>
      </c>
      <c r="P462" s="43">
        <f t="shared" si="80"/>
        <v>1.0424728487886383E-3</v>
      </c>
      <c r="Q462" s="43">
        <f t="shared" si="81"/>
        <v>0.12369246754103497</v>
      </c>
      <c r="R462" s="144" t="e">
        <f t="shared" si="82"/>
        <v>#N/A</v>
      </c>
      <c r="S462" s="147" t="e">
        <f t="shared" si="83"/>
        <v>#N/A</v>
      </c>
    </row>
    <row r="463" spans="1:19">
      <c r="A463" s="144">
        <v>12.2</v>
      </c>
      <c r="B463" s="43">
        <v>8.6599999999999993E-3</v>
      </c>
      <c r="C463" s="43">
        <v>1.3919299999999999</v>
      </c>
      <c r="D463" s="43">
        <v>9.7014800000000001</v>
      </c>
      <c r="E463" s="147">
        <v>1.2</v>
      </c>
      <c r="F463" s="43"/>
      <c r="G463" s="39"/>
      <c r="H463" s="144">
        <f t="shared" si="72"/>
        <v>12.2</v>
      </c>
      <c r="I463" s="43">
        <f t="shared" si="73"/>
        <v>1.5637092731829574E-2</v>
      </c>
      <c r="J463" s="43">
        <f t="shared" si="74"/>
        <v>1.3919299999999999</v>
      </c>
      <c r="K463" s="43">
        <f t="shared" si="75"/>
        <v>3.812377415311391E-4</v>
      </c>
      <c r="L463" s="43">
        <f t="shared" ca="1" si="76"/>
        <v>0</v>
      </c>
      <c r="M463" s="43">
        <f t="shared" ca="1" si="77"/>
        <v>97.781126261923788</v>
      </c>
      <c r="N463" s="43">
        <f t="shared" ca="1" si="78"/>
        <v>1.0419298513089797E-3</v>
      </c>
      <c r="O463" s="43">
        <f t="shared" si="79"/>
        <v>97.679298245614021</v>
      </c>
      <c r="P463" s="43">
        <f t="shared" si="80"/>
        <v>1.0424728487886383E-3</v>
      </c>
      <c r="Q463" s="43">
        <f t="shared" si="81"/>
        <v>0.12369246754103497</v>
      </c>
      <c r="R463" s="144" t="e">
        <f t="shared" si="82"/>
        <v>#N/A</v>
      </c>
      <c r="S463" s="147" t="e">
        <f t="shared" si="83"/>
        <v>#N/A</v>
      </c>
    </row>
    <row r="464" spans="1:19">
      <c r="A464" s="144">
        <v>12.2</v>
      </c>
      <c r="B464" s="43">
        <v>8.6599999999999993E-3</v>
      </c>
      <c r="C464" s="43">
        <v>1.3919299999999999</v>
      </c>
      <c r="D464" s="43">
        <v>9.7014800000000001</v>
      </c>
      <c r="E464" s="147">
        <v>1.2</v>
      </c>
      <c r="F464" s="43"/>
      <c r="G464" s="39"/>
      <c r="H464" s="144">
        <f t="shared" ref="H464:H474" si="84">A464</f>
        <v>12.2</v>
      </c>
      <c r="I464" s="43">
        <f t="shared" ref="I464:I474" si="85">B464+$G$7</f>
        <v>1.5637092731829574E-2</v>
      </c>
      <c r="J464" s="43">
        <f t="shared" ref="J464:J474" si="86">C464</f>
        <v>1.3919299999999999</v>
      </c>
      <c r="K464" s="43">
        <f t="shared" ref="K464:K474" si="87">(P464-(O464/$I$9))</f>
        <v>3.812377415311391E-4</v>
      </c>
      <c r="L464" s="43">
        <f t="shared" ref="L464:L474" ca="1" si="88">IF(I464&lt;$I$5,(LN(D464/$D$15))/LN(($I$10*$D$15)/((B464+$I$10)*D464)),#N/A)</f>
        <v>0</v>
      </c>
      <c r="M464" s="43">
        <f t="shared" ref="M464:M474" ca="1" si="89">IF(I464&lt;$I$5,O464*(1+P464),#N/A)</f>
        <v>97.781126261923788</v>
      </c>
      <c r="N464" s="43">
        <f t="shared" ref="N464:N474" ca="1" si="90">IF(I464&lt;$I$5,LN(1+P464),#N/A)</f>
        <v>1.0419298513089797E-3</v>
      </c>
      <c r="O464" s="43">
        <f t="shared" ref="O464:O474" si="91">(C464*1000)/$I$7</f>
        <v>97.679298245614021</v>
      </c>
      <c r="P464" s="43">
        <f t="shared" ref="P464:P474" si="92">I464/$I$10</f>
        <v>1.0424728487886383E-3</v>
      </c>
      <c r="Q464" s="43">
        <f t="shared" ref="Q464:Q474" si="93">E464/$D$15</f>
        <v>0.12369246754103497</v>
      </c>
      <c r="R464" s="144" t="e">
        <f t="shared" ref="R464:R474" si="94">IF(AND(($N$8/100)&lt;K464,($N$9/100)&gt;K464),LN(1-Q464),#N/A)</f>
        <v>#N/A</v>
      </c>
      <c r="S464" s="147" t="e">
        <f t="shared" ref="S464:S474" si="95">IF(AND(($N$8/100)&lt;K464,($N$9/100)&gt;K464),LN(1+P464),#N/A)</f>
        <v>#N/A</v>
      </c>
    </row>
    <row r="465" spans="1:19">
      <c r="A465" s="144">
        <v>12.2</v>
      </c>
      <c r="B465" s="43">
        <v>8.6599999999999993E-3</v>
      </c>
      <c r="C465" s="43">
        <v>1.3919299999999999</v>
      </c>
      <c r="D465" s="43">
        <v>9.7014800000000001</v>
      </c>
      <c r="E465" s="147">
        <v>1.2</v>
      </c>
      <c r="F465" s="43"/>
      <c r="G465" s="39"/>
      <c r="H465" s="144">
        <f t="shared" si="84"/>
        <v>12.2</v>
      </c>
      <c r="I465" s="43">
        <f t="shared" si="85"/>
        <v>1.5637092731829574E-2</v>
      </c>
      <c r="J465" s="43">
        <f t="shared" si="86"/>
        <v>1.3919299999999999</v>
      </c>
      <c r="K465" s="43">
        <f t="shared" si="87"/>
        <v>3.812377415311391E-4</v>
      </c>
      <c r="L465" s="43">
        <f t="shared" ca="1" si="88"/>
        <v>0</v>
      </c>
      <c r="M465" s="43">
        <f t="shared" ca="1" si="89"/>
        <v>97.781126261923788</v>
      </c>
      <c r="N465" s="43">
        <f t="shared" ca="1" si="90"/>
        <v>1.0419298513089797E-3</v>
      </c>
      <c r="O465" s="43">
        <f t="shared" si="91"/>
        <v>97.679298245614021</v>
      </c>
      <c r="P465" s="43">
        <f t="shared" si="92"/>
        <v>1.0424728487886383E-3</v>
      </c>
      <c r="Q465" s="43">
        <f t="shared" si="93"/>
        <v>0.12369246754103497</v>
      </c>
      <c r="R465" s="144" t="e">
        <f t="shared" si="94"/>
        <v>#N/A</v>
      </c>
      <c r="S465" s="147" t="e">
        <f t="shared" si="95"/>
        <v>#N/A</v>
      </c>
    </row>
    <row r="466" spans="1:19">
      <c r="A466" s="144">
        <v>12.2</v>
      </c>
      <c r="B466" s="43">
        <v>8.6599999999999993E-3</v>
      </c>
      <c r="C466" s="43">
        <v>1.3919299999999999</v>
      </c>
      <c r="D466" s="43">
        <v>9.7014800000000001</v>
      </c>
      <c r="E466" s="147">
        <v>1.2</v>
      </c>
      <c r="F466" s="43"/>
      <c r="G466" s="39"/>
      <c r="H466" s="144">
        <f t="shared" si="84"/>
        <v>12.2</v>
      </c>
      <c r="I466" s="43">
        <f t="shared" si="85"/>
        <v>1.5637092731829574E-2</v>
      </c>
      <c r="J466" s="43">
        <f t="shared" si="86"/>
        <v>1.3919299999999999</v>
      </c>
      <c r="K466" s="43">
        <f t="shared" si="87"/>
        <v>3.812377415311391E-4</v>
      </c>
      <c r="L466" s="43">
        <f t="shared" ca="1" si="88"/>
        <v>0</v>
      </c>
      <c r="M466" s="43">
        <f t="shared" ca="1" si="89"/>
        <v>97.781126261923788</v>
      </c>
      <c r="N466" s="43">
        <f t="shared" ca="1" si="90"/>
        <v>1.0419298513089797E-3</v>
      </c>
      <c r="O466" s="43">
        <f t="shared" si="91"/>
        <v>97.679298245614021</v>
      </c>
      <c r="P466" s="43">
        <f t="shared" si="92"/>
        <v>1.0424728487886383E-3</v>
      </c>
      <c r="Q466" s="43">
        <f t="shared" si="93"/>
        <v>0.12369246754103497</v>
      </c>
      <c r="R466" s="144" t="e">
        <f t="shared" si="94"/>
        <v>#N/A</v>
      </c>
      <c r="S466" s="147" t="e">
        <f t="shared" si="95"/>
        <v>#N/A</v>
      </c>
    </row>
    <row r="467" spans="1:19">
      <c r="A467" s="144">
        <v>12.2</v>
      </c>
      <c r="B467" s="43">
        <v>8.6599999999999993E-3</v>
      </c>
      <c r="C467" s="43">
        <v>1.3919299999999999</v>
      </c>
      <c r="D467" s="43">
        <v>9.7014800000000001</v>
      </c>
      <c r="E467" s="147">
        <v>1.2</v>
      </c>
      <c r="F467" s="43"/>
      <c r="G467" s="39"/>
      <c r="H467" s="144">
        <f t="shared" si="84"/>
        <v>12.2</v>
      </c>
      <c r="I467" s="43">
        <f t="shared" si="85"/>
        <v>1.5637092731829574E-2</v>
      </c>
      <c r="J467" s="43">
        <f t="shared" si="86"/>
        <v>1.3919299999999999</v>
      </c>
      <c r="K467" s="43">
        <f t="shared" si="87"/>
        <v>3.812377415311391E-4</v>
      </c>
      <c r="L467" s="43">
        <f t="shared" ca="1" si="88"/>
        <v>0</v>
      </c>
      <c r="M467" s="43">
        <f t="shared" ca="1" si="89"/>
        <v>97.781126261923788</v>
      </c>
      <c r="N467" s="43">
        <f t="shared" ca="1" si="90"/>
        <v>1.0419298513089797E-3</v>
      </c>
      <c r="O467" s="43">
        <f t="shared" si="91"/>
        <v>97.679298245614021</v>
      </c>
      <c r="P467" s="43">
        <f t="shared" si="92"/>
        <v>1.0424728487886383E-3</v>
      </c>
      <c r="Q467" s="43">
        <f t="shared" si="93"/>
        <v>0.12369246754103497</v>
      </c>
      <c r="R467" s="144" t="e">
        <f t="shared" si="94"/>
        <v>#N/A</v>
      </c>
      <c r="S467" s="147" t="e">
        <f t="shared" si="95"/>
        <v>#N/A</v>
      </c>
    </row>
    <row r="468" spans="1:19">
      <c r="A468" s="144">
        <v>12.2</v>
      </c>
      <c r="B468" s="43">
        <v>8.6599999999999993E-3</v>
      </c>
      <c r="C468" s="43">
        <v>1.3919299999999999</v>
      </c>
      <c r="D468" s="43">
        <v>9.7014800000000001</v>
      </c>
      <c r="E468" s="147">
        <v>1.2</v>
      </c>
      <c r="F468" s="43"/>
      <c r="G468" s="39"/>
      <c r="H468" s="144">
        <f t="shared" si="84"/>
        <v>12.2</v>
      </c>
      <c r="I468" s="43">
        <f t="shared" si="85"/>
        <v>1.5637092731829574E-2</v>
      </c>
      <c r="J468" s="43">
        <f t="shared" si="86"/>
        <v>1.3919299999999999</v>
      </c>
      <c r="K468" s="43">
        <f t="shared" si="87"/>
        <v>3.812377415311391E-4</v>
      </c>
      <c r="L468" s="43">
        <f t="shared" ca="1" si="88"/>
        <v>0</v>
      </c>
      <c r="M468" s="43">
        <f t="shared" ca="1" si="89"/>
        <v>97.781126261923788</v>
      </c>
      <c r="N468" s="43">
        <f t="shared" ca="1" si="90"/>
        <v>1.0419298513089797E-3</v>
      </c>
      <c r="O468" s="43">
        <f t="shared" si="91"/>
        <v>97.679298245614021</v>
      </c>
      <c r="P468" s="43">
        <f t="shared" si="92"/>
        <v>1.0424728487886383E-3</v>
      </c>
      <c r="Q468" s="43">
        <f t="shared" si="93"/>
        <v>0.12369246754103497</v>
      </c>
      <c r="R468" s="144" t="e">
        <f t="shared" si="94"/>
        <v>#N/A</v>
      </c>
      <c r="S468" s="147" t="e">
        <f t="shared" si="95"/>
        <v>#N/A</v>
      </c>
    </row>
    <row r="469" spans="1:19">
      <c r="A469" s="144">
        <v>12.2</v>
      </c>
      <c r="B469" s="43">
        <v>8.6599999999999993E-3</v>
      </c>
      <c r="C469" s="43">
        <v>1.3919299999999999</v>
      </c>
      <c r="D469" s="43">
        <v>9.7014800000000001</v>
      </c>
      <c r="E469" s="147">
        <v>1.2</v>
      </c>
      <c r="F469" s="43"/>
      <c r="G469" s="39"/>
      <c r="H469" s="144">
        <f t="shared" si="84"/>
        <v>12.2</v>
      </c>
      <c r="I469" s="43">
        <f t="shared" si="85"/>
        <v>1.5637092731829574E-2</v>
      </c>
      <c r="J469" s="43">
        <f t="shared" si="86"/>
        <v>1.3919299999999999</v>
      </c>
      <c r="K469" s="43">
        <f t="shared" si="87"/>
        <v>3.812377415311391E-4</v>
      </c>
      <c r="L469" s="43">
        <f t="shared" ca="1" si="88"/>
        <v>0</v>
      </c>
      <c r="M469" s="43">
        <f t="shared" ca="1" si="89"/>
        <v>97.781126261923788</v>
      </c>
      <c r="N469" s="43">
        <f t="shared" ca="1" si="90"/>
        <v>1.0419298513089797E-3</v>
      </c>
      <c r="O469" s="43">
        <f t="shared" si="91"/>
        <v>97.679298245614021</v>
      </c>
      <c r="P469" s="43">
        <f t="shared" si="92"/>
        <v>1.0424728487886383E-3</v>
      </c>
      <c r="Q469" s="43">
        <f t="shared" si="93"/>
        <v>0.12369246754103497</v>
      </c>
      <c r="R469" s="144" t="e">
        <f t="shared" si="94"/>
        <v>#N/A</v>
      </c>
      <c r="S469" s="147" t="e">
        <f t="shared" si="95"/>
        <v>#N/A</v>
      </c>
    </row>
    <row r="470" spans="1:19">
      <c r="A470" s="144">
        <v>12.2</v>
      </c>
      <c r="B470" s="43">
        <v>8.6599999999999993E-3</v>
      </c>
      <c r="C470" s="43">
        <v>1.3919299999999999</v>
      </c>
      <c r="D470" s="43">
        <v>9.7014800000000001</v>
      </c>
      <c r="E470" s="147">
        <v>1.2</v>
      </c>
      <c r="F470" s="43"/>
      <c r="G470" s="39"/>
      <c r="H470" s="144">
        <f t="shared" si="84"/>
        <v>12.2</v>
      </c>
      <c r="I470" s="43">
        <f t="shared" si="85"/>
        <v>1.5637092731829574E-2</v>
      </c>
      <c r="J470" s="43">
        <f t="shared" si="86"/>
        <v>1.3919299999999999</v>
      </c>
      <c r="K470" s="43">
        <f t="shared" si="87"/>
        <v>3.812377415311391E-4</v>
      </c>
      <c r="L470" s="43">
        <f t="shared" ca="1" si="88"/>
        <v>0</v>
      </c>
      <c r="M470" s="43">
        <f t="shared" ca="1" si="89"/>
        <v>97.781126261923788</v>
      </c>
      <c r="N470" s="43">
        <f t="shared" ca="1" si="90"/>
        <v>1.0419298513089797E-3</v>
      </c>
      <c r="O470" s="43">
        <f t="shared" si="91"/>
        <v>97.679298245614021</v>
      </c>
      <c r="P470" s="43">
        <f t="shared" si="92"/>
        <v>1.0424728487886383E-3</v>
      </c>
      <c r="Q470" s="43">
        <f t="shared" si="93"/>
        <v>0.12369246754103497</v>
      </c>
      <c r="R470" s="144" t="e">
        <f t="shared" si="94"/>
        <v>#N/A</v>
      </c>
      <c r="S470" s="147" t="e">
        <f t="shared" si="95"/>
        <v>#N/A</v>
      </c>
    </row>
    <row r="471" spans="1:19">
      <c r="A471" s="144">
        <v>12.2</v>
      </c>
      <c r="B471" s="43">
        <v>8.6599999999999993E-3</v>
      </c>
      <c r="C471" s="43">
        <v>1.3919299999999999</v>
      </c>
      <c r="D471" s="43">
        <v>9.7014800000000001</v>
      </c>
      <c r="E471" s="147">
        <v>1.2</v>
      </c>
      <c r="F471" s="43"/>
      <c r="G471" s="39"/>
      <c r="H471" s="144">
        <f t="shared" si="84"/>
        <v>12.2</v>
      </c>
      <c r="I471" s="43">
        <f t="shared" si="85"/>
        <v>1.5637092731829574E-2</v>
      </c>
      <c r="J471" s="43">
        <f t="shared" si="86"/>
        <v>1.3919299999999999</v>
      </c>
      <c r="K471" s="43">
        <f t="shared" si="87"/>
        <v>3.812377415311391E-4</v>
      </c>
      <c r="L471" s="43">
        <f t="shared" ca="1" si="88"/>
        <v>0</v>
      </c>
      <c r="M471" s="43">
        <f t="shared" ca="1" si="89"/>
        <v>97.781126261923788</v>
      </c>
      <c r="N471" s="43">
        <f t="shared" ca="1" si="90"/>
        <v>1.0419298513089797E-3</v>
      </c>
      <c r="O471" s="43">
        <f t="shared" si="91"/>
        <v>97.679298245614021</v>
      </c>
      <c r="P471" s="43">
        <f t="shared" si="92"/>
        <v>1.0424728487886383E-3</v>
      </c>
      <c r="Q471" s="43">
        <f t="shared" si="93"/>
        <v>0.12369246754103497</v>
      </c>
      <c r="R471" s="144" t="e">
        <f t="shared" si="94"/>
        <v>#N/A</v>
      </c>
      <c r="S471" s="147" t="e">
        <f t="shared" si="95"/>
        <v>#N/A</v>
      </c>
    </row>
    <row r="472" spans="1:19">
      <c r="A472" s="144">
        <v>12.2</v>
      </c>
      <c r="B472" s="43">
        <v>8.6599999999999993E-3</v>
      </c>
      <c r="C472" s="43">
        <v>1.3919299999999999</v>
      </c>
      <c r="D472" s="43">
        <v>9.7014800000000001</v>
      </c>
      <c r="E472" s="147">
        <v>1.2</v>
      </c>
      <c r="F472" s="43"/>
      <c r="G472" s="39"/>
      <c r="H472" s="144">
        <f t="shared" si="84"/>
        <v>12.2</v>
      </c>
      <c r="I472" s="43">
        <f t="shared" si="85"/>
        <v>1.5637092731829574E-2</v>
      </c>
      <c r="J472" s="43">
        <f t="shared" si="86"/>
        <v>1.3919299999999999</v>
      </c>
      <c r="K472" s="43">
        <f t="shared" si="87"/>
        <v>3.812377415311391E-4</v>
      </c>
      <c r="L472" s="43">
        <f t="shared" ca="1" si="88"/>
        <v>0</v>
      </c>
      <c r="M472" s="43">
        <f t="shared" ca="1" si="89"/>
        <v>97.781126261923788</v>
      </c>
      <c r="N472" s="43">
        <f t="shared" ca="1" si="90"/>
        <v>1.0419298513089797E-3</v>
      </c>
      <c r="O472" s="43">
        <f t="shared" si="91"/>
        <v>97.679298245614021</v>
      </c>
      <c r="P472" s="43">
        <f t="shared" si="92"/>
        <v>1.0424728487886383E-3</v>
      </c>
      <c r="Q472" s="43">
        <f t="shared" si="93"/>
        <v>0.12369246754103497</v>
      </c>
      <c r="R472" s="144" t="e">
        <f t="shared" si="94"/>
        <v>#N/A</v>
      </c>
      <c r="S472" s="147" t="e">
        <f t="shared" si="95"/>
        <v>#N/A</v>
      </c>
    </row>
    <row r="473" spans="1:19">
      <c r="A473" s="144">
        <v>12.2</v>
      </c>
      <c r="B473" s="43">
        <v>8.6599999999999993E-3</v>
      </c>
      <c r="C473" s="43">
        <v>1.3919299999999999</v>
      </c>
      <c r="D473" s="43">
        <v>9.7014800000000001</v>
      </c>
      <c r="E473" s="147">
        <v>1.2</v>
      </c>
      <c r="F473" s="43"/>
      <c r="G473" s="39"/>
      <c r="H473" s="144">
        <f t="shared" si="84"/>
        <v>12.2</v>
      </c>
      <c r="I473" s="43">
        <f t="shared" si="85"/>
        <v>1.5637092731829574E-2</v>
      </c>
      <c r="J473" s="43">
        <f t="shared" si="86"/>
        <v>1.3919299999999999</v>
      </c>
      <c r="K473" s="43">
        <f t="shared" si="87"/>
        <v>3.812377415311391E-4</v>
      </c>
      <c r="L473" s="43">
        <f ca="1">IF(I473&lt;$I$5,(LN(D473/$D$15))/LN(($I$10*$D$15)/((B473+$I$10)*D473)),#N/A)</f>
        <v>0</v>
      </c>
      <c r="M473" s="43">
        <f t="shared" ca="1" si="89"/>
        <v>97.781126261923788</v>
      </c>
      <c r="N473" s="43">
        <f t="shared" ca="1" si="90"/>
        <v>1.0419298513089797E-3</v>
      </c>
      <c r="O473" s="43">
        <f t="shared" si="91"/>
        <v>97.679298245614021</v>
      </c>
      <c r="P473" s="43">
        <f t="shared" si="92"/>
        <v>1.0424728487886383E-3</v>
      </c>
      <c r="Q473" s="43">
        <f t="shared" si="93"/>
        <v>0.12369246754103497</v>
      </c>
      <c r="R473" s="144" t="e">
        <f t="shared" si="94"/>
        <v>#N/A</v>
      </c>
      <c r="S473" s="147" t="e">
        <f t="shared" si="95"/>
        <v>#N/A</v>
      </c>
    </row>
    <row r="474" spans="1:19">
      <c r="A474" s="144">
        <v>465.55162000000001</v>
      </c>
      <c r="B474" s="43">
        <v>7.15604</v>
      </c>
      <c r="C474" s="43">
        <v>5.2609500000000002</v>
      </c>
      <c r="D474" s="43">
        <v>7.1351300000000002</v>
      </c>
      <c r="E474" s="147">
        <f t="shared" ref="E474" si="96">ABS(D475-$D$15)</f>
        <v>9.7014800000000001</v>
      </c>
      <c r="F474" s="43"/>
      <c r="G474" s="39"/>
      <c r="H474" s="144">
        <f t="shared" si="84"/>
        <v>465.55162000000001</v>
      </c>
      <c r="I474" s="43">
        <f>B474+$G$7</f>
        <v>7.1630170927318293</v>
      </c>
      <c r="J474" s="43">
        <f>C474</f>
        <v>5.2609500000000002</v>
      </c>
      <c r="K474" s="43">
        <f>(P474-(O474/$I$9))</f>
        <v>0.47503526323513973</v>
      </c>
      <c r="L474" s="43" t="e">
        <f ca="1">IF(I474&lt;$I$5,(LN(D474/$D$15))/LN(($I$10*$D$15)/((B474+$I$10)*D474)),#N/A)</f>
        <v>#N/A</v>
      </c>
      <c r="M474" s="43" t="e">
        <f t="shared" ca="1" si="89"/>
        <v>#N/A</v>
      </c>
      <c r="N474" s="43" t="e">
        <f t="shared" ca="1" si="90"/>
        <v>#N/A</v>
      </c>
      <c r="O474" s="43">
        <f t="shared" si="91"/>
        <v>369.1894736842105</v>
      </c>
      <c r="P474" s="43">
        <f t="shared" si="92"/>
        <v>0.47753447284878864</v>
      </c>
      <c r="Q474" s="43">
        <f t="shared" si="93"/>
        <v>1</v>
      </c>
      <c r="R474" s="144" t="e">
        <f t="shared" si="94"/>
        <v>#N/A</v>
      </c>
      <c r="S474" s="147" t="e">
        <f t="shared" si="95"/>
        <v>#N/A</v>
      </c>
    </row>
    <row r="475" spans="1:19">
      <c r="A475" s="144"/>
      <c r="B475" s="43"/>
      <c r="C475" s="43"/>
      <c r="D475" s="43"/>
      <c r="E475" s="147"/>
      <c r="F475" s="43"/>
      <c r="G475" s="39"/>
      <c r="H475" s="144"/>
      <c r="I475" s="43"/>
      <c r="J475" s="43"/>
      <c r="K475" s="43"/>
      <c r="L475" s="43"/>
      <c r="M475" s="43"/>
      <c r="N475" s="43"/>
      <c r="O475" s="43"/>
      <c r="P475" s="43"/>
      <c r="Q475" s="43"/>
      <c r="R475" s="144"/>
      <c r="S475" s="147"/>
    </row>
    <row r="476" spans="1:19">
      <c r="A476" s="144"/>
      <c r="B476" s="43"/>
      <c r="C476" s="43"/>
      <c r="D476" s="43"/>
      <c r="E476" s="147"/>
      <c r="F476" s="43"/>
      <c r="G476" s="39"/>
      <c r="H476" s="144"/>
      <c r="I476" s="43"/>
      <c r="J476" s="43"/>
      <c r="K476" s="43"/>
      <c r="L476" s="43"/>
      <c r="M476" s="43"/>
      <c r="N476" s="43"/>
      <c r="O476" s="43"/>
      <c r="P476" s="43"/>
      <c r="Q476" s="43"/>
      <c r="R476" s="144"/>
      <c r="S476" s="147"/>
    </row>
    <row r="477" spans="1:19">
      <c r="A477" s="144"/>
      <c r="B477" s="43"/>
      <c r="C477" s="43"/>
      <c r="D477" s="43"/>
      <c r="E477" s="147"/>
      <c r="F477" s="43"/>
      <c r="G477" s="39"/>
      <c r="H477" s="144"/>
      <c r="I477" s="43"/>
      <c r="J477" s="43"/>
      <c r="K477" s="43"/>
      <c r="L477" s="43"/>
      <c r="M477" s="43"/>
      <c r="N477" s="43"/>
      <c r="O477" s="43"/>
      <c r="P477" s="43"/>
      <c r="Q477" s="43"/>
      <c r="R477" s="144"/>
      <c r="S477" s="147"/>
    </row>
    <row r="478" spans="1:19">
      <c r="A478" s="144"/>
      <c r="B478" s="43"/>
      <c r="C478" s="43"/>
      <c r="D478" s="43"/>
      <c r="E478" s="147"/>
      <c r="F478" s="43"/>
      <c r="G478" s="39"/>
      <c r="H478" s="144"/>
      <c r="I478" s="43"/>
      <c r="J478" s="43"/>
      <c r="K478" s="43"/>
      <c r="L478" s="43"/>
      <c r="M478" s="43"/>
      <c r="N478" s="43"/>
      <c r="O478" s="43"/>
      <c r="P478" s="43"/>
      <c r="Q478" s="43"/>
      <c r="R478" s="144"/>
      <c r="S478" s="147"/>
    </row>
    <row r="479" spans="1:19">
      <c r="A479" s="144"/>
      <c r="B479" s="43"/>
      <c r="C479" s="43"/>
      <c r="D479" s="43"/>
      <c r="E479" s="147"/>
      <c r="F479" s="43"/>
      <c r="G479" s="39"/>
      <c r="H479" s="144"/>
      <c r="I479" s="43"/>
      <c r="J479" s="43"/>
      <c r="K479" s="43"/>
      <c r="L479" s="43"/>
      <c r="M479" s="43"/>
      <c r="N479" s="43"/>
      <c r="O479" s="43"/>
      <c r="P479" s="43"/>
      <c r="Q479" s="43"/>
      <c r="R479" s="144"/>
      <c r="S479" s="147"/>
    </row>
    <row r="480" spans="1:19">
      <c r="A480" s="144"/>
      <c r="B480" s="43"/>
      <c r="C480" s="43"/>
      <c r="D480" s="43"/>
      <c r="E480" s="147"/>
      <c r="F480" s="43"/>
      <c r="G480" s="39"/>
      <c r="H480" s="144"/>
      <c r="I480" s="43"/>
      <c r="J480" s="43"/>
      <c r="K480" s="43"/>
      <c r="L480" s="43"/>
      <c r="M480" s="43"/>
      <c r="N480" s="43"/>
      <c r="O480" s="43"/>
      <c r="P480" s="43"/>
      <c r="Q480" s="43"/>
      <c r="R480" s="144"/>
      <c r="S480" s="147"/>
    </row>
    <row r="481" spans="1:19">
      <c r="A481" s="144"/>
      <c r="B481" s="43"/>
      <c r="C481" s="43"/>
      <c r="D481" s="43"/>
      <c r="E481" s="147"/>
      <c r="F481" s="43"/>
      <c r="G481" s="39"/>
      <c r="H481" s="144"/>
      <c r="I481" s="43"/>
      <c r="J481" s="43"/>
      <c r="K481" s="43"/>
      <c r="L481" s="43"/>
      <c r="M481" s="43"/>
      <c r="N481" s="43"/>
      <c r="O481" s="43"/>
      <c r="P481" s="43"/>
      <c r="Q481" s="43"/>
      <c r="R481" s="144"/>
      <c r="S481" s="147"/>
    </row>
    <row r="482" spans="1:19">
      <c r="A482" s="144"/>
      <c r="B482" s="43"/>
      <c r="C482" s="43"/>
      <c r="D482" s="43"/>
      <c r="E482" s="147"/>
      <c r="F482" s="43"/>
      <c r="G482" s="39"/>
      <c r="H482" s="144"/>
      <c r="I482" s="43"/>
      <c r="J482" s="43"/>
      <c r="K482" s="43"/>
      <c r="L482" s="43"/>
      <c r="M482" s="43"/>
      <c r="N482" s="43"/>
      <c r="O482" s="43"/>
      <c r="P482" s="43"/>
      <c r="Q482" s="43"/>
      <c r="R482" s="144"/>
      <c r="S482" s="147"/>
    </row>
    <row r="483" spans="1:19">
      <c r="A483" s="144"/>
      <c r="B483" s="43"/>
      <c r="C483" s="43"/>
      <c r="D483" s="43"/>
      <c r="E483" s="147"/>
      <c r="F483" s="43"/>
      <c r="G483" s="39"/>
      <c r="H483" s="144"/>
      <c r="I483" s="43"/>
      <c r="J483" s="43"/>
      <c r="K483" s="43"/>
      <c r="L483" s="43"/>
      <c r="M483" s="43"/>
      <c r="N483" s="43"/>
      <c r="O483" s="43"/>
      <c r="P483" s="43"/>
      <c r="Q483" s="43"/>
      <c r="R483" s="144"/>
      <c r="S483" s="147"/>
    </row>
    <row r="484" spans="1:19">
      <c r="A484" s="144"/>
      <c r="B484" s="43"/>
      <c r="C484" s="43"/>
      <c r="D484" s="43"/>
      <c r="E484" s="147"/>
      <c r="F484" s="43"/>
      <c r="G484" s="39"/>
      <c r="H484" s="144"/>
      <c r="I484" s="43"/>
      <c r="J484" s="43"/>
      <c r="K484" s="43"/>
      <c r="L484" s="43"/>
      <c r="M484" s="43"/>
      <c r="N484" s="43"/>
      <c r="O484" s="43"/>
      <c r="P484" s="43"/>
      <c r="Q484" s="43"/>
      <c r="R484" s="144"/>
      <c r="S484" s="147"/>
    </row>
    <row r="485" spans="1:19">
      <c r="A485" s="144"/>
      <c r="B485" s="43"/>
      <c r="C485" s="43"/>
      <c r="D485" s="43"/>
      <c r="E485" s="147"/>
      <c r="F485" s="43"/>
      <c r="G485" s="39"/>
      <c r="H485" s="144"/>
      <c r="I485" s="43"/>
      <c r="J485" s="43"/>
      <c r="K485" s="43"/>
      <c r="L485" s="43"/>
      <c r="M485" s="43"/>
      <c r="N485" s="43"/>
      <c r="O485" s="43"/>
      <c r="P485" s="43"/>
      <c r="Q485" s="43"/>
      <c r="R485" s="144"/>
      <c r="S485" s="147"/>
    </row>
    <row r="486" spans="1:19">
      <c r="A486" s="144"/>
      <c r="B486" s="43"/>
      <c r="C486" s="43"/>
      <c r="D486" s="43"/>
      <c r="E486" s="147"/>
      <c r="F486" s="43"/>
      <c r="G486" s="39"/>
      <c r="H486" s="144"/>
      <c r="I486" s="43"/>
      <c r="J486" s="43"/>
      <c r="K486" s="43"/>
      <c r="L486" s="43"/>
      <c r="M486" s="43"/>
      <c r="N486" s="43"/>
      <c r="O486" s="43"/>
      <c r="P486" s="43"/>
      <c r="Q486" s="43"/>
      <c r="R486" s="144"/>
      <c r="S486" s="147"/>
    </row>
    <row r="487" spans="1:19">
      <c r="A487" s="144"/>
      <c r="B487" s="43"/>
      <c r="C487" s="43"/>
      <c r="D487" s="43"/>
      <c r="E487" s="147"/>
      <c r="F487" s="43"/>
      <c r="G487" s="39"/>
      <c r="H487" s="144"/>
      <c r="I487" s="43"/>
      <c r="J487" s="43"/>
      <c r="K487" s="43"/>
      <c r="L487" s="43"/>
      <c r="M487" s="43"/>
      <c r="N487" s="43"/>
      <c r="O487" s="43"/>
      <c r="P487" s="43"/>
      <c r="Q487" s="43"/>
      <c r="R487" s="144"/>
      <c r="S487" s="147"/>
    </row>
    <row r="488" spans="1:19">
      <c r="A488" s="144"/>
      <c r="B488" s="43"/>
      <c r="C488" s="43"/>
      <c r="D488" s="43"/>
      <c r="E488" s="147"/>
      <c r="F488" s="43"/>
      <c r="G488" s="39"/>
      <c r="H488" s="144"/>
      <c r="I488" s="43"/>
      <c r="J488" s="43"/>
      <c r="K488" s="43"/>
      <c r="L488" s="43"/>
      <c r="M488" s="43"/>
      <c r="N488" s="43"/>
      <c r="O488" s="43"/>
      <c r="P488" s="43"/>
      <c r="Q488" s="43"/>
      <c r="R488" s="144"/>
      <c r="S488" s="147"/>
    </row>
    <row r="489" spans="1:19">
      <c r="A489" s="144"/>
      <c r="B489" s="43"/>
      <c r="C489" s="43"/>
      <c r="D489" s="43"/>
      <c r="E489" s="147"/>
      <c r="F489" s="43"/>
      <c r="G489" s="39"/>
      <c r="H489" s="144"/>
      <c r="I489" s="43"/>
      <c r="J489" s="43"/>
      <c r="K489" s="43"/>
      <c r="L489" s="43"/>
      <c r="M489" s="43"/>
      <c r="N489" s="43"/>
      <c r="O489" s="43"/>
      <c r="P489" s="43"/>
      <c r="Q489" s="43"/>
      <c r="R489" s="144"/>
      <c r="S489" s="147"/>
    </row>
    <row r="490" spans="1:19">
      <c r="A490" s="144"/>
      <c r="B490" s="43"/>
      <c r="C490" s="43"/>
      <c r="D490" s="43"/>
      <c r="E490" s="147"/>
      <c r="F490" s="43"/>
      <c r="G490" s="39"/>
      <c r="H490" s="144"/>
      <c r="I490" s="43"/>
      <c r="J490" s="43"/>
      <c r="K490" s="43"/>
      <c r="L490" s="43"/>
      <c r="M490" s="43"/>
      <c r="N490" s="43"/>
      <c r="O490" s="43"/>
      <c r="P490" s="43"/>
      <c r="Q490" s="43"/>
      <c r="R490" s="144"/>
      <c r="S490" s="147"/>
    </row>
    <row r="491" spans="1:19">
      <c r="A491" s="144"/>
      <c r="B491" s="43"/>
      <c r="C491" s="43"/>
      <c r="D491" s="43"/>
      <c r="E491" s="147"/>
      <c r="F491" s="43"/>
      <c r="G491" s="39"/>
      <c r="H491" s="144"/>
      <c r="I491" s="43"/>
      <c r="J491" s="43"/>
      <c r="K491" s="43"/>
      <c r="L491" s="43"/>
      <c r="M491" s="43"/>
      <c r="N491" s="43"/>
      <c r="O491" s="43"/>
      <c r="P491" s="43"/>
      <c r="Q491" s="43"/>
      <c r="R491" s="144"/>
      <c r="S491" s="147"/>
    </row>
    <row r="492" spans="1:19">
      <c r="A492" s="144"/>
      <c r="B492" s="43"/>
      <c r="C492" s="43"/>
      <c r="D492" s="43"/>
      <c r="E492" s="147"/>
      <c r="F492" s="43"/>
      <c r="G492" s="39"/>
      <c r="H492" s="144"/>
      <c r="I492" s="43"/>
      <c r="J492" s="43"/>
      <c r="K492" s="43"/>
      <c r="L492" s="43"/>
      <c r="M492" s="43"/>
      <c r="N492" s="43"/>
      <c r="O492" s="43"/>
      <c r="P492" s="43"/>
      <c r="Q492" s="43"/>
      <c r="R492" s="144"/>
      <c r="S492" s="147"/>
    </row>
    <row r="493" spans="1:19">
      <c r="A493" s="144"/>
      <c r="B493" s="43"/>
      <c r="C493" s="43"/>
      <c r="D493" s="43"/>
      <c r="E493" s="147"/>
      <c r="F493" s="43"/>
      <c r="G493" s="39"/>
      <c r="H493" s="144"/>
      <c r="I493" s="43"/>
      <c r="J493" s="43"/>
      <c r="K493" s="43"/>
      <c r="L493" s="43"/>
      <c r="M493" s="43"/>
      <c r="N493" s="43"/>
      <c r="O493" s="43"/>
      <c r="P493" s="43"/>
      <c r="Q493" s="43"/>
      <c r="R493" s="144"/>
      <c r="S493" s="147"/>
    </row>
    <row r="494" spans="1:19">
      <c r="A494" s="144"/>
      <c r="B494" s="43"/>
      <c r="C494" s="43"/>
      <c r="D494" s="43"/>
      <c r="E494" s="147"/>
      <c r="F494" s="43"/>
      <c r="G494" s="39"/>
      <c r="H494" s="144"/>
      <c r="I494" s="43"/>
      <c r="J494" s="43"/>
      <c r="K494" s="43"/>
      <c r="L494" s="43"/>
      <c r="M494" s="43"/>
      <c r="N494" s="43"/>
      <c r="O494" s="43"/>
      <c r="P494" s="43"/>
      <c r="Q494" s="43"/>
      <c r="R494" s="144"/>
      <c r="S494" s="147"/>
    </row>
    <row r="495" spans="1:19">
      <c r="A495" s="144"/>
      <c r="B495" s="43"/>
      <c r="C495" s="43"/>
      <c r="D495" s="43"/>
      <c r="E495" s="147"/>
      <c r="F495" s="43"/>
      <c r="G495" s="39"/>
      <c r="H495" s="144"/>
      <c r="I495" s="43"/>
      <c r="J495" s="43"/>
      <c r="K495" s="43"/>
      <c r="L495" s="43"/>
      <c r="M495" s="43"/>
      <c r="N495" s="43"/>
      <c r="O495" s="43"/>
      <c r="P495" s="43"/>
      <c r="Q495" s="43"/>
      <c r="R495" s="144"/>
      <c r="S495" s="147"/>
    </row>
    <row r="496" spans="1:19">
      <c r="A496" s="144"/>
      <c r="B496" s="43"/>
      <c r="C496" s="43"/>
      <c r="D496" s="43"/>
      <c r="E496" s="147"/>
      <c r="F496" s="43"/>
      <c r="G496" s="39"/>
      <c r="H496" s="144"/>
      <c r="I496" s="43"/>
      <c r="J496" s="43"/>
      <c r="K496" s="43"/>
      <c r="L496" s="43"/>
      <c r="M496" s="43"/>
      <c r="N496" s="43"/>
      <c r="O496" s="43"/>
      <c r="P496" s="43"/>
      <c r="Q496" s="43"/>
      <c r="R496" s="144"/>
      <c r="S496" s="147"/>
    </row>
    <row r="497" spans="1:19">
      <c r="A497" s="144"/>
      <c r="B497" s="43"/>
      <c r="C497" s="43"/>
      <c r="D497" s="43"/>
      <c r="E497" s="147"/>
      <c r="F497" s="43"/>
      <c r="G497" s="39"/>
      <c r="H497" s="144"/>
      <c r="I497" s="43"/>
      <c r="J497" s="43"/>
      <c r="K497" s="43"/>
      <c r="L497" s="43"/>
      <c r="M497" s="43"/>
      <c r="N497" s="43"/>
      <c r="O497" s="43"/>
      <c r="P497" s="43"/>
      <c r="Q497" s="43"/>
      <c r="R497" s="144"/>
      <c r="S497" s="147"/>
    </row>
    <row r="498" spans="1:19">
      <c r="A498" s="144"/>
      <c r="B498" s="43"/>
      <c r="C498" s="43"/>
      <c r="D498" s="43"/>
      <c r="E498" s="147"/>
      <c r="F498" s="43"/>
      <c r="G498" s="39"/>
      <c r="H498" s="144"/>
      <c r="I498" s="43"/>
      <c r="J498" s="43"/>
      <c r="K498" s="43"/>
      <c r="L498" s="43"/>
      <c r="M498" s="43"/>
      <c r="N498" s="43"/>
      <c r="O498" s="43"/>
      <c r="P498" s="43"/>
      <c r="Q498" s="43"/>
      <c r="R498" s="144"/>
      <c r="S498" s="147"/>
    </row>
    <row r="499" spans="1:19">
      <c r="A499" s="144"/>
      <c r="B499" s="43"/>
      <c r="C499" s="43"/>
      <c r="D499" s="43"/>
      <c r="E499" s="147"/>
      <c r="F499" s="43"/>
      <c r="G499" s="39"/>
      <c r="H499" s="144"/>
      <c r="I499" s="43"/>
      <c r="J499" s="43"/>
      <c r="K499" s="43"/>
      <c r="L499" s="43"/>
      <c r="M499" s="43"/>
      <c r="N499" s="43"/>
      <c r="O499" s="43"/>
      <c r="P499" s="43"/>
      <c r="Q499" s="43"/>
      <c r="R499" s="144"/>
      <c r="S499" s="147"/>
    </row>
    <row r="500" spans="1:19">
      <c r="A500" s="144"/>
      <c r="B500" s="43"/>
      <c r="C500" s="43"/>
      <c r="D500" s="43"/>
      <c r="E500" s="147"/>
      <c r="F500" s="43"/>
      <c r="G500" s="39"/>
      <c r="H500" s="144"/>
      <c r="I500" s="43"/>
      <c r="J500" s="43"/>
      <c r="K500" s="43"/>
      <c r="L500" s="43"/>
      <c r="M500" s="43"/>
      <c r="N500" s="43"/>
      <c r="O500" s="43"/>
      <c r="P500" s="43"/>
      <c r="Q500" s="43"/>
      <c r="R500" s="144"/>
      <c r="S500" s="147"/>
    </row>
    <row r="501" spans="1:19">
      <c r="A501" s="144"/>
      <c r="B501" s="43"/>
      <c r="C501" s="43"/>
      <c r="D501" s="43"/>
      <c r="E501" s="147"/>
      <c r="F501" s="43"/>
      <c r="G501" s="39"/>
      <c r="H501" s="144"/>
      <c r="I501" s="43"/>
      <c r="J501" s="43"/>
      <c r="K501" s="43"/>
      <c r="L501" s="43"/>
      <c r="M501" s="43"/>
      <c r="N501" s="43"/>
      <c r="O501" s="43"/>
      <c r="P501" s="43"/>
      <c r="Q501" s="43"/>
      <c r="R501" s="144"/>
      <c r="S501" s="147"/>
    </row>
    <row r="502" spans="1:19">
      <c r="A502" s="144"/>
      <c r="B502" s="43"/>
      <c r="C502" s="43"/>
      <c r="D502" s="43"/>
      <c r="E502" s="147"/>
      <c r="F502" s="43"/>
      <c r="G502" s="39"/>
      <c r="H502" s="144"/>
      <c r="I502" s="43"/>
      <c r="J502" s="43"/>
      <c r="K502" s="43"/>
      <c r="L502" s="43"/>
      <c r="M502" s="43"/>
      <c r="N502" s="43"/>
      <c r="O502" s="43"/>
      <c r="P502" s="43"/>
      <c r="Q502" s="43"/>
      <c r="R502" s="144"/>
      <c r="S502" s="147"/>
    </row>
    <row r="503" spans="1:19">
      <c r="A503" s="144"/>
      <c r="B503" s="43"/>
      <c r="C503" s="43"/>
      <c r="D503" s="43"/>
      <c r="E503" s="147"/>
      <c r="F503" s="43"/>
      <c r="G503" s="39"/>
      <c r="H503" s="144"/>
      <c r="I503" s="43"/>
      <c r="J503" s="43"/>
      <c r="K503" s="43"/>
      <c r="L503" s="43"/>
      <c r="M503" s="43"/>
      <c r="N503" s="43"/>
      <c r="O503" s="43"/>
      <c r="P503" s="43"/>
      <c r="Q503" s="43"/>
      <c r="R503" s="144"/>
      <c r="S503" s="147"/>
    </row>
    <row r="504" spans="1:19">
      <c r="A504" s="144"/>
      <c r="B504" s="43"/>
      <c r="C504" s="43"/>
      <c r="D504" s="43"/>
      <c r="E504" s="147"/>
      <c r="F504" s="43"/>
      <c r="G504" s="39"/>
      <c r="H504" s="144"/>
      <c r="I504" s="43"/>
      <c r="J504" s="43"/>
      <c r="K504" s="43"/>
      <c r="L504" s="43"/>
      <c r="M504" s="43"/>
      <c r="N504" s="43"/>
      <c r="O504" s="43"/>
      <c r="P504" s="43"/>
      <c r="Q504" s="43"/>
      <c r="R504" s="144"/>
      <c r="S504" s="147"/>
    </row>
    <row r="505" spans="1:19">
      <c r="A505" s="144"/>
      <c r="B505" s="43"/>
      <c r="C505" s="43"/>
      <c r="D505" s="43"/>
      <c r="E505" s="147"/>
      <c r="F505" s="43"/>
      <c r="G505" s="39"/>
      <c r="H505" s="144"/>
      <c r="I505" s="43"/>
      <c r="J505" s="43"/>
      <c r="K505" s="43"/>
      <c r="L505" s="43"/>
      <c r="M505" s="43"/>
      <c r="N505" s="43"/>
      <c r="O505" s="43"/>
      <c r="P505" s="43"/>
      <c r="Q505" s="43"/>
      <c r="R505" s="144"/>
      <c r="S505" s="147"/>
    </row>
    <row r="506" spans="1:19">
      <c r="A506" s="144"/>
      <c r="B506" s="43"/>
      <c r="C506" s="43"/>
      <c r="D506" s="43"/>
      <c r="E506" s="147"/>
      <c r="F506" s="43"/>
      <c r="G506" s="39"/>
      <c r="H506" s="144"/>
      <c r="I506" s="43"/>
      <c r="J506" s="43"/>
      <c r="K506" s="43"/>
      <c r="L506" s="43"/>
      <c r="M506" s="43"/>
      <c r="N506" s="43"/>
      <c r="O506" s="43"/>
      <c r="P506" s="43"/>
      <c r="Q506" s="43"/>
      <c r="R506" s="144"/>
      <c r="S506" s="147"/>
    </row>
    <row r="507" spans="1:19">
      <c r="A507" s="144"/>
      <c r="B507" s="43"/>
      <c r="C507" s="43"/>
      <c r="D507" s="43"/>
      <c r="E507" s="147"/>
      <c r="F507" s="43"/>
      <c r="G507" s="39"/>
      <c r="H507" s="144"/>
      <c r="I507" s="43"/>
      <c r="J507" s="43"/>
      <c r="K507" s="43"/>
      <c r="L507" s="43"/>
      <c r="M507" s="43"/>
      <c r="N507" s="43"/>
      <c r="O507" s="43"/>
      <c r="P507" s="43"/>
      <c r="Q507" s="43"/>
      <c r="R507" s="144"/>
      <c r="S507" s="147"/>
    </row>
    <row r="508" spans="1:19">
      <c r="A508" s="144"/>
      <c r="B508" s="43"/>
      <c r="C508" s="43"/>
      <c r="D508" s="43"/>
      <c r="E508" s="147"/>
      <c r="F508" s="43"/>
      <c r="G508" s="43"/>
      <c r="H508" s="144"/>
      <c r="I508" s="43"/>
      <c r="J508" s="43"/>
      <c r="K508" s="43"/>
      <c r="L508" s="43"/>
      <c r="M508" s="43"/>
      <c r="N508" s="43"/>
      <c r="O508" s="43"/>
      <c r="P508" s="43"/>
      <c r="Q508" s="43"/>
      <c r="R508" s="144"/>
      <c r="S508" s="147"/>
    </row>
    <row r="509" spans="1:19">
      <c r="A509" s="144"/>
      <c r="B509" s="43"/>
      <c r="C509" s="43"/>
      <c r="D509" s="43"/>
      <c r="E509" s="147"/>
      <c r="F509" s="43"/>
      <c r="G509" s="43"/>
      <c r="H509" s="144"/>
      <c r="I509" s="43"/>
      <c r="J509" s="43"/>
      <c r="K509" s="43"/>
      <c r="L509" s="43"/>
      <c r="M509" s="43"/>
      <c r="N509" s="43"/>
      <c r="O509" s="43"/>
      <c r="P509" s="43"/>
      <c r="Q509" s="43"/>
      <c r="R509" s="144"/>
      <c r="S509" s="147"/>
    </row>
    <row r="510" spans="1:19">
      <c r="A510" s="144"/>
      <c r="B510" s="43"/>
      <c r="C510" s="43"/>
      <c r="D510" s="43"/>
      <c r="E510" s="147"/>
      <c r="F510" s="43"/>
      <c r="G510" s="43"/>
      <c r="H510" s="144"/>
      <c r="I510" s="43"/>
      <c r="J510" s="43"/>
      <c r="K510" s="43"/>
      <c r="L510" s="43"/>
      <c r="M510" s="43"/>
      <c r="N510" s="43"/>
      <c r="O510" s="43"/>
      <c r="P510" s="43"/>
      <c r="Q510" s="43"/>
      <c r="R510" s="144"/>
      <c r="S510" s="147"/>
    </row>
    <row r="511" spans="1:19">
      <c r="A511" s="144"/>
      <c r="B511" s="43"/>
      <c r="C511" s="43"/>
      <c r="D511" s="43"/>
      <c r="E511" s="147"/>
      <c r="F511" s="43"/>
      <c r="G511" s="43"/>
      <c r="H511" s="144"/>
      <c r="I511" s="43"/>
      <c r="J511" s="43"/>
      <c r="K511" s="43"/>
      <c r="L511" s="43"/>
      <c r="M511" s="43"/>
      <c r="N511" s="43"/>
      <c r="O511" s="43"/>
      <c r="P511" s="43"/>
      <c r="Q511" s="43"/>
      <c r="R511" s="144"/>
      <c r="S511" s="147"/>
    </row>
    <row r="512" spans="1:19">
      <c r="A512" s="144"/>
      <c r="B512" s="43"/>
      <c r="C512" s="43"/>
      <c r="D512" s="43"/>
      <c r="E512" s="147"/>
      <c r="F512" s="43"/>
      <c r="G512" s="43"/>
      <c r="H512" s="144"/>
      <c r="I512" s="43"/>
      <c r="J512" s="43"/>
      <c r="K512" s="43"/>
      <c r="L512" s="43"/>
      <c r="M512" s="43"/>
      <c r="N512" s="43"/>
      <c r="O512" s="43"/>
      <c r="P512" s="43"/>
      <c r="Q512" s="43"/>
      <c r="R512" s="144"/>
      <c r="S512" s="147"/>
    </row>
    <row r="513" spans="1:19">
      <c r="A513" s="144"/>
      <c r="B513" s="43"/>
      <c r="C513" s="43"/>
      <c r="D513" s="43"/>
      <c r="E513" s="147"/>
      <c r="F513" s="43"/>
      <c r="G513" s="43"/>
      <c r="H513" s="144"/>
      <c r="I513" s="43"/>
      <c r="J513" s="43"/>
      <c r="K513" s="43"/>
      <c r="L513" s="43"/>
      <c r="M513" s="43"/>
      <c r="N513" s="43"/>
      <c r="O513" s="43"/>
      <c r="P513" s="43"/>
      <c r="Q513" s="43"/>
      <c r="R513" s="144"/>
      <c r="S513" s="147"/>
    </row>
    <row r="514" spans="1:19">
      <c r="A514" s="144"/>
      <c r="B514" s="43"/>
      <c r="C514" s="43"/>
      <c r="D514" s="43"/>
      <c r="E514" s="147"/>
      <c r="F514" s="43"/>
      <c r="G514" s="43"/>
      <c r="H514" s="144"/>
      <c r="I514" s="43"/>
      <c r="J514" s="43"/>
      <c r="K514" s="43"/>
      <c r="L514" s="43"/>
      <c r="M514" s="43"/>
      <c r="N514" s="43"/>
      <c r="O514" s="43"/>
      <c r="P514" s="43"/>
      <c r="Q514" s="43"/>
      <c r="R514" s="144"/>
      <c r="S514" s="147"/>
    </row>
    <row r="515" spans="1:19">
      <c r="A515" s="144"/>
      <c r="B515" s="43"/>
      <c r="C515" s="43"/>
      <c r="D515" s="43"/>
      <c r="E515" s="147"/>
      <c r="F515" s="43"/>
      <c r="G515" s="43"/>
      <c r="H515" s="144"/>
      <c r="I515" s="43"/>
      <c r="J515" s="43"/>
      <c r="K515" s="43"/>
      <c r="L515" s="43"/>
      <c r="M515" s="43"/>
      <c r="N515" s="43"/>
      <c r="O515" s="43"/>
      <c r="P515" s="43"/>
      <c r="Q515" s="43"/>
      <c r="R515" s="144"/>
      <c r="S515" s="147"/>
    </row>
    <row r="516" spans="1:19">
      <c r="A516" s="144"/>
      <c r="B516" s="43"/>
      <c r="C516" s="43"/>
      <c r="D516" s="43"/>
      <c r="E516" s="147"/>
      <c r="F516" s="43"/>
      <c r="G516" s="43"/>
      <c r="H516" s="144"/>
      <c r="I516" s="43"/>
      <c r="J516" s="43"/>
      <c r="K516" s="43"/>
      <c r="L516" s="43"/>
      <c r="M516" s="43"/>
      <c r="N516" s="43"/>
      <c r="O516" s="43"/>
      <c r="P516" s="43"/>
      <c r="Q516" s="43"/>
      <c r="R516" s="144"/>
      <c r="S516" s="147"/>
    </row>
    <row r="517" spans="1:19">
      <c r="A517" s="144"/>
      <c r="B517" s="43"/>
      <c r="C517" s="43"/>
      <c r="D517" s="43"/>
      <c r="E517" s="147"/>
      <c r="F517" s="43"/>
      <c r="G517" s="43"/>
      <c r="H517" s="144"/>
      <c r="I517" s="43"/>
      <c r="J517" s="43"/>
      <c r="K517" s="43"/>
      <c r="L517" s="43"/>
      <c r="M517" s="43"/>
      <c r="N517" s="43"/>
      <c r="O517" s="43"/>
      <c r="P517" s="43"/>
      <c r="Q517" s="43"/>
      <c r="R517" s="144"/>
      <c r="S517" s="147"/>
    </row>
    <row r="518" spans="1:19">
      <c r="A518" s="144"/>
      <c r="B518" s="43"/>
      <c r="C518" s="43"/>
      <c r="D518" s="43"/>
      <c r="E518" s="147"/>
      <c r="F518" s="43"/>
      <c r="G518" s="43"/>
      <c r="H518" s="144"/>
      <c r="I518" s="43"/>
      <c r="J518" s="43"/>
      <c r="K518" s="43"/>
      <c r="L518" s="43"/>
      <c r="M518" s="43"/>
      <c r="N518" s="43"/>
      <c r="O518" s="43"/>
      <c r="P518" s="43"/>
      <c r="Q518" s="43"/>
      <c r="R518" s="144"/>
      <c r="S518" s="147"/>
    </row>
    <row r="519" spans="1:19">
      <c r="A519" s="144"/>
      <c r="B519" s="43"/>
      <c r="C519" s="43"/>
      <c r="D519" s="43"/>
      <c r="E519" s="147"/>
      <c r="F519" s="43"/>
      <c r="G519" s="43"/>
      <c r="H519" s="144"/>
      <c r="I519" s="43"/>
      <c r="J519" s="43"/>
      <c r="K519" s="43"/>
      <c r="L519" s="43"/>
      <c r="M519" s="43"/>
      <c r="N519" s="43"/>
      <c r="O519" s="43"/>
      <c r="P519" s="43"/>
      <c r="Q519" s="43"/>
      <c r="R519" s="144"/>
      <c r="S519" s="147"/>
    </row>
    <row r="520" spans="1:19">
      <c r="A520" s="144"/>
      <c r="B520" s="43"/>
      <c r="C520" s="43"/>
      <c r="D520" s="43"/>
      <c r="E520" s="147"/>
      <c r="F520" s="43"/>
      <c r="G520" s="43"/>
      <c r="H520" s="144"/>
      <c r="I520" s="43"/>
      <c r="J520" s="43"/>
      <c r="K520" s="43"/>
      <c r="L520" s="43"/>
      <c r="M520" s="43"/>
      <c r="N520" s="43"/>
      <c r="O520" s="43"/>
      <c r="P520" s="43"/>
      <c r="Q520" s="43"/>
      <c r="R520" s="144"/>
      <c r="S520" s="147"/>
    </row>
    <row r="521" spans="1:19">
      <c r="A521" s="144"/>
      <c r="B521" s="43"/>
      <c r="C521" s="43"/>
      <c r="D521" s="43"/>
      <c r="E521" s="147"/>
      <c r="F521" s="43"/>
      <c r="G521" s="43"/>
      <c r="H521" s="144"/>
      <c r="I521" s="43"/>
      <c r="J521" s="43"/>
      <c r="K521" s="43"/>
      <c r="L521" s="43"/>
      <c r="M521" s="43"/>
      <c r="N521" s="43"/>
      <c r="O521" s="43"/>
      <c r="P521" s="43"/>
      <c r="Q521" s="43"/>
      <c r="R521" s="144"/>
      <c r="S521" s="147"/>
    </row>
    <row r="522" spans="1:19">
      <c r="A522" s="144"/>
      <c r="B522" s="43"/>
      <c r="C522" s="43"/>
      <c r="D522" s="43"/>
      <c r="E522" s="147"/>
      <c r="F522" s="43"/>
      <c r="G522" s="43"/>
      <c r="H522" s="144"/>
      <c r="I522" s="43"/>
      <c r="J522" s="43"/>
      <c r="K522" s="43"/>
      <c r="L522" s="43"/>
      <c r="M522" s="43"/>
      <c r="N522" s="43"/>
      <c r="O522" s="43"/>
      <c r="P522" s="43"/>
      <c r="Q522" s="43"/>
      <c r="R522" s="144"/>
      <c r="S522" s="147"/>
    </row>
    <row r="523" spans="1:19">
      <c r="A523" s="144"/>
      <c r="B523" s="43"/>
      <c r="C523" s="43"/>
      <c r="D523" s="43"/>
      <c r="E523" s="147"/>
      <c r="F523" s="43"/>
      <c r="G523" s="43"/>
      <c r="H523" s="144"/>
      <c r="I523" s="43"/>
      <c r="J523" s="43"/>
      <c r="K523" s="43"/>
      <c r="L523" s="43"/>
      <c r="M523" s="43"/>
      <c r="N523" s="43"/>
      <c r="O523" s="43"/>
      <c r="P523" s="43"/>
      <c r="Q523" s="43"/>
      <c r="R523" s="144"/>
      <c r="S523" s="147"/>
    </row>
    <row r="524" spans="1:19">
      <c r="A524" s="144"/>
      <c r="B524" s="43"/>
      <c r="C524" s="43"/>
      <c r="D524" s="43"/>
      <c r="E524" s="147"/>
      <c r="F524" s="43"/>
      <c r="G524" s="43"/>
      <c r="H524" s="144"/>
      <c r="I524" s="43"/>
      <c r="J524" s="43"/>
      <c r="K524" s="43"/>
      <c r="L524" s="43"/>
      <c r="M524" s="43"/>
      <c r="N524" s="43"/>
      <c r="O524" s="43"/>
      <c r="P524" s="43"/>
      <c r="Q524" s="43"/>
      <c r="R524" s="144"/>
      <c r="S524" s="147"/>
    </row>
    <row r="525" spans="1:19">
      <c r="A525" s="144"/>
      <c r="B525" s="43"/>
      <c r="C525" s="43"/>
      <c r="D525" s="43"/>
      <c r="E525" s="147"/>
      <c r="F525" s="43"/>
      <c r="G525" s="43"/>
      <c r="H525" s="144"/>
      <c r="I525" s="43"/>
      <c r="J525" s="43"/>
      <c r="K525" s="43"/>
      <c r="L525" s="43"/>
      <c r="M525" s="43"/>
      <c r="N525" s="43"/>
      <c r="O525" s="43"/>
      <c r="P525" s="43"/>
      <c r="Q525" s="43"/>
      <c r="R525" s="144"/>
      <c r="S525" s="147"/>
    </row>
    <row r="526" spans="1:19">
      <c r="A526" s="144"/>
      <c r="B526" s="43"/>
      <c r="C526" s="43"/>
      <c r="D526" s="43"/>
      <c r="E526" s="147"/>
      <c r="F526" s="43"/>
      <c r="G526" s="43"/>
      <c r="H526" s="144"/>
      <c r="I526" s="43"/>
      <c r="J526" s="43"/>
      <c r="K526" s="43"/>
      <c r="L526" s="43"/>
      <c r="M526" s="43"/>
      <c r="N526" s="43"/>
      <c r="O526" s="43"/>
      <c r="P526" s="43"/>
      <c r="Q526" s="43"/>
      <c r="R526" s="144"/>
      <c r="S526" s="147"/>
    </row>
    <row r="527" spans="1:19">
      <c r="A527" s="144"/>
      <c r="B527" s="43"/>
      <c r="C527" s="43"/>
      <c r="D527" s="43"/>
      <c r="E527" s="147"/>
      <c r="F527" s="43"/>
      <c r="G527" s="43"/>
      <c r="H527" s="144"/>
      <c r="I527" s="43"/>
      <c r="J527" s="43"/>
      <c r="K527" s="43"/>
      <c r="L527" s="43"/>
      <c r="M527" s="43"/>
      <c r="N527" s="43"/>
      <c r="O527" s="43"/>
      <c r="P527" s="43"/>
      <c r="Q527" s="43"/>
      <c r="R527" s="144"/>
      <c r="S527" s="147"/>
    </row>
    <row r="528" spans="1:19">
      <c r="A528" s="144"/>
      <c r="B528" s="43"/>
      <c r="C528" s="43"/>
      <c r="D528" s="43"/>
      <c r="E528" s="147"/>
      <c r="F528" s="43"/>
      <c r="G528" s="43"/>
      <c r="H528" s="144"/>
      <c r="I528" s="43"/>
      <c r="J528" s="43"/>
      <c r="K528" s="43"/>
      <c r="L528" s="43"/>
      <c r="M528" s="43"/>
      <c r="N528" s="43"/>
      <c r="O528" s="43"/>
      <c r="P528" s="43"/>
      <c r="Q528" s="43"/>
      <c r="R528" s="144"/>
      <c r="S528" s="147"/>
    </row>
    <row r="529" spans="1:19">
      <c r="A529" s="144"/>
      <c r="B529" s="43"/>
      <c r="C529" s="43"/>
      <c r="D529" s="43"/>
      <c r="E529" s="147"/>
      <c r="F529" s="43"/>
      <c r="G529" s="43"/>
      <c r="H529" s="144"/>
      <c r="I529" s="43"/>
      <c r="J529" s="43"/>
      <c r="K529" s="43"/>
      <c r="L529" s="43"/>
      <c r="M529" s="43"/>
      <c r="N529" s="43"/>
      <c r="O529" s="43"/>
      <c r="P529" s="43"/>
      <c r="Q529" s="43"/>
      <c r="R529" s="144"/>
      <c r="S529" s="147"/>
    </row>
    <row r="530" spans="1:19">
      <c r="A530" s="144"/>
      <c r="B530" s="43"/>
      <c r="C530" s="43"/>
      <c r="D530" s="43"/>
      <c r="E530" s="147"/>
      <c r="F530" s="43"/>
      <c r="G530" s="43"/>
      <c r="H530" s="144"/>
      <c r="I530" s="43"/>
      <c r="J530" s="43"/>
      <c r="K530" s="43"/>
      <c r="L530" s="43"/>
      <c r="M530" s="43"/>
      <c r="N530" s="43"/>
      <c r="O530" s="43"/>
      <c r="P530" s="43"/>
      <c r="Q530" s="43"/>
      <c r="R530" s="144"/>
      <c r="S530" s="147"/>
    </row>
    <row r="531" spans="1:19">
      <c r="A531" s="144"/>
      <c r="B531" s="43"/>
      <c r="C531" s="43"/>
      <c r="D531" s="43"/>
      <c r="E531" s="147"/>
      <c r="F531" s="43"/>
      <c r="G531" s="43"/>
      <c r="H531" s="144"/>
      <c r="I531" s="43"/>
      <c r="J531" s="43"/>
      <c r="K531" s="43"/>
      <c r="L531" s="43"/>
      <c r="M531" s="43"/>
      <c r="N531" s="43"/>
      <c r="O531" s="43"/>
      <c r="P531" s="43"/>
      <c r="Q531" s="43"/>
      <c r="R531" s="144"/>
      <c r="S531" s="147"/>
    </row>
    <row r="532" spans="1:19">
      <c r="A532" s="144"/>
      <c r="B532" s="43"/>
      <c r="C532" s="43"/>
      <c r="D532" s="43"/>
      <c r="E532" s="147"/>
      <c r="F532" s="43"/>
      <c r="G532" s="43"/>
      <c r="H532" s="144"/>
      <c r="I532" s="43"/>
      <c r="J532" s="43"/>
      <c r="K532" s="43"/>
      <c r="L532" s="43"/>
      <c r="M532" s="43"/>
      <c r="N532" s="43"/>
      <c r="O532" s="43"/>
      <c r="P532" s="43"/>
      <c r="Q532" s="43"/>
      <c r="R532" s="144"/>
      <c r="S532" s="147"/>
    </row>
    <row r="533" spans="1:19">
      <c r="A533" s="144"/>
      <c r="B533" s="43"/>
      <c r="C533" s="43"/>
      <c r="D533" s="43"/>
      <c r="E533" s="147"/>
      <c r="F533" s="43"/>
      <c r="G533" s="43"/>
      <c r="H533" s="144"/>
      <c r="I533" s="43"/>
      <c r="J533" s="43"/>
      <c r="K533" s="43"/>
      <c r="L533" s="43"/>
      <c r="M533" s="43"/>
      <c r="N533" s="43"/>
      <c r="O533" s="43"/>
      <c r="P533" s="43"/>
      <c r="Q533" s="43"/>
      <c r="R533" s="144"/>
      <c r="S533" s="147"/>
    </row>
    <row r="534" spans="1:19">
      <c r="A534" s="144"/>
      <c r="B534" s="43"/>
      <c r="C534" s="43"/>
      <c r="D534" s="43"/>
      <c r="E534" s="147"/>
      <c r="F534" s="43"/>
      <c r="G534" s="43"/>
      <c r="H534" s="144"/>
      <c r="I534" s="43"/>
      <c r="J534" s="43"/>
      <c r="K534" s="43"/>
      <c r="L534" s="43"/>
      <c r="M534" s="43"/>
      <c r="N534" s="43"/>
      <c r="O534" s="43"/>
      <c r="P534" s="43"/>
      <c r="Q534" s="43"/>
      <c r="R534" s="144"/>
      <c r="S534" s="147"/>
    </row>
    <row r="535" spans="1:19">
      <c r="A535" s="144"/>
      <c r="B535" s="43"/>
      <c r="C535" s="43"/>
      <c r="D535" s="43"/>
      <c r="E535" s="147"/>
      <c r="F535" s="43"/>
      <c r="G535" s="43"/>
      <c r="H535" s="144"/>
      <c r="I535" s="43"/>
      <c r="J535" s="43"/>
      <c r="K535" s="43"/>
      <c r="L535" s="43"/>
      <c r="M535" s="43"/>
      <c r="N535" s="43"/>
      <c r="O535" s="43"/>
      <c r="P535" s="43"/>
      <c r="Q535" s="43"/>
      <c r="R535" s="144"/>
      <c r="S535" s="147"/>
    </row>
    <row r="536" spans="1:19">
      <c r="A536" s="144"/>
      <c r="B536" s="43"/>
      <c r="C536" s="43"/>
      <c r="D536" s="43"/>
      <c r="E536" s="147"/>
      <c r="F536" s="43"/>
      <c r="G536" s="43"/>
      <c r="H536" s="144"/>
      <c r="I536" s="43"/>
      <c r="J536" s="43"/>
      <c r="K536" s="43"/>
      <c r="L536" s="43"/>
      <c r="M536" s="43"/>
      <c r="N536" s="43"/>
      <c r="O536" s="43"/>
      <c r="P536" s="43"/>
      <c r="Q536" s="43"/>
      <c r="R536" s="144"/>
      <c r="S536" s="147"/>
    </row>
    <row r="537" spans="1:19">
      <c r="A537" s="144"/>
      <c r="B537" s="43"/>
      <c r="C537" s="43"/>
      <c r="D537" s="43"/>
      <c r="E537" s="147"/>
      <c r="F537" s="43"/>
      <c r="G537" s="43"/>
      <c r="H537" s="144"/>
      <c r="I537" s="43"/>
      <c r="J537" s="43"/>
      <c r="K537" s="43"/>
      <c r="L537" s="43"/>
      <c r="M537" s="43"/>
      <c r="N537" s="43"/>
      <c r="O537" s="43"/>
      <c r="P537" s="43"/>
      <c r="Q537" s="43"/>
      <c r="R537" s="144"/>
      <c r="S537" s="147"/>
    </row>
    <row r="538" spans="1:19">
      <c r="A538" s="144"/>
      <c r="B538" s="43"/>
      <c r="C538" s="43"/>
      <c r="D538" s="43"/>
      <c r="E538" s="147"/>
      <c r="F538" s="43"/>
      <c r="G538" s="43"/>
      <c r="H538" s="144"/>
      <c r="I538" s="43"/>
      <c r="J538" s="43"/>
      <c r="K538" s="43"/>
      <c r="L538" s="43"/>
      <c r="M538" s="43"/>
      <c r="N538" s="43"/>
      <c r="O538" s="43"/>
      <c r="P538" s="43"/>
      <c r="Q538" s="43"/>
      <c r="R538" s="144"/>
      <c r="S538" s="147"/>
    </row>
    <row r="539" spans="1:19">
      <c r="A539" s="144"/>
      <c r="B539" s="43"/>
      <c r="C539" s="43"/>
      <c r="D539" s="43"/>
      <c r="E539" s="147"/>
      <c r="F539" s="43"/>
      <c r="G539" s="43"/>
      <c r="H539" s="144"/>
      <c r="I539" s="43"/>
      <c r="J539" s="43"/>
      <c r="K539" s="43"/>
      <c r="L539" s="43"/>
      <c r="M539" s="43"/>
      <c r="N539" s="43"/>
      <c r="O539" s="43"/>
      <c r="P539" s="43"/>
      <c r="Q539" s="43"/>
      <c r="R539" s="144"/>
      <c r="S539" s="147"/>
    </row>
    <row r="540" spans="1:19">
      <c r="A540" s="144"/>
      <c r="B540" s="43"/>
      <c r="C540" s="43"/>
      <c r="D540" s="43"/>
      <c r="E540" s="147"/>
      <c r="F540" s="43"/>
      <c r="G540" s="43"/>
      <c r="H540" s="144"/>
      <c r="I540" s="43"/>
      <c r="J540" s="43"/>
      <c r="K540" s="43"/>
      <c r="L540" s="43"/>
      <c r="M540" s="43"/>
      <c r="N540" s="43"/>
      <c r="O540" s="43"/>
      <c r="P540" s="43"/>
      <c r="Q540" s="43"/>
      <c r="R540" s="144"/>
      <c r="S540" s="147"/>
    </row>
    <row r="541" spans="1:19">
      <c r="A541" s="144"/>
      <c r="B541" s="43"/>
      <c r="C541" s="43"/>
      <c r="D541" s="43"/>
      <c r="E541" s="147"/>
      <c r="F541" s="43"/>
      <c r="G541" s="43"/>
      <c r="H541" s="144"/>
      <c r="I541" s="43"/>
      <c r="J541" s="43"/>
      <c r="K541" s="43"/>
      <c r="L541" s="43"/>
      <c r="M541" s="43"/>
      <c r="N541" s="43"/>
      <c r="O541" s="43"/>
      <c r="P541" s="43"/>
      <c r="Q541" s="43"/>
      <c r="R541" s="144"/>
      <c r="S541" s="147"/>
    </row>
    <row r="542" spans="1:19">
      <c r="A542" s="144"/>
      <c r="B542" s="43"/>
      <c r="C542" s="43"/>
      <c r="D542" s="43"/>
      <c r="E542" s="147"/>
      <c r="F542" s="43"/>
      <c r="G542" s="43"/>
      <c r="H542" s="144"/>
      <c r="I542" s="43"/>
      <c r="J542" s="43"/>
      <c r="K542" s="43"/>
      <c r="L542" s="43"/>
      <c r="M542" s="43"/>
      <c r="N542" s="43"/>
      <c r="O542" s="43"/>
      <c r="P542" s="43"/>
      <c r="Q542" s="43"/>
      <c r="R542" s="144"/>
      <c r="S542" s="147"/>
    </row>
    <row r="543" spans="1:19">
      <c r="A543" s="144"/>
      <c r="B543" s="43"/>
      <c r="C543" s="43"/>
      <c r="D543" s="43"/>
      <c r="E543" s="147"/>
      <c r="F543" s="43"/>
      <c r="G543" s="43"/>
      <c r="H543" s="144"/>
      <c r="I543" s="43"/>
      <c r="J543" s="43"/>
      <c r="K543" s="43"/>
      <c r="L543" s="43"/>
      <c r="M543" s="43"/>
      <c r="N543" s="43"/>
      <c r="O543" s="43"/>
      <c r="P543" s="43"/>
      <c r="Q543" s="43"/>
      <c r="R543" s="144"/>
      <c r="S543" s="147"/>
    </row>
    <row r="544" spans="1:19">
      <c r="A544" s="144"/>
      <c r="B544" s="43"/>
      <c r="C544" s="43"/>
      <c r="D544" s="43"/>
      <c r="E544" s="147"/>
      <c r="F544" s="43"/>
      <c r="G544" s="43"/>
      <c r="H544" s="144"/>
      <c r="I544" s="43"/>
      <c r="J544" s="43"/>
      <c r="K544" s="43"/>
      <c r="L544" s="43"/>
      <c r="M544" s="43"/>
      <c r="N544" s="43"/>
      <c r="O544" s="43"/>
      <c r="P544" s="43"/>
      <c r="Q544" s="43"/>
      <c r="R544" s="144"/>
      <c r="S544" s="147"/>
    </row>
    <row r="545" spans="1:19">
      <c r="A545" s="144"/>
      <c r="B545" s="43"/>
      <c r="C545" s="43"/>
      <c r="D545" s="43"/>
      <c r="E545" s="147"/>
      <c r="F545" s="43"/>
      <c r="G545" s="43"/>
      <c r="H545" s="144"/>
      <c r="I545" s="43"/>
      <c r="J545" s="43"/>
      <c r="K545" s="43"/>
      <c r="L545" s="43"/>
      <c r="M545" s="43"/>
      <c r="N545" s="43"/>
      <c r="O545" s="43"/>
      <c r="P545" s="43"/>
      <c r="Q545" s="43"/>
      <c r="R545" s="144"/>
      <c r="S545" s="147"/>
    </row>
    <row r="546" spans="1:19">
      <c r="A546" s="144"/>
      <c r="B546" s="43"/>
      <c r="C546" s="43"/>
      <c r="D546" s="43"/>
      <c r="E546" s="147"/>
      <c r="F546" s="43"/>
      <c r="G546" s="43"/>
      <c r="H546" s="144"/>
      <c r="I546" s="43"/>
      <c r="J546" s="43"/>
      <c r="K546" s="43"/>
      <c r="L546" s="43"/>
      <c r="M546" s="43"/>
      <c r="N546" s="43"/>
      <c r="O546" s="43"/>
      <c r="P546" s="43"/>
      <c r="Q546" s="43"/>
      <c r="R546" s="144"/>
      <c r="S546" s="147"/>
    </row>
    <row r="547" spans="1:19">
      <c r="A547" s="144"/>
      <c r="B547" s="43"/>
      <c r="C547" s="43"/>
      <c r="D547" s="43"/>
      <c r="E547" s="147"/>
      <c r="F547" s="43"/>
      <c r="G547" s="43"/>
      <c r="H547" s="144"/>
      <c r="I547" s="43"/>
      <c r="J547" s="43"/>
      <c r="K547" s="43"/>
      <c r="L547" s="43"/>
      <c r="M547" s="43"/>
      <c r="N547" s="43"/>
      <c r="O547" s="43"/>
      <c r="P547" s="43"/>
      <c r="Q547" s="43"/>
      <c r="R547" s="144"/>
      <c r="S547" s="147"/>
    </row>
    <row r="548" spans="1:19">
      <c r="A548" s="144"/>
      <c r="B548" s="43"/>
      <c r="C548" s="43"/>
      <c r="D548" s="43"/>
      <c r="E548" s="147"/>
      <c r="F548" s="43"/>
      <c r="G548" s="43"/>
      <c r="H548" s="144"/>
      <c r="I548" s="43"/>
      <c r="J548" s="43"/>
      <c r="K548" s="43"/>
      <c r="L548" s="43"/>
      <c r="M548" s="43"/>
      <c r="N548" s="43"/>
      <c r="O548" s="43"/>
      <c r="P548" s="43"/>
      <c r="Q548" s="43"/>
      <c r="R548" s="144"/>
      <c r="S548" s="147"/>
    </row>
    <row r="549" spans="1:19">
      <c r="A549" s="144"/>
      <c r="B549" s="43"/>
      <c r="C549" s="43"/>
      <c r="D549" s="43"/>
      <c r="E549" s="147"/>
      <c r="F549" s="43"/>
      <c r="G549" s="43"/>
      <c r="H549" s="144"/>
      <c r="I549" s="43"/>
      <c r="J549" s="43"/>
      <c r="K549" s="43"/>
      <c r="L549" s="43"/>
      <c r="M549" s="43"/>
      <c r="N549" s="43"/>
      <c r="O549" s="43"/>
      <c r="P549" s="43"/>
      <c r="Q549" s="43"/>
      <c r="R549" s="144"/>
      <c r="S549" s="147"/>
    </row>
    <row r="550" spans="1:19">
      <c r="A550" s="144"/>
      <c r="B550" s="43"/>
      <c r="C550" s="43"/>
      <c r="D550" s="43"/>
      <c r="E550" s="147"/>
      <c r="F550" s="43"/>
      <c r="G550" s="43"/>
      <c r="H550" s="144"/>
      <c r="I550" s="43"/>
      <c r="J550" s="43"/>
      <c r="K550" s="43"/>
      <c r="L550" s="43"/>
      <c r="M550" s="43"/>
      <c r="N550" s="43"/>
      <c r="O550" s="43"/>
      <c r="P550" s="43"/>
      <c r="Q550" s="43"/>
      <c r="R550" s="144"/>
      <c r="S550" s="147"/>
    </row>
    <row r="551" spans="1:19">
      <c r="A551" s="144"/>
      <c r="B551" s="43"/>
      <c r="C551" s="43"/>
      <c r="D551" s="43"/>
      <c r="E551" s="147"/>
      <c r="F551" s="43"/>
      <c r="G551" s="43"/>
      <c r="H551" s="144"/>
      <c r="I551" s="43"/>
      <c r="J551" s="43"/>
      <c r="K551" s="43"/>
      <c r="L551" s="43"/>
      <c r="M551" s="43"/>
      <c r="N551" s="43"/>
      <c r="O551" s="43"/>
      <c r="P551" s="43"/>
      <c r="Q551" s="43"/>
      <c r="R551" s="144"/>
      <c r="S551" s="147"/>
    </row>
    <row r="552" spans="1:19">
      <c r="A552" s="144"/>
      <c r="B552" s="43"/>
      <c r="C552" s="43"/>
      <c r="D552" s="43"/>
      <c r="E552" s="147"/>
      <c r="F552" s="43"/>
      <c r="G552" s="43"/>
      <c r="H552" s="144"/>
      <c r="I552" s="43"/>
      <c r="J552" s="43"/>
      <c r="K552" s="43"/>
      <c r="L552" s="43"/>
      <c r="M552" s="43"/>
      <c r="N552" s="43"/>
      <c r="O552" s="43"/>
      <c r="P552" s="43"/>
      <c r="Q552" s="43"/>
      <c r="R552" s="144"/>
      <c r="S552" s="147"/>
    </row>
    <row r="553" spans="1:19">
      <c r="A553" s="144"/>
      <c r="B553" s="43"/>
      <c r="C553" s="43"/>
      <c r="D553" s="43"/>
      <c r="E553" s="147"/>
      <c r="F553" s="43"/>
      <c r="G553" s="43"/>
      <c r="H553" s="144"/>
      <c r="I553" s="43"/>
      <c r="J553" s="43"/>
      <c r="K553" s="43"/>
      <c r="L553" s="43"/>
      <c r="M553" s="43"/>
      <c r="N553" s="43"/>
      <c r="O553" s="43"/>
      <c r="P553" s="43"/>
      <c r="Q553" s="43"/>
      <c r="R553" s="144"/>
      <c r="S553" s="147"/>
    </row>
    <row r="554" spans="1:19">
      <c r="A554" s="144"/>
      <c r="B554" s="43"/>
      <c r="C554" s="43"/>
      <c r="D554" s="43"/>
      <c r="E554" s="147"/>
      <c r="F554" s="43"/>
      <c r="G554" s="43"/>
      <c r="H554" s="144"/>
      <c r="I554" s="43"/>
      <c r="J554" s="43"/>
      <c r="K554" s="43"/>
      <c r="L554" s="43"/>
      <c r="M554" s="43"/>
      <c r="N554" s="43"/>
      <c r="O554" s="43"/>
      <c r="P554" s="43"/>
      <c r="Q554" s="43"/>
      <c r="R554" s="144"/>
      <c r="S554" s="147"/>
    </row>
    <row r="555" spans="1:19">
      <c r="A555" s="144"/>
      <c r="B555" s="43"/>
      <c r="C555" s="43"/>
      <c r="D555" s="43"/>
      <c r="E555" s="147"/>
      <c r="F555" s="43"/>
      <c r="G555" s="43"/>
      <c r="H555" s="144"/>
      <c r="I555" s="43"/>
      <c r="J555" s="43"/>
      <c r="K555" s="43"/>
      <c r="L555" s="43"/>
      <c r="M555" s="43"/>
      <c r="N555" s="43"/>
      <c r="O555" s="43"/>
      <c r="P555" s="43"/>
      <c r="Q555" s="43"/>
      <c r="R555" s="144"/>
      <c r="S555" s="147"/>
    </row>
    <row r="556" spans="1:19">
      <c r="A556" s="144"/>
      <c r="B556" s="43"/>
      <c r="C556" s="43"/>
      <c r="D556" s="43"/>
      <c r="E556" s="147"/>
      <c r="F556" s="43"/>
      <c r="G556" s="43"/>
      <c r="H556" s="144"/>
      <c r="I556" s="43"/>
      <c r="J556" s="43"/>
      <c r="K556" s="43"/>
      <c r="L556" s="43"/>
      <c r="M556" s="43"/>
      <c r="N556" s="43"/>
      <c r="O556" s="43"/>
      <c r="P556" s="43"/>
      <c r="Q556" s="43"/>
      <c r="R556" s="144"/>
      <c r="S556" s="147"/>
    </row>
    <row r="557" spans="1:19">
      <c r="A557" s="144"/>
      <c r="B557" s="43"/>
      <c r="C557" s="43"/>
      <c r="D557" s="43"/>
      <c r="E557" s="147"/>
      <c r="F557" s="43"/>
      <c r="G557" s="43"/>
      <c r="H557" s="144"/>
      <c r="I557" s="43"/>
      <c r="J557" s="43"/>
      <c r="K557" s="43"/>
      <c r="L557" s="43"/>
      <c r="M557" s="43"/>
      <c r="N557" s="43"/>
      <c r="O557" s="43"/>
      <c r="P557" s="43"/>
      <c r="Q557" s="43"/>
      <c r="R557" s="144"/>
      <c r="S557" s="147"/>
    </row>
    <row r="558" spans="1:19">
      <c r="A558" s="144"/>
      <c r="B558" s="43"/>
      <c r="C558" s="43"/>
      <c r="D558" s="43"/>
      <c r="E558" s="147"/>
      <c r="F558" s="43"/>
      <c r="G558" s="43"/>
      <c r="H558" s="144"/>
      <c r="I558" s="43"/>
      <c r="J558" s="43"/>
      <c r="K558" s="43"/>
      <c r="L558" s="43"/>
      <c r="M558" s="43"/>
      <c r="N558" s="43"/>
      <c r="O558" s="43"/>
      <c r="P558" s="43"/>
      <c r="Q558" s="43"/>
      <c r="R558" s="144"/>
      <c r="S558" s="147"/>
    </row>
    <row r="559" spans="1:19">
      <c r="A559" s="144"/>
      <c r="B559" s="43"/>
      <c r="C559" s="43"/>
      <c r="D559" s="43"/>
      <c r="E559" s="147"/>
      <c r="F559" s="43"/>
      <c r="G559" s="43"/>
      <c r="H559" s="144"/>
      <c r="I559" s="43"/>
      <c r="J559" s="43"/>
      <c r="K559" s="43"/>
      <c r="L559" s="43"/>
      <c r="M559" s="43"/>
      <c r="N559" s="43"/>
      <c r="O559" s="43"/>
      <c r="P559" s="43"/>
      <c r="Q559" s="43"/>
      <c r="R559" s="144"/>
      <c r="S559" s="147"/>
    </row>
    <row r="560" spans="1:19">
      <c r="A560" s="144"/>
      <c r="B560" s="43"/>
      <c r="C560" s="43"/>
      <c r="D560" s="43"/>
      <c r="E560" s="147"/>
      <c r="F560" s="43"/>
      <c r="G560" s="43"/>
      <c r="H560" s="144"/>
      <c r="I560" s="43"/>
      <c r="J560" s="43"/>
      <c r="K560" s="43"/>
      <c r="L560" s="43"/>
      <c r="M560" s="43"/>
      <c r="N560" s="43"/>
      <c r="O560" s="43"/>
      <c r="P560" s="43"/>
      <c r="Q560" s="43"/>
      <c r="R560" s="144"/>
      <c r="S560" s="147"/>
    </row>
    <row r="561" spans="1:19">
      <c r="A561" s="144"/>
      <c r="B561" s="43"/>
      <c r="C561" s="43"/>
      <c r="D561" s="43"/>
      <c r="E561" s="147"/>
      <c r="F561" s="43"/>
      <c r="G561" s="43"/>
      <c r="H561" s="144"/>
      <c r="I561" s="43"/>
      <c r="J561" s="43"/>
      <c r="K561" s="43"/>
      <c r="L561" s="43"/>
      <c r="M561" s="43"/>
      <c r="N561" s="43"/>
      <c r="O561" s="43"/>
      <c r="P561" s="43"/>
      <c r="Q561" s="43"/>
      <c r="R561" s="144"/>
      <c r="S561" s="147"/>
    </row>
    <row r="562" spans="1:19">
      <c r="A562" s="144"/>
      <c r="B562" s="43"/>
      <c r="C562" s="43"/>
      <c r="D562" s="43"/>
      <c r="E562" s="147"/>
      <c r="F562" s="43"/>
      <c r="G562" s="43"/>
      <c r="H562" s="144"/>
      <c r="I562" s="43"/>
      <c r="J562" s="43"/>
      <c r="K562" s="43"/>
      <c r="L562" s="43"/>
      <c r="M562" s="43"/>
      <c r="N562" s="43"/>
      <c r="O562" s="43"/>
      <c r="P562" s="43"/>
      <c r="Q562" s="43"/>
      <c r="R562" s="144"/>
      <c r="S562" s="147"/>
    </row>
    <row r="563" spans="1:19">
      <c r="A563" s="144"/>
      <c r="B563" s="43"/>
      <c r="C563" s="43"/>
      <c r="D563" s="43"/>
      <c r="E563" s="147"/>
      <c r="F563" s="43"/>
      <c r="G563" s="43"/>
      <c r="H563" s="144"/>
      <c r="I563" s="43"/>
      <c r="J563" s="43"/>
      <c r="K563" s="43"/>
      <c r="L563" s="43"/>
      <c r="M563" s="43"/>
      <c r="N563" s="43"/>
      <c r="O563" s="43"/>
      <c r="P563" s="43"/>
      <c r="Q563" s="43"/>
      <c r="R563" s="144"/>
      <c r="S563" s="147"/>
    </row>
    <row r="564" spans="1:19">
      <c r="A564" s="144"/>
      <c r="B564" s="43"/>
      <c r="C564" s="43"/>
      <c r="D564" s="43"/>
      <c r="E564" s="147"/>
      <c r="F564" s="43"/>
      <c r="G564" s="43"/>
      <c r="H564" s="144"/>
      <c r="I564" s="43"/>
      <c r="J564" s="43"/>
      <c r="K564" s="43"/>
      <c r="L564" s="43"/>
      <c r="M564" s="43"/>
      <c r="N564" s="43"/>
      <c r="O564" s="43"/>
      <c r="P564" s="43"/>
      <c r="Q564" s="43"/>
      <c r="R564" s="144"/>
      <c r="S564" s="147"/>
    </row>
    <row r="565" spans="1:19">
      <c r="A565" s="144"/>
      <c r="B565" s="43"/>
      <c r="C565" s="43"/>
      <c r="D565" s="43"/>
      <c r="E565" s="147"/>
      <c r="F565" s="43"/>
      <c r="G565" s="43"/>
      <c r="H565" s="144"/>
      <c r="I565" s="43"/>
      <c r="J565" s="43"/>
      <c r="K565" s="43"/>
      <c r="L565" s="43"/>
      <c r="M565" s="43"/>
      <c r="N565" s="43"/>
      <c r="O565" s="43"/>
      <c r="P565" s="43"/>
      <c r="Q565" s="43"/>
      <c r="R565" s="144"/>
      <c r="S565" s="147"/>
    </row>
    <row r="566" spans="1:19">
      <c r="A566" s="144"/>
      <c r="B566" s="43"/>
      <c r="C566" s="43"/>
      <c r="D566" s="43"/>
      <c r="E566" s="147"/>
      <c r="F566" s="43"/>
      <c r="G566" s="43"/>
      <c r="H566" s="144"/>
      <c r="I566" s="43"/>
      <c r="J566" s="43"/>
      <c r="K566" s="43"/>
      <c r="L566" s="43"/>
      <c r="M566" s="43"/>
      <c r="N566" s="43"/>
      <c r="O566" s="43"/>
      <c r="P566" s="43"/>
      <c r="Q566" s="43"/>
      <c r="R566" s="144"/>
      <c r="S566" s="147"/>
    </row>
    <row r="567" spans="1:19">
      <c r="A567" s="144"/>
      <c r="B567" s="43"/>
      <c r="C567" s="43"/>
      <c r="D567" s="43"/>
      <c r="E567" s="147"/>
      <c r="F567" s="43"/>
      <c r="G567" s="43"/>
      <c r="H567" s="144"/>
      <c r="I567" s="43"/>
      <c r="J567" s="43"/>
      <c r="K567" s="43"/>
      <c r="L567" s="43"/>
      <c r="M567" s="43"/>
      <c r="N567" s="43"/>
      <c r="O567" s="43"/>
      <c r="P567" s="43"/>
      <c r="Q567" s="43"/>
      <c r="R567" s="144"/>
      <c r="S567" s="147"/>
    </row>
    <row r="568" spans="1:19">
      <c r="A568" s="144"/>
      <c r="B568" s="43"/>
      <c r="C568" s="43"/>
      <c r="D568" s="43"/>
      <c r="E568" s="147"/>
      <c r="F568" s="43"/>
      <c r="G568" s="43"/>
      <c r="H568" s="144"/>
      <c r="I568" s="43"/>
      <c r="J568" s="43"/>
      <c r="K568" s="43"/>
      <c r="L568" s="43"/>
      <c r="M568" s="43"/>
      <c r="N568" s="43"/>
      <c r="O568" s="43"/>
      <c r="P568" s="43"/>
      <c r="Q568" s="43"/>
      <c r="R568" s="144"/>
      <c r="S568" s="147"/>
    </row>
    <row r="569" spans="1:19">
      <c r="A569" s="144"/>
      <c r="B569" s="43"/>
      <c r="C569" s="43"/>
      <c r="D569" s="43"/>
      <c r="E569" s="147"/>
      <c r="F569" s="43"/>
      <c r="G569" s="43"/>
      <c r="H569" s="144"/>
      <c r="I569" s="43"/>
      <c r="J569" s="43"/>
      <c r="K569" s="43"/>
      <c r="L569" s="43"/>
      <c r="M569" s="43"/>
      <c r="N569" s="43"/>
      <c r="O569" s="43"/>
      <c r="P569" s="43"/>
      <c r="Q569" s="43"/>
      <c r="R569" s="144"/>
      <c r="S569" s="147"/>
    </row>
    <row r="570" spans="1:19">
      <c r="A570" s="144"/>
      <c r="B570" s="43"/>
      <c r="C570" s="43"/>
      <c r="D570" s="43"/>
      <c r="E570" s="147"/>
      <c r="F570" s="43"/>
      <c r="G570" s="43"/>
      <c r="H570" s="144"/>
      <c r="I570" s="43"/>
      <c r="J570" s="43"/>
      <c r="K570" s="43"/>
      <c r="L570" s="43"/>
      <c r="M570" s="43"/>
      <c r="N570" s="43"/>
      <c r="O570" s="43"/>
      <c r="P570" s="43"/>
      <c r="Q570" s="43"/>
      <c r="R570" s="144"/>
      <c r="S570" s="147"/>
    </row>
    <row r="571" spans="1:19">
      <c r="A571" s="144"/>
      <c r="B571" s="43"/>
      <c r="C571" s="43"/>
      <c r="D571" s="43"/>
      <c r="E571" s="147"/>
      <c r="F571" s="43"/>
      <c r="G571" s="43"/>
      <c r="H571" s="144"/>
      <c r="I571" s="43"/>
      <c r="J571" s="43"/>
      <c r="K571" s="43"/>
      <c r="L571" s="43"/>
      <c r="M571" s="43"/>
      <c r="N571" s="43"/>
      <c r="O571" s="43"/>
      <c r="P571" s="43"/>
      <c r="Q571" s="43"/>
      <c r="R571" s="144"/>
      <c r="S571" s="147"/>
    </row>
    <row r="572" spans="1:19">
      <c r="A572" s="144"/>
      <c r="B572" s="43"/>
      <c r="C572" s="43"/>
      <c r="D572" s="43"/>
      <c r="E572" s="147"/>
      <c r="F572" s="43"/>
      <c r="G572" s="43"/>
      <c r="H572" s="144"/>
      <c r="I572" s="43"/>
      <c r="J572" s="43"/>
      <c r="K572" s="43"/>
      <c r="L572" s="43"/>
      <c r="M572" s="43"/>
      <c r="N572" s="43"/>
      <c r="O572" s="43"/>
      <c r="P572" s="43"/>
      <c r="Q572" s="43"/>
      <c r="R572" s="144"/>
      <c r="S572" s="147"/>
    </row>
    <row r="573" spans="1:19">
      <c r="A573" s="144"/>
      <c r="B573" s="43"/>
      <c r="C573" s="43"/>
      <c r="D573" s="43"/>
      <c r="E573" s="147"/>
      <c r="F573" s="43"/>
      <c r="G573" s="43"/>
      <c r="H573" s="144"/>
      <c r="I573" s="43"/>
      <c r="J573" s="43"/>
      <c r="K573" s="43"/>
      <c r="L573" s="43"/>
      <c r="M573" s="43"/>
      <c r="N573" s="43"/>
      <c r="O573" s="43"/>
      <c r="P573" s="43"/>
      <c r="Q573" s="43"/>
      <c r="R573" s="144"/>
      <c r="S573" s="147"/>
    </row>
    <row r="574" spans="1:19">
      <c r="A574" s="144"/>
      <c r="B574" s="43"/>
      <c r="C574" s="43"/>
      <c r="D574" s="43"/>
      <c r="E574" s="147"/>
      <c r="F574" s="43"/>
      <c r="G574" s="43"/>
      <c r="H574" s="144"/>
      <c r="I574" s="43"/>
      <c r="J574" s="43"/>
      <c r="K574" s="43"/>
      <c r="L574" s="43"/>
      <c r="M574" s="43"/>
      <c r="N574" s="43"/>
      <c r="O574" s="43"/>
      <c r="P574" s="43"/>
      <c r="Q574" s="43"/>
      <c r="R574" s="144"/>
      <c r="S574" s="147"/>
    </row>
    <row r="575" spans="1:19">
      <c r="A575" s="144"/>
      <c r="B575" s="43"/>
      <c r="C575" s="43"/>
      <c r="D575" s="43"/>
      <c r="E575" s="147"/>
      <c r="F575" s="43"/>
      <c r="G575" s="43"/>
      <c r="H575" s="144"/>
      <c r="I575" s="43"/>
      <c r="J575" s="43"/>
      <c r="K575" s="43"/>
      <c r="L575" s="43"/>
      <c r="M575" s="43"/>
      <c r="N575" s="43"/>
      <c r="O575" s="43"/>
      <c r="P575" s="43"/>
      <c r="Q575" s="43"/>
      <c r="R575" s="144"/>
      <c r="S575" s="147"/>
    </row>
    <row r="576" spans="1:19">
      <c r="A576" s="144"/>
      <c r="B576" s="43"/>
      <c r="C576" s="43"/>
      <c r="D576" s="43"/>
      <c r="E576" s="147"/>
      <c r="F576" s="43"/>
      <c r="G576" s="43"/>
      <c r="H576" s="144"/>
      <c r="I576" s="43"/>
      <c r="J576" s="43"/>
      <c r="K576" s="43"/>
      <c r="L576" s="43"/>
      <c r="M576" s="43"/>
      <c r="N576" s="43"/>
      <c r="O576" s="43"/>
      <c r="P576" s="43"/>
      <c r="Q576" s="43"/>
      <c r="R576" s="144"/>
      <c r="S576" s="147"/>
    </row>
    <row r="577" spans="1:19">
      <c r="A577" s="144"/>
      <c r="B577" s="43"/>
      <c r="C577" s="43"/>
      <c r="D577" s="43"/>
      <c r="E577" s="147"/>
      <c r="F577" s="43"/>
      <c r="G577" s="43"/>
      <c r="H577" s="144"/>
      <c r="I577" s="43"/>
      <c r="J577" s="43"/>
      <c r="K577" s="43"/>
      <c r="L577" s="43"/>
      <c r="M577" s="43"/>
      <c r="N577" s="43"/>
      <c r="O577" s="43"/>
      <c r="P577" s="43"/>
      <c r="Q577" s="43"/>
      <c r="R577" s="144"/>
      <c r="S577" s="147"/>
    </row>
    <row r="578" spans="1:19">
      <c r="A578" s="144"/>
      <c r="B578" s="43"/>
      <c r="C578" s="43"/>
      <c r="D578" s="43"/>
      <c r="E578" s="147"/>
      <c r="F578" s="43"/>
      <c r="G578" s="43"/>
      <c r="H578" s="144"/>
      <c r="I578" s="43"/>
      <c r="J578" s="43"/>
      <c r="K578" s="43"/>
      <c r="L578" s="43"/>
      <c r="M578" s="43"/>
      <c r="N578" s="43"/>
      <c r="O578" s="43"/>
      <c r="P578" s="43"/>
      <c r="Q578" s="43"/>
      <c r="R578" s="144"/>
      <c r="S578" s="147"/>
    </row>
    <row r="579" spans="1:19">
      <c r="A579" s="144"/>
      <c r="B579" s="43"/>
      <c r="C579" s="43"/>
      <c r="D579" s="43"/>
      <c r="E579" s="147"/>
      <c r="F579" s="43"/>
      <c r="G579" s="43"/>
      <c r="H579" s="144"/>
      <c r="I579" s="43"/>
      <c r="J579" s="43"/>
      <c r="K579" s="43"/>
      <c r="L579" s="43"/>
      <c r="M579" s="43"/>
      <c r="N579" s="43"/>
      <c r="O579" s="43"/>
      <c r="P579" s="43"/>
      <c r="Q579" s="43"/>
      <c r="R579" s="144"/>
      <c r="S579" s="147"/>
    </row>
    <row r="580" spans="1:19">
      <c r="A580" s="144"/>
      <c r="B580" s="43"/>
      <c r="C580" s="43"/>
      <c r="D580" s="43"/>
      <c r="E580" s="147"/>
      <c r="F580" s="43"/>
      <c r="G580" s="43"/>
      <c r="H580" s="144"/>
      <c r="I580" s="43"/>
      <c r="J580" s="43"/>
      <c r="K580" s="43"/>
      <c r="L580" s="43"/>
      <c r="M580" s="43"/>
      <c r="N580" s="43"/>
      <c r="O580" s="43"/>
      <c r="P580" s="43"/>
      <c r="Q580" s="43"/>
      <c r="R580" s="144"/>
      <c r="S580" s="147"/>
    </row>
    <row r="581" spans="1:19">
      <c r="A581" s="144"/>
      <c r="B581" s="43"/>
      <c r="C581" s="43"/>
      <c r="D581" s="43"/>
      <c r="E581" s="147"/>
      <c r="F581" s="43"/>
      <c r="G581" s="43"/>
      <c r="H581" s="144"/>
      <c r="I581" s="43"/>
      <c r="J581" s="43"/>
      <c r="K581" s="43"/>
      <c r="L581" s="43"/>
      <c r="M581" s="43"/>
      <c r="N581" s="43"/>
      <c r="O581" s="43"/>
      <c r="P581" s="43"/>
      <c r="Q581" s="43"/>
      <c r="R581" s="144"/>
      <c r="S581" s="147"/>
    </row>
    <row r="582" spans="1:19">
      <c r="A582" s="144"/>
      <c r="B582" s="43"/>
      <c r="C582" s="43"/>
      <c r="D582" s="43"/>
      <c r="E582" s="147"/>
      <c r="F582" s="43"/>
      <c r="G582" s="43"/>
      <c r="H582" s="144"/>
      <c r="I582" s="43"/>
      <c r="J582" s="43"/>
      <c r="K582" s="43"/>
      <c r="L582" s="43"/>
      <c r="M582" s="43"/>
      <c r="N582" s="43"/>
      <c r="O582" s="43"/>
      <c r="P582" s="43"/>
      <c r="Q582" s="43"/>
      <c r="R582" s="144"/>
      <c r="S582" s="147"/>
    </row>
    <row r="583" spans="1:19">
      <c r="A583" s="144"/>
      <c r="B583" s="43"/>
      <c r="C583" s="43"/>
      <c r="D583" s="43"/>
      <c r="E583" s="147"/>
      <c r="F583" s="43"/>
      <c r="G583" s="43"/>
      <c r="H583" s="144"/>
      <c r="I583" s="43"/>
      <c r="J583" s="43"/>
      <c r="K583" s="43"/>
      <c r="L583" s="43"/>
      <c r="M583" s="43"/>
      <c r="N583" s="43"/>
      <c r="O583" s="43"/>
      <c r="P583" s="43"/>
      <c r="Q583" s="43"/>
      <c r="R583" s="144"/>
      <c r="S583" s="147"/>
    </row>
    <row r="584" spans="1:19">
      <c r="A584" s="144"/>
      <c r="B584" s="43"/>
      <c r="C584" s="43"/>
      <c r="D584" s="43"/>
      <c r="E584" s="147"/>
      <c r="F584" s="43"/>
      <c r="G584" s="43"/>
      <c r="H584" s="144"/>
      <c r="I584" s="43"/>
      <c r="J584" s="43"/>
      <c r="K584" s="43"/>
      <c r="L584" s="43"/>
      <c r="M584" s="43"/>
      <c r="N584" s="43"/>
      <c r="O584" s="43"/>
      <c r="P584" s="43"/>
      <c r="Q584" s="43"/>
      <c r="R584" s="144"/>
      <c r="S584" s="147"/>
    </row>
    <row r="585" spans="1:19">
      <c r="A585" s="144"/>
      <c r="B585" s="43"/>
      <c r="C585" s="43"/>
      <c r="D585" s="43"/>
      <c r="E585" s="147"/>
      <c r="F585" s="43"/>
      <c r="G585" s="43"/>
      <c r="H585" s="144"/>
      <c r="I585" s="43"/>
      <c r="J585" s="43"/>
      <c r="K585" s="43"/>
      <c r="L585" s="43"/>
      <c r="M585" s="43"/>
      <c r="N585" s="43"/>
      <c r="O585" s="43"/>
      <c r="P585" s="43"/>
      <c r="Q585" s="43"/>
      <c r="R585" s="144"/>
      <c r="S585" s="147"/>
    </row>
    <row r="586" spans="1:19">
      <c r="A586" s="144"/>
      <c r="B586" s="43"/>
      <c r="C586" s="43"/>
      <c r="D586" s="43"/>
      <c r="E586" s="147"/>
      <c r="F586" s="43"/>
      <c r="G586" s="43"/>
      <c r="H586" s="144"/>
      <c r="I586" s="43"/>
      <c r="J586" s="43"/>
      <c r="K586" s="43"/>
      <c r="L586" s="43"/>
      <c r="M586" s="43"/>
      <c r="N586" s="43"/>
      <c r="O586" s="43"/>
      <c r="P586" s="43"/>
      <c r="Q586" s="43"/>
      <c r="R586" s="144"/>
      <c r="S586" s="147"/>
    </row>
    <row r="587" spans="1:19">
      <c r="A587" s="144"/>
      <c r="B587" s="43"/>
      <c r="C587" s="43"/>
      <c r="D587" s="43"/>
      <c r="E587" s="147"/>
      <c r="F587" s="43"/>
      <c r="G587" s="43"/>
      <c r="H587" s="144"/>
      <c r="I587" s="43"/>
      <c r="J587" s="43"/>
      <c r="K587" s="43"/>
      <c r="L587" s="43"/>
      <c r="M587" s="43"/>
      <c r="N587" s="43"/>
      <c r="O587" s="43"/>
      <c r="P587" s="43"/>
      <c r="Q587" s="43"/>
      <c r="R587" s="144"/>
      <c r="S587" s="147"/>
    </row>
    <row r="588" spans="1:19">
      <c r="A588" s="144"/>
      <c r="B588" s="43"/>
      <c r="C588" s="43"/>
      <c r="D588" s="43"/>
      <c r="E588" s="147"/>
      <c r="F588" s="43"/>
      <c r="G588" s="43"/>
      <c r="H588" s="144"/>
      <c r="I588" s="43"/>
      <c r="J588" s="43"/>
      <c r="K588" s="43"/>
      <c r="L588" s="43"/>
      <c r="M588" s="43"/>
      <c r="N588" s="43"/>
      <c r="O588" s="43"/>
      <c r="P588" s="43"/>
      <c r="Q588" s="43"/>
      <c r="R588" s="144"/>
      <c r="S588" s="147"/>
    </row>
    <row r="589" spans="1:19">
      <c r="A589" s="144"/>
      <c r="B589" s="43"/>
      <c r="C589" s="43"/>
      <c r="D589" s="43"/>
      <c r="E589" s="147"/>
      <c r="F589" s="43"/>
      <c r="G589" s="43"/>
      <c r="H589" s="144"/>
      <c r="I589" s="43"/>
      <c r="J589" s="43"/>
      <c r="K589" s="43"/>
      <c r="L589" s="43"/>
      <c r="M589" s="43"/>
      <c r="N589" s="43"/>
      <c r="O589" s="43"/>
      <c r="P589" s="43"/>
      <c r="Q589" s="43"/>
      <c r="R589" s="144"/>
      <c r="S589" s="147"/>
    </row>
    <row r="590" spans="1:19">
      <c r="A590" s="144"/>
      <c r="B590" s="43"/>
      <c r="C590" s="43"/>
      <c r="D590" s="43"/>
      <c r="E590" s="147"/>
      <c r="F590" s="43"/>
      <c r="G590" s="43"/>
      <c r="H590" s="144"/>
      <c r="I590" s="43"/>
      <c r="J590" s="43"/>
      <c r="K590" s="43"/>
      <c r="L590" s="43"/>
      <c r="M590" s="43"/>
      <c r="N590" s="43"/>
      <c r="O590" s="43"/>
      <c r="P590" s="43"/>
      <c r="Q590" s="43"/>
      <c r="R590" s="144"/>
      <c r="S590" s="147"/>
    </row>
    <row r="591" spans="1:19">
      <c r="A591" s="144"/>
      <c r="B591" s="43"/>
      <c r="C591" s="43"/>
      <c r="D591" s="43"/>
      <c r="E591" s="147"/>
      <c r="F591" s="43"/>
      <c r="G591" s="43"/>
      <c r="H591" s="144"/>
      <c r="I591" s="43"/>
      <c r="J591" s="43"/>
      <c r="K591" s="43"/>
      <c r="L591" s="43"/>
      <c r="M591" s="43"/>
      <c r="N591" s="43"/>
      <c r="O591" s="43"/>
      <c r="P591" s="43"/>
      <c r="Q591" s="43"/>
      <c r="R591" s="144"/>
      <c r="S591" s="147"/>
    </row>
    <row r="592" spans="1:19">
      <c r="A592" s="144"/>
      <c r="B592" s="43"/>
      <c r="C592" s="43"/>
      <c r="D592" s="43"/>
      <c r="E592" s="147"/>
      <c r="F592" s="43"/>
      <c r="G592" s="43"/>
      <c r="H592" s="144"/>
      <c r="I592" s="43"/>
      <c r="J592" s="43"/>
      <c r="K592" s="43"/>
      <c r="L592" s="43"/>
      <c r="M592" s="43"/>
      <c r="N592" s="43"/>
      <c r="O592" s="43"/>
      <c r="P592" s="43"/>
      <c r="Q592" s="43"/>
      <c r="R592" s="144"/>
      <c r="S592" s="147"/>
    </row>
    <row r="593" spans="1:19">
      <c r="A593" s="144"/>
      <c r="B593" s="43"/>
      <c r="C593" s="43"/>
      <c r="D593" s="43"/>
      <c r="E593" s="147"/>
      <c r="F593" s="43"/>
      <c r="G593" s="43"/>
      <c r="H593" s="144"/>
      <c r="I593" s="43"/>
      <c r="J593" s="43"/>
      <c r="K593" s="43"/>
      <c r="L593" s="43"/>
      <c r="M593" s="43"/>
      <c r="N593" s="43"/>
      <c r="O593" s="43"/>
      <c r="P593" s="43"/>
      <c r="Q593" s="43"/>
      <c r="R593" s="144"/>
      <c r="S593" s="147"/>
    </row>
    <row r="594" spans="1:19">
      <c r="A594" s="144"/>
      <c r="B594" s="43"/>
      <c r="C594" s="43"/>
      <c r="D594" s="43"/>
      <c r="E594" s="147"/>
      <c r="F594" s="43"/>
      <c r="G594" s="43"/>
      <c r="H594" s="144"/>
      <c r="I594" s="43"/>
      <c r="J594" s="43"/>
      <c r="K594" s="43"/>
      <c r="L594" s="43"/>
      <c r="M594" s="43"/>
      <c r="N594" s="43"/>
      <c r="O594" s="43"/>
      <c r="P594" s="43"/>
      <c r="Q594" s="43"/>
      <c r="R594" s="144"/>
      <c r="S594" s="147"/>
    </row>
    <row r="595" spans="1:19">
      <c r="A595" s="144"/>
      <c r="B595" s="43"/>
      <c r="C595" s="43"/>
      <c r="D595" s="43"/>
      <c r="E595" s="147"/>
      <c r="F595" s="43"/>
      <c r="G595" s="43"/>
      <c r="H595" s="144"/>
      <c r="I595" s="43"/>
      <c r="J595" s="43"/>
      <c r="K595" s="43"/>
      <c r="L595" s="43"/>
      <c r="M595" s="43"/>
      <c r="N595" s="43"/>
      <c r="O595" s="43"/>
      <c r="P595" s="43"/>
      <c r="Q595" s="43"/>
      <c r="R595" s="144"/>
      <c r="S595" s="147"/>
    </row>
    <row r="596" spans="1:19">
      <c r="A596" s="144"/>
      <c r="B596" s="43"/>
      <c r="C596" s="43"/>
      <c r="D596" s="43"/>
      <c r="E596" s="147"/>
      <c r="F596" s="43"/>
      <c r="G596" s="43"/>
      <c r="H596" s="144"/>
      <c r="I596" s="43"/>
      <c r="J596" s="43"/>
      <c r="K596" s="43"/>
      <c r="L596" s="43"/>
      <c r="M596" s="43"/>
      <c r="N596" s="43"/>
      <c r="O596" s="43"/>
      <c r="P596" s="43"/>
      <c r="Q596" s="43"/>
      <c r="R596" s="144"/>
      <c r="S596" s="147"/>
    </row>
    <row r="597" spans="1:19">
      <c r="A597" s="144"/>
      <c r="B597" s="43"/>
      <c r="C597" s="43"/>
      <c r="D597" s="43"/>
      <c r="E597" s="147"/>
      <c r="F597" s="43"/>
      <c r="G597" s="43"/>
      <c r="H597" s="144"/>
      <c r="I597" s="43"/>
      <c r="J597" s="43"/>
      <c r="K597" s="43"/>
      <c r="L597" s="43"/>
      <c r="M597" s="43"/>
      <c r="N597" s="43"/>
      <c r="O597" s="43"/>
      <c r="P597" s="43"/>
      <c r="Q597" s="43"/>
      <c r="R597" s="144"/>
      <c r="S597" s="147"/>
    </row>
    <row r="598" spans="1:19">
      <c r="A598" s="144"/>
      <c r="B598" s="43"/>
      <c r="C598" s="43"/>
      <c r="D598" s="43"/>
      <c r="E598" s="147"/>
      <c r="F598" s="43"/>
      <c r="G598" s="43"/>
      <c r="H598" s="144"/>
      <c r="I598" s="43"/>
      <c r="J598" s="43"/>
      <c r="K598" s="43"/>
      <c r="L598" s="43"/>
      <c r="M598" s="43"/>
      <c r="N598" s="43"/>
      <c r="O598" s="43"/>
      <c r="P598" s="43"/>
      <c r="Q598" s="43"/>
      <c r="R598" s="144"/>
      <c r="S598" s="147"/>
    </row>
    <row r="599" spans="1:19">
      <c r="A599" s="144"/>
      <c r="B599" s="43"/>
      <c r="C599" s="43"/>
      <c r="D599" s="43"/>
      <c r="E599" s="147"/>
      <c r="F599" s="43"/>
      <c r="G599" s="43"/>
      <c r="H599" s="144"/>
      <c r="I599" s="43"/>
      <c r="J599" s="43"/>
      <c r="K599" s="43"/>
      <c r="L599" s="43"/>
      <c r="M599" s="43"/>
      <c r="N599" s="43"/>
      <c r="O599" s="43"/>
      <c r="P599" s="43"/>
      <c r="Q599" s="43"/>
      <c r="R599" s="144"/>
      <c r="S599" s="147"/>
    </row>
    <row r="600" spans="1:19">
      <c r="A600" s="144"/>
      <c r="B600" s="43"/>
      <c r="C600" s="43"/>
      <c r="D600" s="43"/>
      <c r="E600" s="147"/>
      <c r="F600" s="43"/>
      <c r="G600" s="43"/>
      <c r="H600" s="144"/>
      <c r="I600" s="43"/>
      <c r="J600" s="43"/>
      <c r="K600" s="43"/>
      <c r="L600" s="43"/>
      <c r="M600" s="43"/>
      <c r="N600" s="43"/>
      <c r="O600" s="43"/>
      <c r="P600" s="43"/>
      <c r="Q600" s="43"/>
      <c r="R600" s="144"/>
      <c r="S600" s="147"/>
    </row>
    <row r="601" spans="1:19">
      <c r="A601" s="144"/>
      <c r="B601" s="43"/>
      <c r="C601" s="43"/>
      <c r="D601" s="43"/>
      <c r="E601" s="147"/>
      <c r="F601" s="43"/>
      <c r="G601" s="43"/>
      <c r="H601" s="144"/>
      <c r="I601" s="43"/>
      <c r="J601" s="43"/>
      <c r="K601" s="43"/>
      <c r="L601" s="43"/>
      <c r="M601" s="43"/>
      <c r="N601" s="43"/>
      <c r="O601" s="43"/>
      <c r="P601" s="43"/>
      <c r="Q601" s="43"/>
      <c r="R601" s="144"/>
      <c r="S601" s="147"/>
    </row>
    <row r="602" spans="1:19">
      <c r="A602" s="144"/>
      <c r="B602" s="43"/>
      <c r="C602" s="43"/>
      <c r="D602" s="43"/>
      <c r="E602" s="147"/>
      <c r="F602" s="43"/>
      <c r="G602" s="43"/>
      <c r="H602" s="144"/>
      <c r="I602" s="43"/>
      <c r="J602" s="43"/>
      <c r="K602" s="43"/>
      <c r="L602" s="43"/>
      <c r="M602" s="43"/>
      <c r="N602" s="43"/>
      <c r="O602" s="43"/>
      <c r="P602" s="43"/>
      <c r="Q602" s="43"/>
      <c r="R602" s="144"/>
      <c r="S602" s="147"/>
    </row>
    <row r="603" spans="1:19">
      <c r="A603" s="144"/>
      <c r="B603" s="43"/>
      <c r="C603" s="43"/>
      <c r="D603" s="43"/>
      <c r="E603" s="147"/>
      <c r="F603" s="43"/>
      <c r="G603" s="43"/>
      <c r="H603" s="144"/>
      <c r="I603" s="43"/>
      <c r="J603" s="43"/>
      <c r="K603" s="43"/>
      <c r="L603" s="43"/>
      <c r="M603" s="43"/>
      <c r="N603" s="43"/>
      <c r="O603" s="43"/>
      <c r="P603" s="43"/>
      <c r="Q603" s="43"/>
      <c r="R603" s="144"/>
      <c r="S603" s="147"/>
    </row>
    <row r="604" spans="1:19">
      <c r="A604" s="144"/>
      <c r="B604" s="43"/>
      <c r="C604" s="43"/>
      <c r="D604" s="43"/>
      <c r="E604" s="147"/>
      <c r="F604" s="43"/>
      <c r="G604" s="43"/>
      <c r="H604" s="144"/>
      <c r="I604" s="43"/>
      <c r="J604" s="43"/>
      <c r="K604" s="43"/>
      <c r="L604" s="43"/>
      <c r="M604" s="43"/>
      <c r="N604" s="43"/>
      <c r="O604" s="43"/>
      <c r="P604" s="43"/>
      <c r="Q604" s="43"/>
      <c r="R604" s="144"/>
      <c r="S604" s="147"/>
    </row>
    <row r="605" spans="1:19">
      <c r="A605" s="144"/>
      <c r="B605" s="43"/>
      <c r="C605" s="43"/>
      <c r="D605" s="43"/>
      <c r="E605" s="147"/>
      <c r="F605" s="43"/>
      <c r="G605" s="43"/>
      <c r="H605" s="144"/>
      <c r="I605" s="43"/>
      <c r="J605" s="43"/>
      <c r="K605" s="43"/>
      <c r="L605" s="43"/>
      <c r="M605" s="43"/>
      <c r="N605" s="43"/>
      <c r="O605" s="43"/>
      <c r="P605" s="43"/>
      <c r="Q605" s="43"/>
      <c r="R605" s="144"/>
      <c r="S605" s="147"/>
    </row>
    <row r="606" spans="1:19">
      <c r="A606" s="144"/>
      <c r="B606" s="43"/>
      <c r="C606" s="43"/>
      <c r="D606" s="43"/>
      <c r="E606" s="147"/>
      <c r="F606" s="43"/>
      <c r="G606" s="43"/>
      <c r="H606" s="144"/>
      <c r="I606" s="43"/>
      <c r="J606" s="43"/>
      <c r="K606" s="43"/>
      <c r="L606" s="43"/>
      <c r="M606" s="43"/>
      <c r="N606" s="43"/>
      <c r="O606" s="43"/>
      <c r="P606" s="43"/>
      <c r="Q606" s="43"/>
      <c r="R606" s="144"/>
      <c r="S606" s="147"/>
    </row>
    <row r="607" spans="1:19">
      <c r="A607" s="144"/>
      <c r="B607" s="43"/>
      <c r="C607" s="43"/>
      <c r="D607" s="43"/>
      <c r="E607" s="147"/>
      <c r="F607" s="43"/>
      <c r="G607" s="43"/>
      <c r="H607" s="144"/>
      <c r="I607" s="43"/>
      <c r="J607" s="43"/>
      <c r="K607" s="43"/>
      <c r="L607" s="43"/>
      <c r="M607" s="43"/>
      <c r="N607" s="43"/>
      <c r="O607" s="43"/>
      <c r="P607" s="43"/>
      <c r="Q607" s="43"/>
      <c r="R607" s="144"/>
      <c r="S607" s="147"/>
    </row>
    <row r="608" spans="1:19">
      <c r="A608" s="144"/>
      <c r="B608" s="43"/>
      <c r="C608" s="43"/>
      <c r="D608" s="43"/>
      <c r="E608" s="147"/>
      <c r="F608" s="43"/>
      <c r="G608" s="43"/>
      <c r="H608" s="144"/>
      <c r="I608" s="43"/>
      <c r="J608" s="43"/>
      <c r="K608" s="43"/>
      <c r="L608" s="43"/>
      <c r="M608" s="43"/>
      <c r="N608" s="43"/>
      <c r="O608" s="43"/>
      <c r="P608" s="43"/>
      <c r="Q608" s="43"/>
      <c r="R608" s="144"/>
      <c r="S608" s="147"/>
    </row>
    <row r="609" spans="1:19">
      <c r="A609" s="144"/>
      <c r="B609" s="43"/>
      <c r="C609" s="43"/>
      <c r="D609" s="43"/>
      <c r="E609" s="147"/>
      <c r="F609" s="43"/>
      <c r="G609" s="43"/>
      <c r="H609" s="144"/>
      <c r="I609" s="43"/>
      <c r="J609" s="43"/>
      <c r="K609" s="43"/>
      <c r="L609" s="43"/>
      <c r="M609" s="43"/>
      <c r="N609" s="43"/>
      <c r="O609" s="43"/>
      <c r="P609" s="43"/>
      <c r="Q609" s="43"/>
      <c r="R609" s="144"/>
      <c r="S609" s="147"/>
    </row>
    <row r="610" spans="1:19">
      <c r="A610" s="144"/>
      <c r="B610" s="43"/>
      <c r="C610" s="43"/>
      <c r="D610" s="43"/>
      <c r="E610" s="147"/>
      <c r="F610" s="43"/>
      <c r="G610" s="43"/>
      <c r="H610" s="144"/>
      <c r="I610" s="43"/>
      <c r="J610" s="43"/>
      <c r="K610" s="43"/>
      <c r="L610" s="43"/>
      <c r="M610" s="43"/>
      <c r="N610" s="43"/>
      <c r="O610" s="43"/>
      <c r="P610" s="43"/>
      <c r="Q610" s="43"/>
      <c r="R610" s="144"/>
      <c r="S610" s="147"/>
    </row>
    <row r="611" spans="1:19">
      <c r="A611" s="144"/>
      <c r="B611" s="43"/>
      <c r="C611" s="43"/>
      <c r="D611" s="43"/>
      <c r="E611" s="147"/>
      <c r="F611" s="43"/>
      <c r="G611" s="43"/>
      <c r="H611" s="144"/>
      <c r="I611" s="43"/>
      <c r="J611" s="43"/>
      <c r="K611" s="43"/>
      <c r="L611" s="43"/>
      <c r="M611" s="43"/>
      <c r="N611" s="43"/>
      <c r="O611" s="43"/>
      <c r="P611" s="43"/>
      <c r="Q611" s="43"/>
      <c r="R611" s="144"/>
      <c r="S611" s="147"/>
    </row>
    <row r="612" spans="1:19">
      <c r="A612" s="144"/>
      <c r="B612" s="43"/>
      <c r="C612" s="43"/>
      <c r="D612" s="43"/>
      <c r="E612" s="147"/>
      <c r="F612" s="43"/>
      <c r="G612" s="43"/>
      <c r="H612" s="144"/>
      <c r="I612" s="43"/>
      <c r="J612" s="43"/>
      <c r="K612" s="43"/>
      <c r="L612" s="43"/>
      <c r="M612" s="43"/>
      <c r="N612" s="43"/>
      <c r="O612" s="43"/>
      <c r="P612" s="43"/>
      <c r="Q612" s="43"/>
      <c r="R612" s="144"/>
      <c r="S612" s="147"/>
    </row>
    <row r="613" spans="1:19">
      <c r="A613" s="144"/>
      <c r="B613" s="43"/>
      <c r="C613" s="43"/>
      <c r="D613" s="43"/>
      <c r="E613" s="147"/>
      <c r="F613" s="43"/>
      <c r="G613" s="43"/>
      <c r="H613" s="144"/>
      <c r="I613" s="43"/>
      <c r="J613" s="43"/>
      <c r="K613" s="43"/>
      <c r="L613" s="43"/>
      <c r="M613" s="43"/>
      <c r="N613" s="43"/>
      <c r="O613" s="43"/>
      <c r="P613" s="43"/>
      <c r="Q613" s="43"/>
      <c r="R613" s="144"/>
      <c r="S613" s="147"/>
    </row>
    <row r="614" spans="1:19">
      <c r="A614" s="144"/>
      <c r="B614" s="43"/>
      <c r="C614" s="43"/>
      <c r="D614" s="43"/>
      <c r="E614" s="147"/>
      <c r="F614" s="43"/>
      <c r="G614" s="43"/>
      <c r="H614" s="144"/>
      <c r="I614" s="43"/>
      <c r="J614" s="43"/>
      <c r="K614" s="43"/>
      <c r="L614" s="43"/>
      <c r="M614" s="43"/>
      <c r="N614" s="43"/>
      <c r="O614" s="43"/>
      <c r="P614" s="43"/>
      <c r="Q614" s="43"/>
      <c r="R614" s="144"/>
      <c r="S614" s="147"/>
    </row>
    <row r="615" spans="1:19">
      <c r="A615" s="144"/>
      <c r="B615" s="43"/>
      <c r="C615" s="43"/>
      <c r="D615" s="43"/>
      <c r="E615" s="147"/>
      <c r="F615" s="43"/>
      <c r="G615" s="43"/>
      <c r="H615" s="144"/>
      <c r="I615" s="43"/>
      <c r="J615" s="43"/>
      <c r="K615" s="43"/>
      <c r="L615" s="43"/>
      <c r="M615" s="43"/>
      <c r="N615" s="43"/>
      <c r="O615" s="43"/>
      <c r="P615" s="43"/>
      <c r="Q615" s="43"/>
      <c r="R615" s="144"/>
      <c r="S615" s="147"/>
    </row>
    <row r="616" spans="1:19">
      <c r="A616" s="144"/>
      <c r="B616" s="43"/>
      <c r="C616" s="43"/>
      <c r="D616" s="43"/>
      <c r="E616" s="147"/>
      <c r="F616" s="43"/>
      <c r="G616" s="43"/>
      <c r="H616" s="144"/>
      <c r="I616" s="43"/>
      <c r="J616" s="43"/>
      <c r="K616" s="43"/>
      <c r="L616" s="43"/>
      <c r="M616" s="43"/>
      <c r="N616" s="43"/>
      <c r="O616" s="43"/>
      <c r="P616" s="43"/>
      <c r="Q616" s="43"/>
      <c r="R616" s="144"/>
      <c r="S616" s="147"/>
    </row>
    <row r="617" spans="1:19">
      <c r="A617" s="144"/>
      <c r="B617" s="43"/>
      <c r="C617" s="43"/>
      <c r="D617" s="43"/>
      <c r="E617" s="147"/>
      <c r="F617" s="43"/>
      <c r="G617" s="43"/>
      <c r="H617" s="144"/>
      <c r="I617" s="43"/>
      <c r="J617" s="43"/>
      <c r="K617" s="43"/>
      <c r="L617" s="43"/>
      <c r="M617" s="43"/>
      <c r="N617" s="43"/>
      <c r="O617" s="43"/>
      <c r="P617" s="43"/>
      <c r="Q617" s="43"/>
      <c r="R617" s="144"/>
      <c r="S617" s="147"/>
    </row>
    <row r="618" spans="1:19">
      <c r="A618" s="144"/>
      <c r="B618" s="43"/>
      <c r="C618" s="43"/>
      <c r="D618" s="43"/>
      <c r="E618" s="147"/>
      <c r="F618" s="43"/>
      <c r="G618" s="43"/>
      <c r="H618" s="144"/>
      <c r="I618" s="43"/>
      <c r="J618" s="43"/>
      <c r="K618" s="43"/>
      <c r="L618" s="43"/>
      <c r="M618" s="43"/>
      <c r="N618" s="43"/>
      <c r="O618" s="43"/>
      <c r="P618" s="43"/>
      <c r="Q618" s="43"/>
      <c r="R618" s="144"/>
      <c r="S618" s="147"/>
    </row>
    <row r="619" spans="1:19">
      <c r="A619" s="144"/>
      <c r="B619" s="43"/>
      <c r="C619" s="43"/>
      <c r="D619" s="43"/>
      <c r="E619" s="147"/>
      <c r="F619" s="43"/>
      <c r="G619" s="43"/>
      <c r="H619" s="144"/>
      <c r="I619" s="43"/>
      <c r="J619" s="43"/>
      <c r="K619" s="43"/>
      <c r="L619" s="43"/>
      <c r="M619" s="43"/>
      <c r="N619" s="43"/>
      <c r="O619" s="43"/>
      <c r="P619" s="43"/>
      <c r="Q619" s="43"/>
      <c r="R619" s="144"/>
      <c r="S619" s="147"/>
    </row>
    <row r="620" spans="1:19">
      <c r="A620" s="144"/>
      <c r="B620" s="43"/>
      <c r="C620" s="43"/>
      <c r="D620" s="43"/>
      <c r="E620" s="147"/>
      <c r="F620" s="43"/>
      <c r="G620" s="43"/>
      <c r="H620" s="144"/>
      <c r="I620" s="43"/>
      <c r="J620" s="43"/>
      <c r="K620" s="43"/>
      <c r="L620" s="43"/>
      <c r="M620" s="43"/>
      <c r="N620" s="43"/>
      <c r="O620" s="43"/>
      <c r="P620" s="43"/>
      <c r="Q620" s="43"/>
      <c r="R620" s="144"/>
      <c r="S620" s="147"/>
    </row>
    <row r="621" spans="1:19">
      <c r="A621" s="144"/>
      <c r="B621" s="43"/>
      <c r="C621" s="43"/>
      <c r="D621" s="43"/>
      <c r="E621" s="147"/>
      <c r="F621" s="43"/>
      <c r="G621" s="43"/>
      <c r="H621" s="144"/>
      <c r="I621" s="43"/>
      <c r="J621" s="43"/>
      <c r="K621" s="43"/>
      <c r="L621" s="43"/>
      <c r="M621" s="43"/>
      <c r="N621" s="43"/>
      <c r="O621" s="43"/>
      <c r="P621" s="43"/>
      <c r="Q621" s="43"/>
      <c r="R621" s="144"/>
      <c r="S621" s="147"/>
    </row>
    <row r="622" spans="1:19">
      <c r="A622" s="144"/>
      <c r="B622" s="43"/>
      <c r="C622" s="43"/>
      <c r="D622" s="43"/>
      <c r="E622" s="147"/>
      <c r="F622" s="43"/>
      <c r="G622" s="43"/>
      <c r="H622" s="144"/>
      <c r="I622" s="43"/>
      <c r="J622" s="43"/>
      <c r="K622" s="43"/>
      <c r="L622" s="43"/>
      <c r="M622" s="43"/>
      <c r="N622" s="43"/>
      <c r="O622" s="43"/>
      <c r="P622" s="43"/>
      <c r="Q622" s="43"/>
      <c r="R622" s="144"/>
      <c r="S622" s="147"/>
    </row>
    <row r="623" spans="1:19">
      <c r="A623" s="144"/>
      <c r="B623" s="43"/>
      <c r="C623" s="43"/>
      <c r="D623" s="43"/>
      <c r="E623" s="147"/>
      <c r="F623" s="43"/>
      <c r="G623" s="43"/>
      <c r="H623" s="144"/>
      <c r="I623" s="43"/>
      <c r="J623" s="43"/>
      <c r="K623" s="43"/>
      <c r="L623" s="43"/>
      <c r="M623" s="43"/>
      <c r="N623" s="43"/>
      <c r="O623" s="43"/>
      <c r="P623" s="43"/>
      <c r="Q623" s="43"/>
      <c r="R623" s="144"/>
      <c r="S623" s="147"/>
    </row>
    <row r="624" spans="1:19">
      <c r="A624" s="144"/>
      <c r="B624" s="43"/>
      <c r="C624" s="43"/>
      <c r="D624" s="43"/>
      <c r="E624" s="147"/>
      <c r="F624" s="43"/>
      <c r="G624" s="43"/>
      <c r="H624" s="144"/>
      <c r="I624" s="43"/>
      <c r="J624" s="43"/>
      <c r="K624" s="43"/>
      <c r="L624" s="43"/>
      <c r="M624" s="43"/>
      <c r="N624" s="43"/>
      <c r="O624" s="43"/>
      <c r="P624" s="43"/>
      <c r="Q624" s="43"/>
      <c r="R624" s="144"/>
      <c r="S624" s="147"/>
    </row>
    <row r="625" spans="1:19">
      <c r="A625" s="144"/>
      <c r="B625" s="43"/>
      <c r="C625" s="43"/>
      <c r="D625" s="43"/>
      <c r="E625" s="147"/>
      <c r="F625" s="43"/>
      <c r="G625" s="43"/>
      <c r="H625" s="144"/>
      <c r="I625" s="43"/>
      <c r="J625" s="43"/>
      <c r="K625" s="43"/>
      <c r="L625" s="43"/>
      <c r="M625" s="43"/>
      <c r="N625" s="43"/>
      <c r="O625" s="43"/>
      <c r="P625" s="43"/>
      <c r="Q625" s="43"/>
      <c r="R625" s="144"/>
      <c r="S625" s="147"/>
    </row>
    <row r="626" spans="1:19">
      <c r="A626" s="144"/>
      <c r="B626" s="43"/>
      <c r="C626" s="43"/>
      <c r="D626" s="43"/>
      <c r="E626" s="147"/>
      <c r="F626" s="43"/>
      <c r="G626" s="43"/>
      <c r="H626" s="144"/>
      <c r="I626" s="43"/>
      <c r="J626" s="43"/>
      <c r="K626" s="43"/>
      <c r="L626" s="43"/>
      <c r="M626" s="43"/>
      <c r="N626" s="43"/>
      <c r="O626" s="43"/>
      <c r="P626" s="43"/>
      <c r="Q626" s="43"/>
      <c r="R626" s="144"/>
      <c r="S626" s="147"/>
    </row>
    <row r="627" spans="1:19">
      <c r="A627" s="144"/>
      <c r="B627" s="43"/>
      <c r="C627" s="43"/>
      <c r="D627" s="43"/>
      <c r="E627" s="147"/>
      <c r="F627" s="43"/>
      <c r="G627" s="43"/>
      <c r="H627" s="144"/>
      <c r="I627" s="43"/>
      <c r="J627" s="43"/>
      <c r="K627" s="43"/>
      <c r="L627" s="43"/>
      <c r="M627" s="43"/>
      <c r="N627" s="43"/>
      <c r="O627" s="43"/>
      <c r="P627" s="43"/>
      <c r="Q627" s="43"/>
      <c r="R627" s="144"/>
      <c r="S627" s="147"/>
    </row>
    <row r="628" spans="1:19">
      <c r="A628" s="144"/>
      <c r="B628" s="43"/>
      <c r="C628" s="43"/>
      <c r="D628" s="43"/>
      <c r="E628" s="147"/>
      <c r="F628" s="43"/>
      <c r="G628" s="43"/>
      <c r="H628" s="144"/>
      <c r="I628" s="43"/>
      <c r="J628" s="43"/>
      <c r="K628" s="43"/>
      <c r="L628" s="43"/>
      <c r="M628" s="43"/>
      <c r="N628" s="43"/>
      <c r="O628" s="43"/>
      <c r="P628" s="43"/>
      <c r="Q628" s="43"/>
      <c r="R628" s="144"/>
      <c r="S628" s="147"/>
    </row>
    <row r="629" spans="1:19" ht="13.8" thickBot="1">
      <c r="A629" s="144"/>
      <c r="B629" s="43"/>
      <c r="C629" s="43"/>
      <c r="D629" s="43"/>
      <c r="E629" s="147"/>
      <c r="F629" s="43"/>
      <c r="G629" s="43"/>
      <c r="H629" s="149"/>
      <c r="I629" s="145"/>
      <c r="J629" s="43"/>
      <c r="K629" s="145"/>
      <c r="L629" s="145"/>
      <c r="M629" s="145"/>
      <c r="N629" s="145"/>
      <c r="O629" s="145"/>
      <c r="P629" s="145"/>
      <c r="Q629" s="145"/>
      <c r="R629" s="144"/>
      <c r="S629" s="147"/>
    </row>
    <row r="630" spans="1:19">
      <c r="A630" s="144"/>
      <c r="B630" s="43"/>
      <c r="C630" s="43"/>
      <c r="D630" s="43"/>
      <c r="E630" s="147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144"/>
      <c r="S630" s="147"/>
    </row>
    <row r="631" spans="1:19">
      <c r="A631" s="144"/>
      <c r="B631" s="43"/>
      <c r="C631" s="43"/>
      <c r="D631" s="43"/>
      <c r="E631" s="147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144"/>
      <c r="S631" s="147"/>
    </row>
    <row r="632" spans="1:19">
      <c r="A632" s="144"/>
      <c r="B632" s="43"/>
      <c r="C632" s="43"/>
      <c r="D632" s="43"/>
      <c r="E632" s="147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144"/>
      <c r="S632" s="147"/>
    </row>
    <row r="633" spans="1:19">
      <c r="A633" s="144"/>
      <c r="B633" s="43"/>
      <c r="C633" s="43"/>
      <c r="D633" s="43"/>
      <c r="E633" s="147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144"/>
      <c r="S633" s="147"/>
    </row>
    <row r="634" spans="1:19">
      <c r="A634" s="144"/>
      <c r="B634" s="43"/>
      <c r="C634" s="43"/>
      <c r="D634" s="43"/>
      <c r="E634" s="147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144"/>
      <c r="S634" s="147"/>
    </row>
    <row r="635" spans="1:19">
      <c r="A635" s="144"/>
      <c r="B635" s="43"/>
      <c r="C635" s="43"/>
      <c r="D635" s="43"/>
      <c r="E635" s="147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144"/>
      <c r="S635" s="147"/>
    </row>
    <row r="636" spans="1:19">
      <c r="A636" s="144"/>
      <c r="B636" s="43"/>
      <c r="C636" s="43"/>
      <c r="D636" s="43"/>
      <c r="E636" s="147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144"/>
      <c r="S636" s="147"/>
    </row>
    <row r="637" spans="1:19">
      <c r="A637" s="144"/>
      <c r="B637" s="43"/>
      <c r="C637" s="43"/>
      <c r="D637" s="43"/>
      <c r="E637" s="147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144"/>
      <c r="S637" s="147"/>
    </row>
    <row r="638" spans="1:19">
      <c r="A638" s="144"/>
      <c r="B638" s="43"/>
      <c r="C638" s="43"/>
      <c r="D638" s="43"/>
      <c r="E638" s="147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144"/>
      <c r="S638" s="147"/>
    </row>
    <row r="639" spans="1:19">
      <c r="A639" s="144"/>
      <c r="B639" s="43"/>
      <c r="C639" s="43"/>
      <c r="D639" s="43"/>
      <c r="E639" s="147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144"/>
      <c r="S639" s="147"/>
    </row>
    <row r="640" spans="1:19">
      <c r="A640" s="144"/>
      <c r="B640" s="43"/>
      <c r="C640" s="43"/>
      <c r="D640" s="43"/>
      <c r="E640" s="147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144"/>
      <c r="S640" s="147"/>
    </row>
    <row r="641" spans="1:19">
      <c r="A641" s="144"/>
      <c r="B641" s="43"/>
      <c r="C641" s="43"/>
      <c r="D641" s="43"/>
      <c r="E641" s="147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144"/>
      <c r="S641" s="147"/>
    </row>
    <row r="642" spans="1:19">
      <c r="A642" s="144"/>
      <c r="B642" s="43"/>
      <c r="C642" s="43"/>
      <c r="D642" s="43"/>
      <c r="E642" s="147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144"/>
      <c r="S642" s="147"/>
    </row>
    <row r="643" spans="1:19">
      <c r="A643" s="144"/>
      <c r="B643" s="43"/>
      <c r="C643" s="43"/>
      <c r="D643" s="43"/>
      <c r="E643" s="147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144"/>
      <c r="S643" s="147"/>
    </row>
    <row r="644" spans="1:19">
      <c r="A644" s="144"/>
      <c r="B644" s="43"/>
      <c r="C644" s="43"/>
      <c r="D644" s="43"/>
      <c r="E644" s="147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144"/>
      <c r="S644" s="147"/>
    </row>
    <row r="645" spans="1:19">
      <c r="A645" s="144"/>
      <c r="B645" s="43"/>
      <c r="C645" s="43"/>
      <c r="D645" s="43"/>
      <c r="E645" s="147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144"/>
      <c r="S645" s="147"/>
    </row>
    <row r="646" spans="1:19">
      <c r="A646" s="144"/>
      <c r="B646" s="43"/>
      <c r="C646" s="43"/>
      <c r="D646" s="43"/>
      <c r="E646" s="147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144"/>
      <c r="S646" s="147"/>
    </row>
    <row r="647" spans="1:19">
      <c r="A647" s="144"/>
      <c r="B647" s="43"/>
      <c r="C647" s="43"/>
      <c r="D647" s="43"/>
      <c r="E647" s="147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144"/>
      <c r="S647" s="147"/>
    </row>
    <row r="648" spans="1:19">
      <c r="A648" s="144"/>
      <c r="B648" s="43"/>
      <c r="C648" s="43"/>
      <c r="D648" s="43"/>
      <c r="E648" s="147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144"/>
      <c r="S648" s="147"/>
    </row>
    <row r="649" spans="1:19">
      <c r="A649" s="144"/>
      <c r="B649" s="43"/>
      <c r="C649" s="43"/>
      <c r="D649" s="43"/>
      <c r="E649" s="147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144"/>
      <c r="S649" s="147"/>
    </row>
    <row r="650" spans="1:19">
      <c r="A650" s="144"/>
      <c r="B650" s="43"/>
      <c r="C650" s="43"/>
      <c r="D650" s="43"/>
      <c r="E650" s="147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144"/>
      <c r="S650" s="147"/>
    </row>
    <row r="651" spans="1:19">
      <c r="A651" s="144"/>
      <c r="B651" s="43"/>
      <c r="C651" s="43"/>
      <c r="D651" s="43"/>
      <c r="E651" s="147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144"/>
      <c r="S651" s="147"/>
    </row>
    <row r="652" spans="1:19">
      <c r="A652" s="144"/>
      <c r="B652" s="43"/>
      <c r="C652" s="43"/>
      <c r="D652" s="43"/>
      <c r="E652" s="147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144"/>
      <c r="S652" s="147"/>
    </row>
    <row r="653" spans="1:19">
      <c r="A653" s="144"/>
      <c r="B653" s="43"/>
      <c r="C653" s="43"/>
      <c r="D653" s="43"/>
      <c r="E653" s="147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144"/>
      <c r="S653" s="147"/>
    </row>
    <row r="654" spans="1:19">
      <c r="A654" s="144"/>
      <c r="B654" s="43"/>
      <c r="C654" s="43"/>
      <c r="D654" s="43"/>
      <c r="E654" s="147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144"/>
      <c r="S654" s="147"/>
    </row>
    <row r="655" spans="1:19">
      <c r="A655" s="144"/>
      <c r="B655" s="43"/>
      <c r="C655" s="43"/>
      <c r="D655" s="43"/>
      <c r="E655" s="147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144"/>
      <c r="S655" s="147"/>
    </row>
    <row r="656" spans="1:19" ht="13.8" thickBot="1">
      <c r="A656" s="144"/>
      <c r="B656" s="43"/>
      <c r="C656" s="43"/>
      <c r="D656" s="43"/>
      <c r="E656" s="147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149"/>
      <c r="S656" s="148"/>
    </row>
    <row r="657" spans="1:19">
      <c r="A657" s="144"/>
      <c r="B657" s="43"/>
      <c r="C657" s="43"/>
      <c r="D657" s="43"/>
      <c r="E657" s="147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</row>
    <row r="658" spans="1:19">
      <c r="A658" s="144"/>
      <c r="B658" s="43"/>
      <c r="C658" s="43"/>
      <c r="D658" s="43"/>
      <c r="E658" s="147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</row>
    <row r="659" spans="1:19">
      <c r="A659" s="144"/>
      <c r="B659" s="43"/>
      <c r="C659" s="43"/>
      <c r="D659" s="43"/>
      <c r="E659" s="147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</row>
    <row r="660" spans="1:19">
      <c r="A660" s="144"/>
      <c r="B660" s="43"/>
      <c r="C660" s="43"/>
      <c r="D660" s="43"/>
      <c r="E660" s="147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</row>
    <row r="661" spans="1:19">
      <c r="A661" s="144"/>
      <c r="B661" s="43"/>
      <c r="C661" s="43"/>
      <c r="D661" s="43"/>
      <c r="E661" s="147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</row>
    <row r="662" spans="1:19">
      <c r="A662" s="144"/>
      <c r="B662" s="43"/>
      <c r="C662" s="43"/>
      <c r="D662" s="43"/>
      <c r="E662" s="147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</row>
    <row r="663" spans="1:19">
      <c r="A663" s="144"/>
      <c r="B663" s="43"/>
      <c r="C663" s="43"/>
      <c r="D663" s="43"/>
      <c r="E663" s="147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</row>
    <row r="664" spans="1:19">
      <c r="A664" s="144"/>
      <c r="B664" s="43"/>
      <c r="C664" s="43"/>
      <c r="D664" s="43"/>
      <c r="E664" s="147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</row>
    <row r="665" spans="1:19">
      <c r="A665" s="144"/>
      <c r="B665" s="43"/>
      <c r="C665" s="43"/>
      <c r="D665" s="43"/>
      <c r="E665" s="147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</row>
    <row r="666" spans="1:19">
      <c r="A666" s="144"/>
      <c r="B666" s="43"/>
      <c r="C666" s="43"/>
      <c r="D666" s="43"/>
      <c r="E666" s="147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</row>
    <row r="667" spans="1:19">
      <c r="A667" s="144"/>
      <c r="B667" s="43"/>
      <c r="C667" s="43"/>
      <c r="D667" s="43"/>
      <c r="E667" s="147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</row>
    <row r="668" spans="1:19">
      <c r="A668" s="144"/>
      <c r="B668" s="43"/>
      <c r="C668" s="43"/>
      <c r="D668" s="43"/>
      <c r="E668" s="147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</row>
    <row r="669" spans="1:19">
      <c r="A669" s="144"/>
      <c r="B669" s="43"/>
      <c r="C669" s="43"/>
      <c r="D669" s="43"/>
      <c r="E669" s="147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</row>
    <row r="670" spans="1:19">
      <c r="A670" s="144"/>
      <c r="B670" s="43"/>
      <c r="C670" s="43"/>
      <c r="D670" s="43"/>
      <c r="E670" s="147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</row>
    <row r="671" spans="1:19">
      <c r="A671" s="144"/>
      <c r="B671" s="43"/>
      <c r="C671" s="43"/>
      <c r="D671" s="43"/>
      <c r="E671" s="147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</row>
    <row r="672" spans="1:19">
      <c r="A672" s="144"/>
      <c r="B672" s="43"/>
      <c r="C672" s="43"/>
      <c r="D672" s="43"/>
      <c r="E672" s="147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</row>
    <row r="673" spans="1:19">
      <c r="A673" s="144"/>
      <c r="B673" s="43"/>
      <c r="C673" s="43"/>
      <c r="D673" s="43"/>
      <c r="E673" s="147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</row>
    <row r="674" spans="1:19">
      <c r="A674" s="144"/>
      <c r="B674" s="43"/>
      <c r="C674" s="43"/>
      <c r="D674" s="43"/>
      <c r="E674" s="147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</row>
    <row r="675" spans="1:19">
      <c r="A675" s="144"/>
      <c r="B675" s="43"/>
      <c r="C675" s="43"/>
      <c r="D675" s="43"/>
      <c r="E675" s="147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</row>
    <row r="676" spans="1:19">
      <c r="A676" s="144"/>
      <c r="B676" s="43"/>
      <c r="C676" s="43"/>
      <c r="D676" s="43"/>
      <c r="E676" s="147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</row>
    <row r="677" spans="1:19">
      <c r="A677" s="144"/>
      <c r="B677" s="43"/>
      <c r="C677" s="43"/>
      <c r="D677" s="43"/>
      <c r="E677" s="147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</row>
    <row r="678" spans="1:19">
      <c r="A678" s="144"/>
      <c r="B678" s="43"/>
      <c r="C678" s="43"/>
      <c r="D678" s="43"/>
      <c r="E678" s="147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</row>
    <row r="679" spans="1:19">
      <c r="A679" s="144"/>
      <c r="B679" s="43"/>
      <c r="C679" s="43"/>
      <c r="D679" s="43"/>
      <c r="E679" s="147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</row>
    <row r="680" spans="1:19">
      <c r="A680" s="144"/>
      <c r="B680" s="43"/>
      <c r="C680" s="43"/>
      <c r="D680" s="43"/>
      <c r="E680" s="147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</row>
    <row r="681" spans="1:19">
      <c r="A681" s="144"/>
      <c r="B681" s="43"/>
      <c r="C681" s="43"/>
      <c r="D681" s="43"/>
      <c r="E681" s="147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</row>
    <row r="682" spans="1:19">
      <c r="A682" s="144"/>
      <c r="B682" s="43"/>
      <c r="C682" s="43"/>
      <c r="D682" s="43"/>
      <c r="E682" s="147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</row>
    <row r="683" spans="1:19">
      <c r="A683" s="144"/>
      <c r="B683" s="43"/>
      <c r="C683" s="43"/>
      <c r="D683" s="43"/>
      <c r="E683" s="147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</row>
    <row r="684" spans="1:19">
      <c r="A684" s="144"/>
      <c r="B684" s="43"/>
      <c r="C684" s="43"/>
      <c r="D684" s="43"/>
      <c r="E684" s="147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</row>
    <row r="685" spans="1:19">
      <c r="A685" s="144"/>
      <c r="B685" s="43"/>
      <c r="C685" s="43"/>
      <c r="D685" s="43"/>
      <c r="E685" s="147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</row>
    <row r="686" spans="1:19">
      <c r="A686" s="144"/>
      <c r="B686" s="43"/>
      <c r="C686" s="43"/>
      <c r="D686" s="43"/>
      <c r="E686" s="147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</row>
    <row r="687" spans="1:19">
      <c r="A687" s="144"/>
      <c r="B687" s="43"/>
      <c r="C687" s="43"/>
      <c r="D687" s="43"/>
      <c r="E687" s="147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</row>
    <row r="688" spans="1:19">
      <c r="A688" s="144"/>
      <c r="B688" s="43"/>
      <c r="C688" s="43"/>
      <c r="D688" s="43"/>
      <c r="E688" s="147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</row>
    <row r="689" spans="1:19">
      <c r="A689" s="144"/>
      <c r="B689" s="43"/>
      <c r="C689" s="43"/>
      <c r="D689" s="43"/>
      <c r="E689" s="147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</row>
    <row r="690" spans="1:19">
      <c r="A690" s="144"/>
      <c r="B690" s="43"/>
      <c r="C690" s="43"/>
      <c r="D690" s="43"/>
      <c r="E690" s="147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</row>
    <row r="691" spans="1:19">
      <c r="A691" s="144"/>
      <c r="B691" s="43"/>
      <c r="C691" s="43"/>
      <c r="D691" s="43"/>
      <c r="E691" s="147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</row>
    <row r="692" spans="1:19">
      <c r="A692" s="144"/>
      <c r="B692" s="43"/>
      <c r="C692" s="43"/>
      <c r="D692" s="43"/>
      <c r="E692" s="147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</row>
    <row r="693" spans="1:19">
      <c r="A693" s="144"/>
      <c r="B693" s="43"/>
      <c r="C693" s="43"/>
      <c r="D693" s="43"/>
      <c r="E693" s="147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</row>
    <row r="694" spans="1:19">
      <c r="A694" s="144"/>
      <c r="B694" s="43"/>
      <c r="C694" s="43"/>
      <c r="D694" s="43"/>
      <c r="E694" s="147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</row>
    <row r="695" spans="1:19">
      <c r="A695" s="144"/>
      <c r="B695" s="43"/>
      <c r="C695" s="43"/>
      <c r="D695" s="43"/>
      <c r="E695" s="147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</row>
    <row r="696" spans="1:19">
      <c r="A696" s="144"/>
      <c r="B696" s="43"/>
      <c r="C696" s="43"/>
      <c r="D696" s="43"/>
      <c r="E696" s="147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</row>
    <row r="697" spans="1:19">
      <c r="A697" s="144"/>
      <c r="B697" s="43"/>
      <c r="C697" s="43"/>
      <c r="D697" s="43"/>
      <c r="E697" s="147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</row>
    <row r="698" spans="1:19">
      <c r="A698" s="144"/>
      <c r="B698" s="43"/>
      <c r="C698" s="43"/>
      <c r="D698" s="43"/>
      <c r="E698" s="147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</row>
    <row r="699" spans="1:19">
      <c r="A699" s="144"/>
      <c r="B699" s="43"/>
      <c r="C699" s="43"/>
      <c r="D699" s="43"/>
      <c r="E699" s="147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</row>
    <row r="700" spans="1:19">
      <c r="A700" s="144"/>
      <c r="B700" s="43"/>
      <c r="C700" s="43"/>
      <c r="D700" s="43"/>
      <c r="E700" s="147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</row>
    <row r="701" spans="1:19">
      <c r="A701" s="144"/>
      <c r="B701" s="43"/>
      <c r="C701" s="43"/>
      <c r="D701" s="43"/>
      <c r="E701" s="147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</row>
    <row r="702" spans="1:19">
      <c r="A702" s="144"/>
      <c r="B702" s="43"/>
      <c r="C702" s="43"/>
      <c r="D702" s="43"/>
      <c r="E702" s="147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</row>
    <row r="703" spans="1:19">
      <c r="A703" s="144"/>
      <c r="B703" s="43"/>
      <c r="C703" s="43"/>
      <c r="D703" s="43"/>
      <c r="E703" s="147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</row>
    <row r="704" spans="1:19">
      <c r="A704" s="144"/>
      <c r="B704" s="43"/>
      <c r="C704" s="43"/>
      <c r="D704" s="43"/>
      <c r="E704" s="147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</row>
    <row r="705" spans="1:19">
      <c r="A705" s="144"/>
      <c r="B705" s="43"/>
      <c r="C705" s="43"/>
      <c r="D705" s="43"/>
      <c r="E705" s="147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</row>
    <row r="706" spans="1:19">
      <c r="A706" s="144"/>
      <c r="B706" s="43"/>
      <c r="C706" s="43"/>
      <c r="D706" s="43"/>
      <c r="E706" s="147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</row>
    <row r="707" spans="1:19">
      <c r="A707" s="144"/>
      <c r="B707" s="43"/>
      <c r="C707" s="43"/>
      <c r="D707" s="43"/>
      <c r="E707" s="147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</row>
    <row r="708" spans="1:19">
      <c r="A708" s="144"/>
      <c r="B708" s="43"/>
      <c r="C708" s="43"/>
      <c r="D708" s="43"/>
      <c r="E708" s="147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</row>
    <row r="709" spans="1:19">
      <c r="A709" s="144"/>
      <c r="B709" s="43"/>
      <c r="C709" s="43"/>
      <c r="D709" s="43"/>
      <c r="E709" s="147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</row>
    <row r="710" spans="1:19">
      <c r="A710" s="144"/>
      <c r="B710" s="43"/>
      <c r="C710" s="43"/>
      <c r="D710" s="43"/>
      <c r="E710" s="147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</row>
    <row r="711" spans="1:19">
      <c r="A711" s="144"/>
      <c r="B711" s="43"/>
      <c r="C711" s="43"/>
      <c r="D711" s="43"/>
      <c r="E711" s="147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</row>
    <row r="712" spans="1:19">
      <c r="A712" s="144"/>
      <c r="B712" s="43"/>
      <c r="C712" s="43"/>
      <c r="D712" s="43"/>
      <c r="E712" s="147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</row>
    <row r="713" spans="1:19">
      <c r="A713" s="144"/>
      <c r="B713" s="43"/>
      <c r="C713" s="43"/>
      <c r="D713" s="43"/>
      <c r="E713" s="147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</row>
    <row r="714" spans="1:19">
      <c r="A714" s="144"/>
      <c r="B714" s="43"/>
      <c r="C714" s="43"/>
      <c r="D714" s="43"/>
      <c r="E714" s="147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</row>
    <row r="715" spans="1:19">
      <c r="A715" s="144"/>
      <c r="B715" s="43"/>
      <c r="C715" s="43"/>
      <c r="D715" s="43"/>
      <c r="E715" s="147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</row>
    <row r="716" spans="1:19">
      <c r="A716" s="144"/>
      <c r="B716" s="43"/>
      <c r="C716" s="43"/>
      <c r="D716" s="43"/>
      <c r="E716" s="147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</row>
    <row r="717" spans="1:19">
      <c r="A717" s="144"/>
      <c r="B717" s="43"/>
      <c r="C717" s="43"/>
      <c r="D717" s="43"/>
      <c r="E717" s="147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</row>
    <row r="718" spans="1:19">
      <c r="A718" s="144"/>
      <c r="B718" s="43"/>
      <c r="C718" s="43"/>
      <c r="D718" s="43"/>
      <c r="E718" s="147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</row>
    <row r="719" spans="1:19">
      <c r="A719" s="144"/>
      <c r="B719" s="43"/>
      <c r="C719" s="43"/>
      <c r="D719" s="43"/>
      <c r="E719" s="147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</row>
    <row r="720" spans="1:19">
      <c r="A720" s="144"/>
      <c r="B720" s="43"/>
      <c r="C720" s="43"/>
      <c r="D720" s="43"/>
      <c r="E720" s="147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</row>
    <row r="721" spans="1:19">
      <c r="A721" s="144"/>
      <c r="B721" s="43"/>
      <c r="C721" s="43"/>
      <c r="D721" s="43"/>
      <c r="E721" s="147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</row>
    <row r="722" spans="1:19">
      <c r="A722" s="144"/>
      <c r="B722" s="43"/>
      <c r="C722" s="43"/>
      <c r="D722" s="43"/>
      <c r="E722" s="147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</row>
    <row r="723" spans="1:19">
      <c r="A723" s="144"/>
      <c r="B723" s="43"/>
      <c r="C723" s="43"/>
      <c r="D723" s="43"/>
      <c r="E723" s="147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</row>
    <row r="724" spans="1:19">
      <c r="A724" s="144"/>
      <c r="B724" s="43"/>
      <c r="C724" s="43"/>
      <c r="D724" s="43"/>
      <c r="E724" s="147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</row>
    <row r="725" spans="1:19">
      <c r="A725" s="144"/>
      <c r="B725" s="43"/>
      <c r="C725" s="43"/>
      <c r="D725" s="43"/>
      <c r="E725" s="147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</row>
    <row r="726" spans="1:19">
      <c r="A726" s="144"/>
      <c r="B726" s="43"/>
      <c r="C726" s="43"/>
      <c r="D726" s="43"/>
      <c r="E726" s="147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</row>
    <row r="727" spans="1:19">
      <c r="A727" s="144"/>
      <c r="B727" s="43"/>
      <c r="C727" s="43"/>
      <c r="D727" s="43"/>
      <c r="E727" s="147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</row>
    <row r="728" spans="1:19">
      <c r="A728" s="144"/>
      <c r="B728" s="43"/>
      <c r="C728" s="43"/>
      <c r="D728" s="43"/>
      <c r="E728" s="147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</row>
    <row r="729" spans="1:19">
      <c r="A729" s="144"/>
      <c r="B729" s="43"/>
      <c r="C729" s="43"/>
      <c r="D729" s="43"/>
      <c r="E729" s="147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</row>
    <row r="730" spans="1:19">
      <c r="A730" s="144"/>
      <c r="B730" s="43"/>
      <c r="C730" s="43"/>
      <c r="D730" s="43"/>
      <c r="E730" s="147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</row>
    <row r="731" spans="1:19">
      <c r="A731" s="144"/>
      <c r="B731" s="43"/>
      <c r="C731" s="43"/>
      <c r="D731" s="43"/>
      <c r="E731" s="147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</row>
    <row r="732" spans="1:19">
      <c r="A732" s="144"/>
      <c r="B732" s="43"/>
      <c r="C732" s="43"/>
      <c r="D732" s="43"/>
      <c r="E732" s="147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</row>
    <row r="733" spans="1:19">
      <c r="A733" s="144"/>
      <c r="B733" s="43"/>
      <c r="C733" s="43"/>
      <c r="D733" s="43"/>
      <c r="E733" s="147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</row>
    <row r="734" spans="1:19">
      <c r="A734" s="144"/>
      <c r="B734" s="43"/>
      <c r="C734" s="43"/>
      <c r="D734" s="43"/>
      <c r="E734" s="147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</row>
    <row r="735" spans="1:19">
      <c r="A735" s="144"/>
      <c r="B735" s="43"/>
      <c r="C735" s="43"/>
      <c r="D735" s="43"/>
      <c r="E735" s="147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</row>
    <row r="736" spans="1:19">
      <c r="A736" s="144"/>
      <c r="B736" s="43"/>
      <c r="C736" s="43"/>
      <c r="D736" s="43"/>
      <c r="E736" s="147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</row>
    <row r="737" spans="1:19">
      <c r="A737" s="144"/>
      <c r="B737" s="43"/>
      <c r="C737" s="43"/>
      <c r="D737" s="43"/>
      <c r="E737" s="147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</row>
    <row r="738" spans="1:19">
      <c r="A738" s="144"/>
      <c r="B738" s="43"/>
      <c r="C738" s="43"/>
      <c r="D738" s="43"/>
      <c r="E738" s="147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</row>
    <row r="739" spans="1:19">
      <c r="A739" s="144"/>
      <c r="B739" s="43"/>
      <c r="C739" s="43"/>
      <c r="D739" s="43"/>
      <c r="E739" s="147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</row>
    <row r="740" spans="1:19">
      <c r="A740" s="144"/>
      <c r="B740" s="43"/>
      <c r="C740" s="43"/>
      <c r="D740" s="43"/>
      <c r="E740" s="147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</row>
    <row r="741" spans="1:19">
      <c r="A741" s="144"/>
      <c r="B741" s="43"/>
      <c r="C741" s="43"/>
      <c r="D741" s="43"/>
      <c r="E741" s="147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</row>
    <row r="742" spans="1:19">
      <c r="A742" s="144"/>
      <c r="B742" s="43"/>
      <c r="C742" s="43"/>
      <c r="D742" s="43"/>
      <c r="E742" s="147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</row>
    <row r="743" spans="1:19">
      <c r="A743" s="144"/>
      <c r="B743" s="43"/>
      <c r="C743" s="43"/>
      <c r="D743" s="43"/>
      <c r="E743" s="147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</row>
    <row r="744" spans="1:19"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</row>
    <row r="745" spans="1:19"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</row>
    <row r="746" spans="1:19"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</row>
    <row r="747" spans="1:19"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</row>
    <row r="748" spans="1:19"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</row>
    <row r="749" spans="1:19"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</row>
    <row r="750" spans="1:19"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</row>
    <row r="751" spans="1:19"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</row>
    <row r="752" spans="1:19"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</row>
    <row r="753" spans="8:19"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</row>
    <row r="754" spans="8:19"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</row>
    <row r="755" spans="8:19"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</row>
    <row r="756" spans="8:19"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</row>
    <row r="757" spans="8:19"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</row>
    <row r="758" spans="8:19"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</row>
    <row r="759" spans="8:19"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</row>
    <row r="760" spans="8:19"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</row>
    <row r="761" spans="8:19"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</row>
    <row r="762" spans="8:19"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</row>
    <row r="763" spans="8:19"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</row>
    <row r="764" spans="8:19"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</row>
    <row r="765" spans="8:19"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</row>
    <row r="766" spans="8:19"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</row>
    <row r="767" spans="8:19"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</row>
    <row r="768" spans="8:19"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</row>
    <row r="769" spans="8:19"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</row>
    <row r="770" spans="8:19"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</row>
    <row r="771" spans="8:19"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</row>
    <row r="772" spans="8:19"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</row>
    <row r="773" spans="8:19"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</row>
    <row r="774" spans="8:19"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</row>
    <row r="775" spans="8:19"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</row>
    <row r="776" spans="8:19"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</row>
    <row r="777" spans="8:19"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</row>
    <row r="778" spans="8:19"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</row>
    <row r="779" spans="8:19"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</row>
    <row r="780" spans="8:19"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</row>
    <row r="781" spans="8:19"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</row>
    <row r="782" spans="8:19"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</row>
    <row r="783" spans="8:19"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</row>
    <row r="784" spans="8:19"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</row>
    <row r="785" spans="8:19"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</row>
    <row r="786" spans="8:19"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</row>
    <row r="787" spans="8:19"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</row>
    <row r="788" spans="8:19"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</row>
    <row r="789" spans="8:19"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</row>
    <row r="790" spans="8:19"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</row>
    <row r="791" spans="8:19"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</row>
    <row r="792" spans="8:19"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</row>
    <row r="793" spans="8:19"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</row>
    <row r="794" spans="8:19"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</row>
    <row r="795" spans="8:19"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</row>
    <row r="796" spans="8:19"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</row>
    <row r="797" spans="8:19"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</row>
    <row r="798" spans="8:19"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</row>
    <row r="799" spans="8:19"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</row>
    <row r="800" spans="8:19"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</row>
    <row r="801" spans="8:19"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</row>
    <row r="802" spans="8:19"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</row>
    <row r="803" spans="8:19"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</row>
    <row r="804" spans="8:19"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</row>
    <row r="805" spans="8:19"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</row>
    <row r="806" spans="8:19"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</row>
    <row r="807" spans="8:19"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</row>
    <row r="808" spans="8:19"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</row>
    <row r="809" spans="8:19"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</row>
    <row r="810" spans="8:19"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</row>
    <row r="811" spans="8:19"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</row>
    <row r="812" spans="8:19"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</row>
    <row r="813" spans="8:19"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</row>
    <row r="814" spans="8:19"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</row>
    <row r="815" spans="8:19"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</row>
    <row r="816" spans="8:19"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</row>
    <row r="817" spans="8:19"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</row>
    <row r="818" spans="8:19"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</row>
    <row r="819" spans="8:19"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</row>
    <row r="820" spans="8:19"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</row>
    <row r="821" spans="8:19"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</row>
    <row r="822" spans="8:19"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</row>
    <row r="823" spans="8:19"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</row>
    <row r="824" spans="8:19"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</row>
    <row r="825" spans="8:19"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</row>
    <row r="826" spans="8:19"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</row>
    <row r="827" spans="8:19"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</row>
    <row r="828" spans="8:19"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</row>
    <row r="829" spans="8:19"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</row>
    <row r="830" spans="8:19"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</row>
    <row r="831" spans="8:19"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</row>
    <row r="832" spans="8:19"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</row>
    <row r="833" spans="8:19"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</row>
    <row r="834" spans="8:19"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</row>
    <row r="835" spans="8:19"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</row>
    <row r="836" spans="8:19"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</row>
    <row r="837" spans="8:19"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</row>
    <row r="838" spans="8:19"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</row>
    <row r="839" spans="8:19"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</row>
    <row r="840" spans="8:19"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</row>
    <row r="841" spans="8:19"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</row>
    <row r="842" spans="8:19"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</row>
    <row r="843" spans="8:19"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</row>
    <row r="844" spans="8:19"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</row>
    <row r="845" spans="8:19"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</row>
    <row r="846" spans="8:19"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</row>
    <row r="847" spans="8:19"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</row>
    <row r="848" spans="8:19"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</row>
    <row r="849" spans="8:19"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</row>
    <row r="850" spans="8:19"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</row>
    <row r="851" spans="8:19"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</row>
    <row r="852" spans="8:19"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</row>
    <row r="853" spans="8:19"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</row>
    <row r="854" spans="8:19"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</row>
    <row r="855" spans="8:19"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</row>
    <row r="856" spans="8:19"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</row>
    <row r="857" spans="8:19"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</row>
    <row r="858" spans="8:19"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</row>
    <row r="859" spans="8:19"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</row>
    <row r="860" spans="8:19"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</row>
    <row r="861" spans="8:19"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</row>
    <row r="862" spans="8:19"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</row>
    <row r="863" spans="8:19"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</row>
    <row r="864" spans="8:19"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</row>
    <row r="865" spans="8:19"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</row>
    <row r="866" spans="8:19"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</row>
    <row r="867" spans="8:19"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</row>
    <row r="868" spans="8:19"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</row>
    <row r="869" spans="8:19"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</row>
    <row r="870" spans="8:19"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</row>
    <row r="871" spans="8:19"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</row>
    <row r="872" spans="8:19"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</row>
    <row r="873" spans="8:19"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</row>
    <row r="874" spans="8:19"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</row>
    <row r="875" spans="8:19"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</row>
    <row r="876" spans="8:19"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</row>
    <row r="877" spans="8:19"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</row>
    <row r="878" spans="8:19"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</row>
    <row r="879" spans="8:19"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</row>
    <row r="880" spans="8:19"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</row>
    <row r="881" spans="8:19"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</row>
    <row r="882" spans="8:19"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</row>
    <row r="883" spans="8:19"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</row>
    <row r="884" spans="8:19"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</row>
    <row r="885" spans="8:19"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</row>
    <row r="886" spans="8:19"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</row>
    <row r="887" spans="8:19"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</row>
    <row r="888" spans="8:19"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</row>
    <row r="889" spans="8:19"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</row>
    <row r="890" spans="8:19"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</row>
    <row r="891" spans="8:19"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</row>
    <row r="892" spans="8:19"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</row>
    <row r="893" spans="8:19"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</row>
    <row r="894" spans="8:19"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</row>
    <row r="895" spans="8:19"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</row>
    <row r="896" spans="8:19"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</row>
    <row r="897" spans="8:19"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</row>
    <row r="898" spans="8:19"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</row>
    <row r="899" spans="8:19"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</row>
    <row r="900" spans="8:19"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</row>
    <row r="901" spans="8:19"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</row>
    <row r="902" spans="8:19"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</row>
    <row r="903" spans="8:19"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</row>
    <row r="904" spans="8:19"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</row>
    <row r="905" spans="8:19"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</row>
    <row r="906" spans="8:19"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</row>
    <row r="907" spans="8:19"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</row>
    <row r="908" spans="8:19"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</row>
    <row r="909" spans="8:19"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</row>
    <row r="910" spans="8:19"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</row>
    <row r="911" spans="8:19"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</row>
    <row r="912" spans="8:19"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</row>
    <row r="913" spans="8:19"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</row>
    <row r="914" spans="8:19"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</row>
    <row r="915" spans="8:19"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</row>
    <row r="916" spans="8:19"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</row>
    <row r="917" spans="8:19"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</row>
    <row r="918" spans="8:19"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</row>
    <row r="919" spans="8:19"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</row>
    <row r="920" spans="8:19"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</row>
    <row r="921" spans="8:19"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</row>
    <row r="922" spans="8:19"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</row>
    <row r="923" spans="8:19"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</row>
    <row r="924" spans="8:19"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</row>
    <row r="925" spans="8:19"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</row>
    <row r="926" spans="8:19"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</row>
    <row r="927" spans="8:19"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</row>
    <row r="928" spans="8:19"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</row>
    <row r="929" spans="8:19"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</row>
    <row r="930" spans="8:19"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</row>
    <row r="931" spans="8:19"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</row>
    <row r="932" spans="8:19"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</row>
    <row r="933" spans="8:19"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</row>
    <row r="934" spans="8:19"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</row>
    <row r="935" spans="8:19"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</row>
    <row r="936" spans="8:19"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</row>
    <row r="937" spans="8:19"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</row>
    <row r="938" spans="8:19"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</row>
    <row r="939" spans="8:19"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</row>
    <row r="940" spans="8:19"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</row>
    <row r="941" spans="8:19"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</row>
    <row r="942" spans="8:19"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</row>
    <row r="943" spans="8:19"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</row>
    <row r="944" spans="8:19"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</row>
    <row r="945" spans="8:19"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</row>
    <row r="946" spans="8:19"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</row>
    <row r="947" spans="8:19"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</row>
    <row r="948" spans="8:19"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</row>
    <row r="949" spans="8:19"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</row>
    <row r="950" spans="8:19"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</row>
    <row r="951" spans="8:19"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</row>
    <row r="952" spans="8:19"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</row>
    <row r="953" spans="8:19"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</row>
    <row r="954" spans="8:19"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</row>
    <row r="955" spans="8:19"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</row>
    <row r="956" spans="8:19"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</row>
    <row r="957" spans="8:19"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</row>
    <row r="958" spans="8:19"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</row>
    <row r="959" spans="8:19"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</row>
    <row r="960" spans="8:19"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</row>
    <row r="961" spans="8:19"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</row>
    <row r="962" spans="8:19"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</row>
    <row r="963" spans="8:19"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</row>
    <row r="964" spans="8:19"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</row>
    <row r="965" spans="8:19"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</row>
    <row r="966" spans="8:19"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</row>
    <row r="967" spans="8:19"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</row>
    <row r="968" spans="8:19"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</row>
    <row r="969" spans="8:19"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</row>
    <row r="970" spans="8:19"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</row>
    <row r="971" spans="8:19"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</row>
    <row r="972" spans="8:19"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</row>
    <row r="973" spans="8:19"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</row>
    <row r="974" spans="8:19"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</row>
    <row r="975" spans="8:19"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</row>
    <row r="976" spans="8:19"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</row>
    <row r="977" spans="8:19"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</row>
    <row r="978" spans="8:19"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</row>
    <row r="979" spans="8:19"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</row>
    <row r="980" spans="8:19"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</row>
    <row r="981" spans="8:19"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</row>
    <row r="982" spans="8:19"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</row>
    <row r="983" spans="8:19"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</row>
    <row r="984" spans="8:19"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</row>
    <row r="985" spans="8:19"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</row>
    <row r="986" spans="8:19"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</row>
    <row r="987" spans="8:19"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</row>
    <row r="988" spans="8:19"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</row>
    <row r="989" spans="8:19"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</row>
    <row r="990" spans="8:19"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</row>
    <row r="991" spans="8:19"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</row>
    <row r="992" spans="8:19"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</row>
    <row r="993" spans="8:19"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</row>
    <row r="994" spans="8:19"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</row>
    <row r="995" spans="8:19"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</row>
    <row r="996" spans="8:19"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</row>
    <row r="997" spans="8:19"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</row>
    <row r="998" spans="8:19"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</row>
    <row r="999" spans="8:19"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</row>
    <row r="1000" spans="8:19"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</row>
    <row r="1001" spans="8:19"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</row>
    <row r="1002" spans="8:19"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</row>
    <row r="1003" spans="8:19"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</row>
    <row r="1004" spans="8:19"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</row>
    <row r="1005" spans="8:19"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</row>
    <row r="1006" spans="8:19"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</row>
    <row r="1007" spans="8:19"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</row>
    <row r="1008" spans="8:19"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</row>
    <row r="1009" spans="8:19"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</row>
    <row r="1010" spans="8:19"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</row>
    <row r="1011" spans="8:19"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</row>
    <row r="1012" spans="8:19"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</row>
    <row r="1013" spans="8:19"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</row>
    <row r="1014" spans="8:19"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</row>
    <row r="1015" spans="8:19"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</row>
    <row r="1016" spans="8:19"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</row>
    <row r="1017" spans="8:19"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</row>
    <row r="1018" spans="8:19"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</row>
    <row r="1019" spans="8:19"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</row>
    <row r="1020" spans="8:19"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</row>
    <row r="1021" spans="8:19"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</row>
    <row r="1022" spans="8:19"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</row>
    <row r="1023" spans="8:19"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</row>
    <row r="1024" spans="8:19"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</row>
    <row r="1025" spans="8:19"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</row>
    <row r="1026" spans="8:19"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</row>
    <row r="1027" spans="8:19"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</row>
    <row r="1028" spans="8:19"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</row>
    <row r="1029" spans="8:19"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</row>
    <row r="1030" spans="8:19"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</row>
    <row r="1031" spans="8:19"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</row>
    <row r="1032" spans="8:19"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</row>
    <row r="1033" spans="8:19"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</row>
    <row r="1034" spans="8:19"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</row>
    <row r="1035" spans="8:19"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</row>
    <row r="1036" spans="8:19"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</row>
    <row r="1037" spans="8:19"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</row>
    <row r="1038" spans="8:19"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</row>
    <row r="1039" spans="8:19"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</row>
    <row r="1040" spans="8:19"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</row>
    <row r="1041" spans="8:19"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</row>
    <row r="1042" spans="8:19"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</row>
    <row r="1043" spans="8:19"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</row>
    <row r="1044" spans="8:19"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</row>
    <row r="1045" spans="8:19"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</row>
    <row r="1046" spans="8:19"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</row>
    <row r="1047" spans="8:19"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</row>
    <row r="1048" spans="8:19"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</row>
    <row r="1049" spans="8:19"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</row>
    <row r="1050" spans="8:19"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</row>
    <row r="1051" spans="8:19"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</row>
    <row r="1052" spans="8:19"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</row>
    <row r="1053" spans="8:19"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</row>
    <row r="1054" spans="8:19"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</row>
    <row r="1055" spans="8:19"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</row>
    <row r="1056" spans="8:19"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</row>
    <row r="1057" spans="8:19"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</row>
    <row r="1058" spans="8:19"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</row>
    <row r="1059" spans="8:19"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</row>
    <row r="1060" spans="8:19"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</row>
    <row r="1061" spans="8:19"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</row>
    <row r="1062" spans="8:19"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</row>
    <row r="1063" spans="8:19"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</row>
    <row r="1064" spans="8:19"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</row>
    <row r="1065" spans="8:19"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</row>
    <row r="1066" spans="8:19"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</row>
    <row r="1067" spans="8:19"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</row>
    <row r="1068" spans="8:19"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</row>
    <row r="1069" spans="8:19"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</row>
    <row r="1070" spans="8:19"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</row>
    <row r="1071" spans="8:19"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</row>
    <row r="1072" spans="8:19"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</row>
    <row r="1073" spans="8:19"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</row>
    <row r="1074" spans="8:19"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</row>
    <row r="1075" spans="8:19"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</row>
    <row r="1076" spans="8:19"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</row>
    <row r="1077" spans="8:19"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</row>
    <row r="1078" spans="8:19"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</row>
    <row r="1079" spans="8:19"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</row>
    <row r="1080" spans="8:19"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</row>
    <row r="1081" spans="8:19"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</row>
    <row r="1082" spans="8:19"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</row>
    <row r="1083" spans="8:19"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</row>
    <row r="1084" spans="8:19"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</row>
    <row r="1085" spans="8:19"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</row>
    <row r="1086" spans="8:19"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</row>
    <row r="1087" spans="8:19"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</row>
    <row r="1088" spans="8:19"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</row>
    <row r="1089" spans="8:19"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</row>
    <row r="1090" spans="8:19"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</row>
    <row r="1091" spans="8:19"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</row>
    <row r="1092" spans="8:19"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</row>
    <row r="1093" spans="8:19"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</row>
    <row r="1094" spans="8:19"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</row>
    <row r="1095" spans="8:19"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</row>
    <row r="1096" spans="8:19"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</row>
    <row r="1097" spans="8:19"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</row>
    <row r="1098" spans="8:19"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</row>
    <row r="1099" spans="8:19"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</row>
    <row r="1100" spans="8:19"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</row>
    <row r="1101" spans="8:19"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</row>
    <row r="1102" spans="8:19"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</row>
    <row r="1103" spans="8:19"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</row>
    <row r="1104" spans="8:19"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</row>
    <row r="1105" spans="8:19"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</row>
    <row r="1106" spans="8:19"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</row>
    <row r="1107" spans="8:19"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</row>
    <row r="1108" spans="8:19"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</row>
    <row r="1109" spans="8:19"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</row>
    <row r="1110" spans="8:19"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</row>
    <row r="1111" spans="8:19"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</row>
    <row r="1112" spans="8:19"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</row>
    <row r="1113" spans="8:19"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</row>
    <row r="1114" spans="8:19"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</row>
    <row r="1115" spans="8:19"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</row>
    <row r="1116" spans="8:19"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</row>
    <row r="1117" spans="8:19"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</row>
    <row r="1118" spans="8:19"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</row>
    <row r="1119" spans="8:19"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</row>
    <row r="1120" spans="8:19"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</row>
    <row r="1121" spans="8:19"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</row>
    <row r="1122" spans="8:19"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</row>
    <row r="1123" spans="8:19"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</row>
    <row r="1124" spans="8:19"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</row>
    <row r="1125" spans="8:19"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</row>
    <row r="1126" spans="8:19"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</row>
    <row r="1127" spans="8:19"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</row>
    <row r="1128" spans="8:19"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</row>
    <row r="1129" spans="8:19"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</row>
    <row r="1130" spans="8:19"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</row>
    <row r="1131" spans="8:19"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</row>
    <row r="1132" spans="8:19"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</row>
    <row r="1133" spans="8:19"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</row>
    <row r="1134" spans="8:19"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</row>
    <row r="1135" spans="8:19"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</row>
    <row r="1136" spans="8:19"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</row>
    <row r="1137" spans="8:19"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</row>
    <row r="1138" spans="8:19"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</row>
    <row r="1139" spans="8:19"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</row>
    <row r="1140" spans="8:19"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</row>
    <row r="1141" spans="8:19"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</row>
    <row r="1142" spans="8:19"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</row>
    <row r="1143" spans="8:19"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</row>
    <row r="1144" spans="8:19"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</row>
    <row r="1145" spans="8:19"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</row>
    <row r="1146" spans="8:19"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</row>
    <row r="1147" spans="8:19"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</row>
    <row r="1148" spans="8:19"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</row>
    <row r="1149" spans="8:19"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</row>
    <row r="1150" spans="8:19"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</row>
    <row r="1151" spans="8:19"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</row>
    <row r="1152" spans="8:19"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</row>
    <row r="1153" spans="8:19"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</row>
    <row r="1154" spans="8:19"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</row>
    <row r="1155" spans="8:19"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</row>
    <row r="1156" spans="8:19"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</row>
    <row r="1157" spans="8:19"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</row>
    <row r="1158" spans="8:19"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</row>
    <row r="1159" spans="8:19"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</row>
    <row r="1160" spans="8:19"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</row>
    <row r="1161" spans="8:19"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</row>
    <row r="1162" spans="8:19"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</row>
    <row r="1163" spans="8:19"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</row>
    <row r="1164" spans="8:19"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</row>
    <row r="1165" spans="8:19"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</row>
    <row r="1166" spans="8:19"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</row>
    <row r="1167" spans="8:19"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</row>
    <row r="1168" spans="8:19"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</row>
    <row r="1169" spans="8:19"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</row>
    <row r="1170" spans="8:19"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</row>
    <row r="1171" spans="8:19"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</row>
    <row r="1172" spans="8:19"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</row>
    <row r="1173" spans="8:19"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</row>
    <row r="1174" spans="8:19"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</row>
    <row r="1175" spans="8:19"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</row>
    <row r="1176" spans="8:19"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</row>
    <row r="1177" spans="8:19"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</row>
    <row r="1178" spans="8:19"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</row>
    <row r="1179" spans="8:19"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</row>
    <row r="1180" spans="8:19"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</row>
    <row r="1181" spans="8:19"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</row>
    <row r="1182" spans="8:19"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</row>
    <row r="1183" spans="8:19"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</row>
    <row r="1184" spans="8:19"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</row>
    <row r="1185" spans="8:19"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</row>
    <row r="1186" spans="8:19"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</row>
    <row r="1187" spans="8:19"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</row>
    <row r="1188" spans="8:19"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</row>
    <row r="1189" spans="8:19"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</row>
    <row r="1190" spans="8:19"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</row>
    <row r="1191" spans="8:19"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</row>
    <row r="1192" spans="8:19"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</row>
    <row r="1193" spans="8:19"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</row>
    <row r="1194" spans="8:19"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</row>
    <row r="1195" spans="8:19"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</row>
    <row r="1196" spans="8:19"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</row>
    <row r="1197" spans="8:19"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</row>
    <row r="1198" spans="8:19"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</row>
    <row r="1199" spans="8:19"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</row>
    <row r="1200" spans="8:19"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</row>
    <row r="1201" spans="8:19"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</row>
    <row r="1202" spans="8:19"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</row>
    <row r="1203" spans="8:19"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</row>
    <row r="1204" spans="8:19"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</row>
    <row r="1205" spans="8:19"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</row>
    <row r="1206" spans="8:19"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</row>
    <row r="1207" spans="8:19"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</row>
    <row r="1208" spans="8:19"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</row>
    <row r="1209" spans="8:19"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</row>
    <row r="1210" spans="8:19"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</row>
    <row r="1211" spans="8:19"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</row>
    <row r="1212" spans="8:19"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</row>
    <row r="1213" spans="8:19"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</row>
    <row r="1214" spans="8:19"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</row>
    <row r="1215" spans="8:19"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</row>
    <row r="1216" spans="8:19"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</row>
    <row r="1217" spans="8:19"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</row>
    <row r="1218" spans="8:19"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</row>
    <row r="1219" spans="8:19"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</row>
    <row r="1220" spans="8:19"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</row>
    <row r="1221" spans="8:19"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</row>
    <row r="1222" spans="8:19"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</row>
    <row r="1223" spans="8:19"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</row>
    <row r="1224" spans="8:19"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</row>
    <row r="1225" spans="8:19">
      <c r="H1225" s="43"/>
      <c r="I1225" s="43"/>
      <c r="J1225" s="43"/>
      <c r="K1225" s="43"/>
      <c r="L1225" s="43"/>
      <c r="M1225" s="43"/>
      <c r="N1225" s="43"/>
      <c r="O1225" s="43"/>
      <c r="P1225" s="43"/>
      <c r="Q1225" s="43"/>
      <c r="R1225" s="43"/>
      <c r="S1225" s="43"/>
    </row>
    <row r="1226" spans="8:19">
      <c r="H1226" s="43"/>
      <c r="I1226" s="43"/>
      <c r="J1226" s="43"/>
      <c r="K1226" s="43"/>
      <c r="L1226" s="43"/>
      <c r="M1226" s="43"/>
      <c r="N1226" s="43"/>
      <c r="O1226" s="43"/>
      <c r="P1226" s="43"/>
      <c r="Q1226" s="43"/>
      <c r="R1226" s="43"/>
      <c r="S1226" s="43"/>
    </row>
    <row r="1227" spans="8:19">
      <c r="H1227" s="43"/>
      <c r="I1227" s="43"/>
      <c r="J1227" s="43"/>
      <c r="K1227" s="43"/>
      <c r="L1227" s="43"/>
      <c r="M1227" s="43"/>
      <c r="N1227" s="43"/>
      <c r="O1227" s="43"/>
      <c r="P1227" s="43"/>
      <c r="Q1227" s="43"/>
      <c r="R1227" s="43"/>
      <c r="S1227" s="43"/>
    </row>
    <row r="1228" spans="8:19">
      <c r="H1228" s="43"/>
      <c r="I1228" s="43"/>
      <c r="J1228" s="43"/>
      <c r="K1228" s="43"/>
      <c r="L1228" s="43"/>
      <c r="M1228" s="43"/>
      <c r="N1228" s="43"/>
      <c r="O1228" s="43"/>
      <c r="P1228" s="43"/>
      <c r="Q1228" s="43"/>
      <c r="R1228" s="43"/>
      <c r="S1228" s="43"/>
    </row>
    <row r="1229" spans="8:19">
      <c r="H1229" s="43"/>
      <c r="I1229" s="43"/>
      <c r="J1229" s="43"/>
      <c r="K1229" s="43"/>
      <c r="L1229" s="43"/>
      <c r="M1229" s="43"/>
      <c r="N1229" s="43"/>
      <c r="O1229" s="43"/>
      <c r="P1229" s="43"/>
      <c r="Q1229" s="43"/>
      <c r="R1229" s="43"/>
      <c r="S1229" s="43"/>
    </row>
    <row r="1230" spans="8:19">
      <c r="H1230" s="43"/>
      <c r="I1230" s="43"/>
      <c r="J1230" s="43"/>
      <c r="K1230" s="43"/>
      <c r="L1230" s="43"/>
      <c r="M1230" s="43"/>
      <c r="N1230" s="43"/>
      <c r="O1230" s="43"/>
      <c r="P1230" s="43"/>
      <c r="Q1230" s="43"/>
      <c r="R1230" s="43"/>
      <c r="S1230" s="43"/>
    </row>
    <row r="1231" spans="8:19">
      <c r="H1231" s="43"/>
      <c r="I1231" s="43"/>
      <c r="J1231" s="43"/>
      <c r="K1231" s="43"/>
      <c r="L1231" s="43"/>
      <c r="M1231" s="43"/>
      <c r="N1231" s="43"/>
      <c r="O1231" s="43"/>
      <c r="P1231" s="43"/>
      <c r="Q1231" s="43"/>
      <c r="R1231" s="43"/>
      <c r="S1231" s="43"/>
    </row>
    <row r="1232" spans="8:19">
      <c r="H1232" s="43"/>
      <c r="I1232" s="43"/>
      <c r="J1232" s="43"/>
      <c r="K1232" s="43"/>
      <c r="L1232" s="43"/>
      <c r="M1232" s="43"/>
      <c r="N1232" s="43"/>
      <c r="O1232" s="43"/>
      <c r="P1232" s="43"/>
      <c r="Q1232" s="43"/>
      <c r="R1232" s="43"/>
      <c r="S1232" s="43"/>
    </row>
    <row r="1233" spans="8:19">
      <c r="H1233" s="43"/>
      <c r="I1233" s="43"/>
      <c r="J1233" s="43"/>
      <c r="K1233" s="43"/>
      <c r="L1233" s="43"/>
      <c r="M1233" s="43"/>
      <c r="N1233" s="43"/>
      <c r="O1233" s="43"/>
      <c r="P1233" s="43"/>
      <c r="Q1233" s="43"/>
      <c r="R1233" s="43"/>
      <c r="S1233" s="43"/>
    </row>
    <row r="1234" spans="8:19">
      <c r="H1234" s="43"/>
      <c r="I1234" s="43"/>
      <c r="J1234" s="43"/>
      <c r="K1234" s="43"/>
      <c r="L1234" s="43"/>
      <c r="M1234" s="43"/>
      <c r="N1234" s="43"/>
      <c r="O1234" s="43"/>
      <c r="P1234" s="43"/>
      <c r="Q1234" s="43"/>
      <c r="R1234" s="43"/>
      <c r="S1234" s="43"/>
    </row>
    <row r="1235" spans="8:19">
      <c r="H1235" s="43"/>
      <c r="I1235" s="43"/>
      <c r="J1235" s="43"/>
      <c r="K1235" s="43"/>
      <c r="L1235" s="43"/>
      <c r="M1235" s="43"/>
      <c r="N1235" s="43"/>
      <c r="O1235" s="43"/>
      <c r="P1235" s="43"/>
      <c r="Q1235" s="43"/>
      <c r="R1235" s="43"/>
      <c r="S1235" s="43"/>
    </row>
    <row r="1236" spans="8:19">
      <c r="H1236" s="43"/>
      <c r="I1236" s="43"/>
      <c r="J1236" s="43"/>
      <c r="K1236" s="43"/>
      <c r="L1236" s="43"/>
      <c r="M1236" s="43"/>
      <c r="N1236" s="43"/>
      <c r="O1236" s="43"/>
      <c r="P1236" s="43"/>
      <c r="Q1236" s="43"/>
      <c r="R1236" s="43"/>
      <c r="S1236" s="43"/>
    </row>
    <row r="1237" spans="8:19">
      <c r="H1237" s="43"/>
      <c r="I1237" s="43"/>
      <c r="J1237" s="43"/>
      <c r="K1237" s="43"/>
      <c r="L1237" s="43"/>
      <c r="M1237" s="43"/>
      <c r="N1237" s="43"/>
      <c r="O1237" s="43"/>
      <c r="P1237" s="43"/>
      <c r="Q1237" s="43"/>
      <c r="R1237" s="43"/>
      <c r="S1237" s="43"/>
    </row>
    <row r="1238" spans="8:19">
      <c r="H1238" s="43"/>
      <c r="I1238" s="43"/>
      <c r="J1238" s="43"/>
      <c r="K1238" s="43"/>
      <c r="L1238" s="43"/>
      <c r="M1238" s="43"/>
      <c r="N1238" s="43"/>
      <c r="O1238" s="43"/>
      <c r="P1238" s="43"/>
      <c r="Q1238" s="43"/>
      <c r="R1238" s="43"/>
      <c r="S1238" s="43"/>
    </row>
    <row r="1239" spans="8:19">
      <c r="H1239" s="43"/>
      <c r="I1239" s="43"/>
      <c r="J1239" s="43"/>
      <c r="K1239" s="43"/>
      <c r="L1239" s="43"/>
      <c r="M1239" s="43"/>
      <c r="N1239" s="43"/>
      <c r="O1239" s="43"/>
      <c r="P1239" s="43"/>
      <c r="Q1239" s="43"/>
      <c r="R1239" s="43"/>
      <c r="S1239" s="43"/>
    </row>
    <row r="1240" spans="8:19">
      <c r="H1240" s="43"/>
      <c r="I1240" s="43"/>
      <c r="J1240" s="43"/>
      <c r="K1240" s="43"/>
      <c r="L1240" s="43"/>
      <c r="M1240" s="43"/>
      <c r="N1240" s="43"/>
      <c r="O1240" s="43"/>
      <c r="P1240" s="43"/>
      <c r="Q1240" s="43"/>
      <c r="R1240" s="43"/>
      <c r="S1240" s="43"/>
    </row>
    <row r="1241" spans="8:19">
      <c r="H1241" s="43"/>
      <c r="I1241" s="43"/>
      <c r="J1241" s="43"/>
      <c r="K1241" s="43"/>
      <c r="L1241" s="43"/>
      <c r="M1241" s="43"/>
      <c r="N1241" s="43"/>
      <c r="O1241" s="43"/>
      <c r="P1241" s="43"/>
      <c r="Q1241" s="43"/>
      <c r="R1241" s="43"/>
      <c r="S1241" s="43"/>
    </row>
    <row r="1242" spans="8:19">
      <c r="H1242" s="43"/>
      <c r="I1242" s="43"/>
      <c r="J1242" s="43"/>
      <c r="K1242" s="43"/>
      <c r="L1242" s="43"/>
      <c r="M1242" s="43"/>
      <c r="N1242" s="43"/>
      <c r="O1242" s="43"/>
      <c r="P1242" s="43"/>
      <c r="Q1242" s="43"/>
      <c r="R1242" s="43"/>
      <c r="S1242" s="43"/>
    </row>
    <row r="1243" spans="8:19">
      <c r="H1243" s="43"/>
      <c r="I1243" s="43"/>
      <c r="J1243" s="43"/>
      <c r="K1243" s="43"/>
      <c r="L1243" s="43"/>
      <c r="M1243" s="43"/>
      <c r="N1243" s="43"/>
      <c r="O1243" s="43"/>
      <c r="P1243" s="43"/>
      <c r="Q1243" s="43"/>
      <c r="R1243" s="43"/>
      <c r="S1243" s="43"/>
    </row>
    <row r="1244" spans="8:19">
      <c r="H1244" s="43"/>
      <c r="I1244" s="43"/>
      <c r="J1244" s="43"/>
      <c r="K1244" s="43"/>
      <c r="L1244" s="43"/>
      <c r="M1244" s="43"/>
      <c r="N1244" s="43"/>
      <c r="O1244" s="43"/>
      <c r="P1244" s="43"/>
      <c r="Q1244" s="43"/>
      <c r="R1244" s="43"/>
      <c r="S1244" s="43"/>
    </row>
    <row r="1245" spans="8:19">
      <c r="H1245" s="43"/>
      <c r="I1245" s="43"/>
      <c r="J1245" s="43"/>
      <c r="K1245" s="43"/>
      <c r="L1245" s="43"/>
      <c r="M1245" s="43"/>
      <c r="N1245" s="43"/>
      <c r="O1245" s="43"/>
      <c r="P1245" s="43"/>
      <c r="Q1245" s="43"/>
      <c r="R1245" s="43"/>
      <c r="S1245" s="43"/>
    </row>
    <row r="1246" spans="8:19">
      <c r="H1246" s="43"/>
      <c r="I1246" s="43"/>
      <c r="J1246" s="43"/>
      <c r="K1246" s="43"/>
      <c r="L1246" s="43"/>
      <c r="M1246" s="43"/>
      <c r="N1246" s="43"/>
      <c r="O1246" s="43"/>
      <c r="P1246" s="43"/>
      <c r="Q1246" s="43"/>
      <c r="R1246" s="43"/>
      <c r="S1246" s="43"/>
    </row>
    <row r="1247" spans="8:19">
      <c r="H1247" s="43"/>
      <c r="I1247" s="43"/>
      <c r="J1247" s="43"/>
      <c r="K1247" s="43"/>
      <c r="L1247" s="43"/>
      <c r="M1247" s="43"/>
      <c r="N1247" s="43"/>
      <c r="O1247" s="43"/>
      <c r="P1247" s="43"/>
      <c r="Q1247" s="43"/>
      <c r="R1247" s="43"/>
      <c r="S1247" s="43"/>
    </row>
    <row r="1248" spans="8:19">
      <c r="H1248" s="43"/>
      <c r="I1248" s="43"/>
      <c r="J1248" s="43"/>
      <c r="K1248" s="43"/>
      <c r="L1248" s="43"/>
      <c r="M1248" s="43"/>
      <c r="N1248" s="43"/>
      <c r="O1248" s="43"/>
      <c r="P1248" s="43"/>
      <c r="Q1248" s="43"/>
      <c r="R1248" s="43"/>
      <c r="S1248" s="43"/>
    </row>
    <row r="1249" spans="8:19">
      <c r="H1249" s="43"/>
      <c r="I1249" s="43"/>
      <c r="J1249" s="43"/>
      <c r="K1249" s="43"/>
      <c r="L1249" s="43"/>
      <c r="M1249" s="43"/>
      <c r="N1249" s="43"/>
      <c r="O1249" s="43"/>
      <c r="P1249" s="43"/>
      <c r="Q1249" s="43"/>
      <c r="R1249" s="43"/>
      <c r="S1249" s="43"/>
    </row>
    <row r="1250" spans="8:19">
      <c r="H1250" s="43"/>
      <c r="I1250" s="43"/>
      <c r="J1250" s="43"/>
      <c r="K1250" s="43"/>
      <c r="L1250" s="43"/>
      <c r="M1250" s="43"/>
      <c r="N1250" s="43"/>
      <c r="O1250" s="43"/>
      <c r="P1250" s="43"/>
      <c r="Q1250" s="43"/>
      <c r="R1250" s="43"/>
      <c r="S1250" s="43"/>
    </row>
    <row r="1251" spans="8:19">
      <c r="H1251" s="43"/>
      <c r="I1251" s="43"/>
      <c r="J1251" s="43"/>
      <c r="K1251" s="43"/>
      <c r="L1251" s="43"/>
      <c r="M1251" s="43"/>
      <c r="N1251" s="43"/>
      <c r="O1251" s="43"/>
      <c r="P1251" s="43"/>
      <c r="Q1251" s="43"/>
      <c r="R1251" s="43"/>
      <c r="S1251" s="43"/>
    </row>
    <row r="1252" spans="8:19">
      <c r="H1252" s="43"/>
      <c r="I1252" s="43"/>
      <c r="J1252" s="43"/>
      <c r="K1252" s="43"/>
      <c r="L1252" s="43"/>
      <c r="M1252" s="43"/>
      <c r="N1252" s="43"/>
      <c r="O1252" s="43"/>
      <c r="P1252" s="43"/>
      <c r="Q1252" s="43"/>
      <c r="R1252" s="43"/>
      <c r="S1252" s="43"/>
    </row>
    <row r="1253" spans="8:19">
      <c r="H1253" s="43"/>
      <c r="I1253" s="43"/>
      <c r="J1253" s="43"/>
      <c r="K1253" s="43"/>
      <c r="L1253" s="43"/>
      <c r="M1253" s="43"/>
      <c r="N1253" s="43"/>
      <c r="O1253" s="43"/>
      <c r="P1253" s="43"/>
      <c r="Q1253" s="43"/>
      <c r="R1253" s="43"/>
      <c r="S1253" s="43"/>
    </row>
    <row r="1254" spans="8:19">
      <c r="H1254" s="43"/>
      <c r="I1254" s="43"/>
      <c r="J1254" s="43"/>
      <c r="K1254" s="43"/>
      <c r="L1254" s="43"/>
      <c r="M1254" s="43"/>
      <c r="N1254" s="43"/>
      <c r="O1254" s="43"/>
      <c r="P1254" s="43"/>
      <c r="Q1254" s="43"/>
      <c r="R1254" s="43"/>
      <c r="S1254" s="43"/>
    </row>
    <row r="1255" spans="8:19">
      <c r="H1255" s="43"/>
      <c r="I1255" s="43"/>
      <c r="J1255" s="43"/>
      <c r="K1255" s="43"/>
      <c r="L1255" s="43"/>
      <c r="M1255" s="43"/>
      <c r="N1255" s="43"/>
      <c r="O1255" s="43"/>
      <c r="P1255" s="43"/>
      <c r="Q1255" s="43"/>
      <c r="R1255" s="43"/>
      <c r="S1255" s="43"/>
    </row>
    <row r="1256" spans="8:19">
      <c r="H1256" s="43"/>
      <c r="I1256" s="43"/>
      <c r="J1256" s="43"/>
      <c r="K1256" s="43"/>
      <c r="L1256" s="43"/>
      <c r="M1256" s="43"/>
      <c r="N1256" s="43"/>
      <c r="O1256" s="43"/>
      <c r="P1256" s="43"/>
      <c r="Q1256" s="43"/>
      <c r="R1256" s="43"/>
      <c r="S1256" s="43"/>
    </row>
    <row r="1257" spans="8:19">
      <c r="H1257" s="43"/>
      <c r="I1257" s="43"/>
      <c r="J1257" s="43"/>
      <c r="K1257" s="43"/>
      <c r="L1257" s="43"/>
      <c r="M1257" s="43"/>
      <c r="N1257" s="43"/>
      <c r="O1257" s="43"/>
      <c r="P1257" s="43"/>
      <c r="Q1257" s="43"/>
      <c r="R1257" s="43"/>
      <c r="S1257" s="43"/>
    </row>
    <row r="1258" spans="8:19">
      <c r="H1258" s="43"/>
      <c r="I1258" s="43"/>
      <c r="J1258" s="43"/>
      <c r="K1258" s="43"/>
      <c r="L1258" s="43"/>
      <c r="M1258" s="43"/>
      <c r="N1258" s="43"/>
      <c r="O1258" s="43"/>
      <c r="P1258" s="43"/>
      <c r="Q1258" s="43"/>
      <c r="R1258" s="43"/>
      <c r="S1258" s="43"/>
    </row>
    <row r="1259" spans="8:19">
      <c r="H1259" s="43"/>
      <c r="I1259" s="43"/>
      <c r="J1259" s="43"/>
      <c r="K1259" s="43"/>
      <c r="L1259" s="43"/>
      <c r="M1259" s="43"/>
      <c r="N1259" s="43"/>
      <c r="O1259" s="43"/>
      <c r="P1259" s="43"/>
      <c r="Q1259" s="43"/>
      <c r="R1259" s="43"/>
      <c r="S1259" s="43"/>
    </row>
    <row r="1260" spans="8:19">
      <c r="H1260" s="43"/>
      <c r="I1260" s="43"/>
      <c r="J1260" s="43"/>
      <c r="K1260" s="43"/>
      <c r="L1260" s="43"/>
      <c r="M1260" s="43"/>
      <c r="N1260" s="43"/>
      <c r="O1260" s="43"/>
      <c r="P1260" s="43"/>
      <c r="Q1260" s="43"/>
      <c r="R1260" s="43"/>
      <c r="S1260" s="43"/>
    </row>
    <row r="1261" spans="8:19">
      <c r="H1261" s="43"/>
      <c r="I1261" s="43"/>
      <c r="J1261" s="43"/>
      <c r="K1261" s="43"/>
      <c r="L1261" s="43"/>
      <c r="M1261" s="43"/>
      <c r="N1261" s="43"/>
      <c r="O1261" s="43"/>
      <c r="P1261" s="43"/>
      <c r="Q1261" s="43"/>
      <c r="R1261" s="43"/>
      <c r="S1261" s="43"/>
    </row>
    <row r="1262" spans="8:19">
      <c r="H1262" s="43"/>
      <c r="I1262" s="43"/>
      <c r="J1262" s="43"/>
      <c r="K1262" s="43"/>
      <c r="L1262" s="43"/>
      <c r="M1262" s="43"/>
      <c r="N1262" s="43"/>
      <c r="O1262" s="43"/>
      <c r="P1262" s="43"/>
      <c r="Q1262" s="43"/>
      <c r="R1262" s="43"/>
      <c r="S1262" s="43"/>
    </row>
    <row r="1263" spans="8:19">
      <c r="H1263" s="43"/>
      <c r="I1263" s="43"/>
      <c r="J1263" s="43"/>
      <c r="K1263" s="43"/>
      <c r="L1263" s="43"/>
      <c r="M1263" s="43"/>
      <c r="N1263" s="43"/>
      <c r="O1263" s="43"/>
      <c r="P1263" s="43"/>
      <c r="Q1263" s="43"/>
      <c r="R1263" s="43"/>
      <c r="S1263" s="43"/>
    </row>
    <row r="1264" spans="8:19">
      <c r="H1264" s="43"/>
      <c r="I1264" s="43"/>
      <c r="J1264" s="43"/>
      <c r="K1264" s="43"/>
      <c r="L1264" s="43"/>
      <c r="M1264" s="43"/>
      <c r="N1264" s="43"/>
      <c r="O1264" s="43"/>
      <c r="P1264" s="43"/>
      <c r="Q1264" s="43"/>
      <c r="R1264" s="43"/>
      <c r="S1264" s="43"/>
    </row>
    <row r="1265" spans="8:19">
      <c r="H1265" s="43"/>
      <c r="I1265" s="43"/>
      <c r="J1265" s="43"/>
      <c r="K1265" s="43"/>
      <c r="L1265" s="43"/>
      <c r="M1265" s="43"/>
      <c r="N1265" s="43"/>
      <c r="O1265" s="43"/>
      <c r="P1265" s="43"/>
      <c r="Q1265" s="43"/>
      <c r="R1265" s="43"/>
      <c r="S1265" s="43"/>
    </row>
    <row r="1266" spans="8:19">
      <c r="H1266" s="43"/>
      <c r="I1266" s="43"/>
      <c r="J1266" s="43"/>
      <c r="K1266" s="43"/>
      <c r="L1266" s="43"/>
      <c r="M1266" s="43"/>
      <c r="N1266" s="43"/>
      <c r="O1266" s="43"/>
      <c r="P1266" s="43"/>
      <c r="Q1266" s="43"/>
      <c r="R1266" s="43"/>
      <c r="S1266" s="43"/>
    </row>
    <row r="1267" spans="8:19">
      <c r="H1267" s="43"/>
      <c r="I1267" s="43"/>
      <c r="J1267" s="43"/>
      <c r="K1267" s="43"/>
      <c r="L1267" s="43"/>
      <c r="M1267" s="43"/>
      <c r="N1267" s="43"/>
      <c r="O1267" s="43"/>
      <c r="P1267" s="43"/>
      <c r="Q1267" s="43"/>
      <c r="R1267" s="43"/>
      <c r="S1267" s="43"/>
    </row>
    <row r="1268" spans="8:19">
      <c r="H1268" s="43"/>
      <c r="I1268" s="43"/>
      <c r="J1268" s="43"/>
      <c r="K1268" s="43"/>
      <c r="L1268" s="43"/>
      <c r="M1268" s="43"/>
      <c r="N1268" s="43"/>
      <c r="O1268" s="43"/>
      <c r="P1268" s="43"/>
      <c r="Q1268" s="43"/>
      <c r="R1268" s="43"/>
      <c r="S1268" s="43"/>
    </row>
    <row r="1269" spans="8:19">
      <c r="H1269" s="43"/>
      <c r="I1269" s="43"/>
      <c r="J1269" s="43"/>
      <c r="K1269" s="43"/>
      <c r="L1269" s="43"/>
      <c r="M1269" s="43"/>
      <c r="N1269" s="43"/>
      <c r="O1269" s="43"/>
      <c r="P1269" s="43"/>
      <c r="Q1269" s="43"/>
      <c r="R1269" s="43"/>
      <c r="S1269" s="43"/>
    </row>
    <row r="1270" spans="8:19">
      <c r="H1270" s="43"/>
      <c r="I1270" s="43"/>
      <c r="J1270" s="43"/>
      <c r="K1270" s="43"/>
      <c r="L1270" s="43"/>
      <c r="M1270" s="43"/>
      <c r="N1270" s="43"/>
      <c r="O1270" s="43"/>
      <c r="P1270" s="43"/>
      <c r="Q1270" s="43"/>
      <c r="R1270" s="43"/>
      <c r="S1270" s="43"/>
    </row>
    <row r="1271" spans="8:19">
      <c r="H1271" s="43"/>
      <c r="I1271" s="43"/>
      <c r="J1271" s="43"/>
      <c r="K1271" s="43"/>
      <c r="L1271" s="43"/>
      <c r="M1271" s="43"/>
      <c r="N1271" s="43"/>
      <c r="O1271" s="43"/>
      <c r="P1271" s="43"/>
      <c r="Q1271" s="43"/>
      <c r="R1271" s="43"/>
      <c r="S1271" s="43"/>
    </row>
    <row r="1272" spans="8:19">
      <c r="H1272" s="43"/>
      <c r="I1272" s="43"/>
      <c r="J1272" s="43"/>
      <c r="K1272" s="43"/>
      <c r="L1272" s="43"/>
      <c r="M1272" s="43"/>
      <c r="N1272" s="43"/>
      <c r="O1272" s="43"/>
      <c r="P1272" s="43"/>
      <c r="Q1272" s="43"/>
      <c r="R1272" s="43"/>
      <c r="S1272" s="43"/>
    </row>
    <row r="1273" spans="8:19">
      <c r="H1273" s="43"/>
      <c r="I1273" s="43"/>
      <c r="J1273" s="43"/>
      <c r="K1273" s="43"/>
      <c r="L1273" s="43"/>
      <c r="M1273" s="43"/>
      <c r="N1273" s="43"/>
      <c r="O1273" s="43"/>
      <c r="P1273" s="43"/>
      <c r="Q1273" s="43"/>
      <c r="R1273" s="43"/>
      <c r="S1273" s="43"/>
    </row>
    <row r="1274" spans="8:19">
      <c r="H1274" s="43"/>
      <c r="I1274" s="43"/>
      <c r="J1274" s="43"/>
      <c r="K1274" s="43"/>
      <c r="L1274" s="43"/>
      <c r="M1274" s="43"/>
      <c r="N1274" s="43"/>
      <c r="O1274" s="43"/>
      <c r="P1274" s="43"/>
      <c r="Q1274" s="43"/>
      <c r="R1274" s="43"/>
      <c r="S1274" s="43"/>
    </row>
    <row r="1275" spans="8:19">
      <c r="H1275" s="43"/>
      <c r="I1275" s="43"/>
      <c r="J1275" s="43"/>
      <c r="K1275" s="43"/>
      <c r="L1275" s="43"/>
      <c r="M1275" s="43"/>
      <c r="N1275" s="43"/>
      <c r="O1275" s="43"/>
      <c r="P1275" s="43"/>
      <c r="Q1275" s="43"/>
      <c r="R1275" s="43"/>
      <c r="S1275" s="43"/>
    </row>
    <row r="1276" spans="8:19">
      <c r="H1276" s="43"/>
      <c r="I1276" s="43"/>
      <c r="J1276" s="43"/>
      <c r="K1276" s="43"/>
      <c r="L1276" s="43"/>
      <c r="M1276" s="43"/>
      <c r="N1276" s="43"/>
      <c r="O1276" s="43"/>
      <c r="P1276" s="43"/>
      <c r="Q1276" s="43"/>
      <c r="R1276" s="43"/>
      <c r="S1276" s="43"/>
    </row>
    <row r="1277" spans="8:19">
      <c r="H1277" s="43"/>
      <c r="I1277" s="43"/>
      <c r="J1277" s="43"/>
      <c r="K1277" s="43"/>
      <c r="L1277" s="43"/>
      <c r="M1277" s="43"/>
      <c r="N1277" s="43"/>
      <c r="O1277" s="43"/>
      <c r="P1277" s="43"/>
      <c r="Q1277" s="43"/>
      <c r="R1277" s="43"/>
      <c r="S1277" s="43"/>
    </row>
    <row r="1278" spans="8:19">
      <c r="H1278" s="43"/>
      <c r="I1278" s="43"/>
      <c r="J1278" s="43"/>
      <c r="K1278" s="43"/>
      <c r="L1278" s="43"/>
      <c r="M1278" s="43"/>
      <c r="N1278" s="43"/>
      <c r="O1278" s="43"/>
      <c r="P1278" s="43"/>
      <c r="Q1278" s="43"/>
      <c r="R1278" s="43"/>
      <c r="S1278" s="43"/>
    </row>
    <row r="1279" spans="8:19">
      <c r="H1279" s="43"/>
      <c r="I1279" s="43"/>
      <c r="J1279" s="43"/>
      <c r="K1279" s="43"/>
      <c r="L1279" s="43"/>
      <c r="M1279" s="43"/>
      <c r="N1279" s="43"/>
      <c r="O1279" s="43"/>
      <c r="P1279" s="43"/>
      <c r="Q1279" s="43"/>
      <c r="R1279" s="43"/>
      <c r="S1279" s="43"/>
    </row>
    <row r="1280" spans="8:19">
      <c r="H1280" s="43"/>
      <c r="I1280" s="43"/>
      <c r="J1280" s="43"/>
      <c r="K1280" s="43"/>
      <c r="L1280" s="43"/>
      <c r="M1280" s="43"/>
      <c r="N1280" s="43"/>
      <c r="O1280" s="43"/>
      <c r="P1280" s="43"/>
      <c r="Q1280" s="43"/>
      <c r="R1280" s="43"/>
      <c r="S1280" s="43"/>
    </row>
    <row r="1281" spans="8:19">
      <c r="H1281" s="43"/>
      <c r="I1281" s="43"/>
      <c r="J1281" s="43"/>
      <c r="K1281" s="43"/>
      <c r="L1281" s="43"/>
      <c r="M1281" s="43"/>
      <c r="N1281" s="43"/>
      <c r="O1281" s="43"/>
      <c r="P1281" s="43"/>
      <c r="Q1281" s="43"/>
      <c r="R1281" s="43"/>
      <c r="S1281" s="43"/>
    </row>
    <row r="1282" spans="8:19">
      <c r="H1282" s="43"/>
      <c r="I1282" s="43"/>
      <c r="J1282" s="43"/>
      <c r="K1282" s="43"/>
      <c r="L1282" s="43"/>
      <c r="M1282" s="43"/>
      <c r="N1282" s="43"/>
      <c r="O1282" s="43"/>
      <c r="P1282" s="43"/>
      <c r="Q1282" s="43"/>
      <c r="R1282" s="43"/>
      <c r="S1282" s="43"/>
    </row>
    <row r="1283" spans="8:19">
      <c r="H1283" s="43"/>
      <c r="I1283" s="43"/>
      <c r="J1283" s="43"/>
      <c r="K1283" s="43"/>
      <c r="L1283" s="43"/>
      <c r="M1283" s="43"/>
      <c r="N1283" s="43"/>
      <c r="O1283" s="43"/>
      <c r="P1283" s="43"/>
      <c r="Q1283" s="43"/>
      <c r="R1283" s="43"/>
      <c r="S1283" s="43"/>
    </row>
    <row r="1284" spans="8:19">
      <c r="H1284" s="43"/>
      <c r="I1284" s="43"/>
      <c r="J1284" s="43"/>
      <c r="K1284" s="43"/>
      <c r="L1284" s="43"/>
      <c r="M1284" s="43"/>
      <c r="N1284" s="43"/>
      <c r="O1284" s="43"/>
      <c r="P1284" s="43"/>
      <c r="Q1284" s="43"/>
      <c r="R1284" s="43"/>
      <c r="S1284" s="43"/>
    </row>
    <row r="1285" spans="8:19">
      <c r="H1285" s="43"/>
      <c r="I1285" s="43"/>
      <c r="J1285" s="43"/>
      <c r="K1285" s="43"/>
      <c r="L1285" s="43"/>
      <c r="M1285" s="43"/>
      <c r="N1285" s="43"/>
      <c r="O1285" s="43"/>
      <c r="P1285" s="43"/>
      <c r="Q1285" s="43"/>
      <c r="R1285" s="43"/>
      <c r="S1285" s="43"/>
    </row>
    <row r="1286" spans="8:19">
      <c r="H1286" s="43"/>
      <c r="I1286" s="43"/>
      <c r="J1286" s="43"/>
      <c r="K1286" s="43"/>
      <c r="L1286" s="43"/>
      <c r="M1286" s="43"/>
      <c r="N1286" s="43"/>
      <c r="O1286" s="43"/>
      <c r="P1286" s="43"/>
      <c r="Q1286" s="43"/>
      <c r="R1286" s="43"/>
      <c r="S1286" s="43"/>
    </row>
    <row r="1287" spans="8:19">
      <c r="H1287" s="43"/>
      <c r="I1287" s="43"/>
      <c r="J1287" s="43"/>
      <c r="K1287" s="43"/>
      <c r="L1287" s="43"/>
      <c r="M1287" s="43"/>
      <c r="N1287" s="43"/>
      <c r="O1287" s="43"/>
      <c r="P1287" s="43"/>
      <c r="Q1287" s="43"/>
      <c r="R1287" s="43"/>
      <c r="S1287" s="43"/>
    </row>
    <row r="1288" spans="8:19">
      <c r="H1288" s="43"/>
      <c r="I1288" s="43"/>
      <c r="J1288" s="43"/>
      <c r="K1288" s="43"/>
      <c r="L1288" s="43"/>
      <c r="M1288" s="43"/>
      <c r="N1288" s="43"/>
      <c r="O1288" s="43"/>
      <c r="P1288" s="43"/>
      <c r="Q1288" s="43"/>
      <c r="R1288" s="43"/>
      <c r="S1288" s="43"/>
    </row>
    <row r="1289" spans="8:19">
      <c r="H1289" s="43"/>
      <c r="I1289" s="43"/>
      <c r="J1289" s="43"/>
      <c r="K1289" s="43"/>
      <c r="L1289" s="43"/>
      <c r="M1289" s="43"/>
      <c r="N1289" s="43"/>
      <c r="O1289" s="43"/>
      <c r="P1289" s="43"/>
      <c r="Q1289" s="43"/>
      <c r="R1289" s="43"/>
      <c r="S1289" s="43"/>
    </row>
    <row r="1290" spans="8:19">
      <c r="H1290" s="43"/>
      <c r="I1290" s="43"/>
      <c r="J1290" s="43"/>
      <c r="K1290" s="43"/>
      <c r="L1290" s="43"/>
      <c r="M1290" s="43"/>
      <c r="N1290" s="43"/>
      <c r="O1290" s="43"/>
      <c r="P1290" s="43"/>
      <c r="Q1290" s="43"/>
      <c r="R1290" s="43"/>
      <c r="S1290" s="43"/>
    </row>
    <row r="1291" spans="8:19">
      <c r="H1291" s="43"/>
      <c r="I1291" s="43"/>
      <c r="J1291" s="43"/>
      <c r="K1291" s="43"/>
      <c r="L1291" s="43"/>
      <c r="M1291" s="43"/>
      <c r="N1291" s="43"/>
      <c r="O1291" s="43"/>
      <c r="P1291" s="43"/>
      <c r="Q1291" s="43"/>
      <c r="R1291" s="43"/>
      <c r="S1291" s="43"/>
    </row>
    <row r="1292" spans="8:19">
      <c r="H1292" s="43"/>
      <c r="I1292" s="43"/>
      <c r="J1292" s="43"/>
      <c r="K1292" s="43"/>
      <c r="L1292" s="43"/>
      <c r="M1292" s="43"/>
      <c r="N1292" s="43"/>
      <c r="O1292" s="43"/>
      <c r="P1292" s="43"/>
      <c r="Q1292" s="43"/>
      <c r="R1292" s="43"/>
      <c r="S1292" s="43"/>
    </row>
    <row r="1293" spans="8:19">
      <c r="H1293" s="43"/>
      <c r="I1293" s="43"/>
      <c r="J1293" s="43"/>
      <c r="K1293" s="43"/>
      <c r="L1293" s="43"/>
      <c r="M1293" s="43"/>
      <c r="N1293" s="43"/>
      <c r="O1293" s="43"/>
      <c r="P1293" s="43"/>
      <c r="Q1293" s="43"/>
      <c r="R1293" s="43"/>
      <c r="S1293" s="43"/>
    </row>
    <row r="1294" spans="8:19">
      <c r="H1294" s="43"/>
      <c r="I1294" s="43"/>
      <c r="J1294" s="43"/>
      <c r="K1294" s="43"/>
      <c r="L1294" s="43"/>
      <c r="M1294" s="43"/>
      <c r="N1294" s="43"/>
      <c r="O1294" s="43"/>
      <c r="P1294" s="43"/>
      <c r="Q1294" s="43"/>
      <c r="R1294" s="43"/>
      <c r="S1294" s="43"/>
    </row>
    <row r="1295" spans="8:19">
      <c r="H1295" s="43"/>
      <c r="I1295" s="43"/>
      <c r="J1295" s="43"/>
      <c r="K1295" s="43"/>
      <c r="L1295" s="43"/>
      <c r="M1295" s="43"/>
      <c r="N1295" s="43"/>
      <c r="O1295" s="43"/>
      <c r="P1295" s="43"/>
      <c r="Q1295" s="43"/>
      <c r="R1295" s="43"/>
      <c r="S1295" s="43"/>
    </row>
    <row r="1296" spans="8:19">
      <c r="H1296" s="43"/>
      <c r="I1296" s="43"/>
      <c r="J1296" s="43"/>
      <c r="K1296" s="43"/>
      <c r="L1296" s="43"/>
      <c r="M1296" s="43"/>
      <c r="N1296" s="43"/>
      <c r="O1296" s="43"/>
      <c r="P1296" s="43"/>
      <c r="Q1296" s="43"/>
      <c r="R1296" s="43"/>
      <c r="S1296" s="43"/>
    </row>
    <row r="1297" spans="8:19">
      <c r="H1297" s="43"/>
      <c r="I1297" s="43"/>
      <c r="J1297" s="43"/>
      <c r="K1297" s="43"/>
      <c r="L1297" s="43"/>
      <c r="M1297" s="43"/>
      <c r="N1297" s="43"/>
      <c r="O1297" s="43"/>
      <c r="P1297" s="43"/>
      <c r="Q1297" s="43"/>
      <c r="R1297" s="43"/>
      <c r="S1297" s="43"/>
    </row>
    <row r="1298" spans="8:19">
      <c r="H1298" s="43"/>
      <c r="I1298" s="43"/>
      <c r="J1298" s="43"/>
      <c r="K1298" s="43"/>
      <c r="L1298" s="43"/>
      <c r="M1298" s="43"/>
      <c r="N1298" s="43"/>
      <c r="O1298" s="43"/>
      <c r="P1298" s="43"/>
      <c r="Q1298" s="43"/>
      <c r="R1298" s="43"/>
      <c r="S1298" s="43"/>
    </row>
    <row r="1299" spans="8:19">
      <c r="H1299" s="43"/>
      <c r="I1299" s="43"/>
      <c r="J1299" s="43"/>
      <c r="K1299" s="43"/>
      <c r="L1299" s="43"/>
      <c r="M1299" s="43"/>
      <c r="N1299" s="43"/>
      <c r="O1299" s="43"/>
      <c r="P1299" s="43"/>
      <c r="Q1299" s="43"/>
      <c r="R1299" s="43"/>
      <c r="S1299" s="43"/>
    </row>
    <row r="1300" spans="8:19">
      <c r="H1300" s="43"/>
      <c r="I1300" s="43"/>
      <c r="J1300" s="43"/>
      <c r="K1300" s="43"/>
      <c r="L1300" s="43"/>
      <c r="M1300" s="43"/>
      <c r="N1300" s="43"/>
      <c r="O1300" s="43"/>
      <c r="P1300" s="43"/>
      <c r="Q1300" s="43"/>
      <c r="R1300" s="43"/>
      <c r="S1300" s="43"/>
    </row>
    <row r="1301" spans="8:19">
      <c r="H1301" s="43"/>
      <c r="I1301" s="43"/>
      <c r="J1301" s="43"/>
      <c r="K1301" s="43"/>
      <c r="L1301" s="43"/>
      <c r="M1301" s="43"/>
      <c r="N1301" s="43"/>
      <c r="O1301" s="43"/>
      <c r="P1301" s="43"/>
      <c r="Q1301" s="43"/>
      <c r="R1301" s="43"/>
      <c r="S1301" s="43"/>
    </row>
    <row r="1302" spans="8:19">
      <c r="H1302" s="43"/>
      <c r="I1302" s="43"/>
      <c r="J1302" s="43"/>
      <c r="K1302" s="43"/>
      <c r="L1302" s="43"/>
      <c r="M1302" s="43"/>
      <c r="N1302" s="43"/>
      <c r="O1302" s="43"/>
      <c r="P1302" s="43"/>
      <c r="Q1302" s="43"/>
      <c r="R1302" s="43"/>
      <c r="S1302" s="43"/>
    </row>
    <row r="1303" spans="8:19">
      <c r="H1303" s="43"/>
      <c r="I1303" s="43"/>
      <c r="J1303" s="43"/>
      <c r="K1303" s="43"/>
      <c r="L1303" s="43"/>
      <c r="M1303" s="43"/>
      <c r="N1303" s="43"/>
      <c r="O1303" s="43"/>
      <c r="P1303" s="43"/>
      <c r="Q1303" s="43"/>
      <c r="R1303" s="43"/>
      <c r="S1303" s="43"/>
    </row>
    <row r="1304" spans="8:19">
      <c r="H1304" s="43"/>
      <c r="I1304" s="43"/>
      <c r="J1304" s="43"/>
      <c r="K1304" s="43"/>
      <c r="L1304" s="43"/>
      <c r="M1304" s="43"/>
      <c r="N1304" s="43"/>
      <c r="O1304" s="43"/>
      <c r="P1304" s="43"/>
      <c r="Q1304" s="43"/>
      <c r="R1304" s="43"/>
      <c r="S1304" s="43"/>
    </row>
    <row r="1305" spans="8:19">
      <c r="H1305" s="43"/>
      <c r="I1305" s="43"/>
      <c r="J1305" s="43"/>
      <c r="K1305" s="43"/>
      <c r="L1305" s="43"/>
      <c r="M1305" s="43"/>
      <c r="N1305" s="43"/>
      <c r="O1305" s="43"/>
      <c r="P1305" s="43"/>
      <c r="Q1305" s="43"/>
      <c r="R1305" s="43"/>
      <c r="S1305" s="43"/>
    </row>
    <row r="1306" spans="8:19">
      <c r="H1306" s="43"/>
      <c r="I1306" s="43"/>
      <c r="J1306" s="43"/>
      <c r="K1306" s="43"/>
      <c r="L1306" s="43"/>
      <c r="M1306" s="43"/>
      <c r="N1306" s="43"/>
      <c r="O1306" s="43"/>
      <c r="P1306" s="43"/>
      <c r="Q1306" s="43"/>
      <c r="R1306" s="43"/>
      <c r="S1306" s="43"/>
    </row>
    <row r="1307" spans="8:19">
      <c r="H1307" s="43"/>
      <c r="I1307" s="43"/>
      <c r="J1307" s="43"/>
      <c r="K1307" s="43"/>
      <c r="L1307" s="43"/>
      <c r="M1307" s="43"/>
      <c r="N1307" s="43"/>
      <c r="O1307" s="43"/>
      <c r="P1307" s="43"/>
      <c r="Q1307" s="43"/>
      <c r="R1307" s="43"/>
      <c r="S1307" s="43"/>
    </row>
    <row r="1308" spans="8:19">
      <c r="H1308" s="43"/>
      <c r="I1308" s="43"/>
      <c r="J1308" s="43"/>
      <c r="K1308" s="43"/>
      <c r="L1308" s="43"/>
      <c r="M1308" s="43"/>
      <c r="N1308" s="43"/>
      <c r="O1308" s="43"/>
      <c r="P1308" s="43"/>
      <c r="Q1308" s="43"/>
      <c r="R1308" s="43"/>
      <c r="S1308" s="43"/>
    </row>
    <row r="1309" spans="8:19">
      <c r="H1309" s="43"/>
      <c r="I1309" s="43"/>
      <c r="J1309" s="43"/>
      <c r="K1309" s="43"/>
      <c r="L1309" s="43"/>
      <c r="M1309" s="43"/>
      <c r="N1309" s="43"/>
      <c r="O1309" s="43"/>
      <c r="P1309" s="43"/>
      <c r="Q1309" s="43"/>
      <c r="R1309" s="43"/>
      <c r="S1309" s="43"/>
    </row>
    <row r="1310" spans="8:19">
      <c r="H1310" s="43"/>
      <c r="I1310" s="43"/>
      <c r="J1310" s="43"/>
      <c r="K1310" s="43"/>
      <c r="L1310" s="43"/>
      <c r="M1310" s="43"/>
      <c r="N1310" s="43"/>
      <c r="O1310" s="43"/>
      <c r="P1310" s="43"/>
      <c r="Q1310" s="43"/>
      <c r="R1310" s="43"/>
      <c r="S1310" s="43"/>
    </row>
    <row r="1311" spans="8:19">
      <c r="H1311" s="43"/>
      <c r="I1311" s="43"/>
      <c r="J1311" s="43"/>
      <c r="K1311" s="43"/>
      <c r="L1311" s="43"/>
      <c r="M1311" s="43"/>
      <c r="N1311" s="43"/>
      <c r="O1311" s="43"/>
      <c r="P1311" s="43"/>
      <c r="Q1311" s="43"/>
      <c r="R1311" s="43"/>
      <c r="S1311" s="43"/>
    </row>
    <row r="1312" spans="8:19">
      <c r="H1312" s="43"/>
      <c r="I1312" s="43"/>
      <c r="J1312" s="43"/>
      <c r="K1312" s="43"/>
      <c r="L1312" s="43"/>
      <c r="M1312" s="43"/>
      <c r="N1312" s="43"/>
      <c r="O1312" s="43"/>
      <c r="P1312" s="43"/>
      <c r="Q1312" s="43"/>
      <c r="R1312" s="43"/>
      <c r="S1312" s="43"/>
    </row>
    <row r="1313" spans="8:19">
      <c r="H1313" s="43"/>
      <c r="I1313" s="43"/>
      <c r="J1313" s="43"/>
      <c r="K1313" s="43"/>
      <c r="L1313" s="43"/>
      <c r="M1313" s="43"/>
      <c r="N1313" s="43"/>
      <c r="O1313" s="43"/>
      <c r="P1313" s="43"/>
      <c r="Q1313" s="43"/>
      <c r="R1313" s="43"/>
      <c r="S1313" s="43"/>
    </row>
    <row r="1314" spans="8:19">
      <c r="H1314" s="43"/>
      <c r="I1314" s="43"/>
      <c r="J1314" s="43"/>
      <c r="K1314" s="43"/>
      <c r="L1314" s="43"/>
      <c r="M1314" s="43"/>
      <c r="N1314" s="43"/>
      <c r="O1314" s="43"/>
      <c r="P1314" s="43"/>
      <c r="Q1314" s="43"/>
      <c r="R1314" s="43"/>
      <c r="S1314" s="43"/>
    </row>
    <row r="1315" spans="8:19">
      <c r="H1315" s="43"/>
      <c r="I1315" s="43"/>
      <c r="J1315" s="43"/>
      <c r="K1315" s="43"/>
      <c r="L1315" s="43"/>
      <c r="M1315" s="43"/>
      <c r="N1315" s="43"/>
      <c r="O1315" s="43"/>
      <c r="P1315" s="43"/>
      <c r="Q1315" s="43"/>
      <c r="R1315" s="43"/>
      <c r="S1315" s="43"/>
    </row>
    <row r="1316" spans="8:19">
      <c r="H1316" s="43"/>
      <c r="I1316" s="43"/>
      <c r="J1316" s="43"/>
      <c r="K1316" s="43"/>
      <c r="L1316" s="43"/>
      <c r="M1316" s="43"/>
      <c r="N1316" s="43"/>
      <c r="O1316" s="43"/>
      <c r="P1316" s="43"/>
      <c r="Q1316" s="43"/>
      <c r="R1316" s="43"/>
      <c r="S1316" s="43"/>
    </row>
    <row r="1317" spans="8:19">
      <c r="H1317" s="43"/>
      <c r="I1317" s="43"/>
      <c r="J1317" s="43"/>
      <c r="K1317" s="43"/>
      <c r="L1317" s="43"/>
      <c r="M1317" s="43"/>
      <c r="N1317" s="43"/>
      <c r="O1317" s="43"/>
      <c r="P1317" s="43"/>
      <c r="Q1317" s="43"/>
      <c r="R1317" s="43"/>
      <c r="S1317" s="43"/>
    </row>
    <row r="1318" spans="8:19">
      <c r="H1318" s="43"/>
      <c r="I1318" s="43"/>
      <c r="J1318" s="43"/>
      <c r="K1318" s="43"/>
      <c r="L1318" s="43"/>
      <c r="M1318" s="43"/>
      <c r="N1318" s="43"/>
      <c r="O1318" s="43"/>
      <c r="P1318" s="43"/>
      <c r="Q1318" s="43"/>
      <c r="R1318" s="43"/>
      <c r="S1318" s="43"/>
    </row>
    <row r="1319" spans="8:19">
      <c r="H1319" s="43"/>
      <c r="I1319" s="43"/>
      <c r="J1319" s="43"/>
      <c r="K1319" s="43"/>
      <c r="L1319" s="43"/>
      <c r="M1319" s="43"/>
      <c r="N1319" s="43"/>
      <c r="O1319" s="43"/>
      <c r="P1319" s="43"/>
      <c r="Q1319" s="43"/>
      <c r="R1319" s="43"/>
      <c r="S1319" s="43"/>
    </row>
    <row r="1320" spans="8:19">
      <c r="H1320" s="43"/>
      <c r="I1320" s="43"/>
      <c r="J1320" s="43"/>
      <c r="K1320" s="43"/>
      <c r="L1320" s="43"/>
      <c r="M1320" s="43"/>
      <c r="N1320" s="43"/>
      <c r="O1320" s="43"/>
      <c r="P1320" s="43"/>
      <c r="Q1320" s="43"/>
      <c r="R1320" s="43"/>
      <c r="S1320" s="43"/>
    </row>
    <row r="1321" spans="8:19">
      <c r="H1321" s="43"/>
      <c r="I1321" s="43"/>
      <c r="J1321" s="43"/>
      <c r="K1321" s="43"/>
      <c r="L1321" s="43"/>
      <c r="M1321" s="43"/>
      <c r="N1321" s="43"/>
      <c r="O1321" s="43"/>
      <c r="P1321" s="43"/>
      <c r="Q1321" s="43"/>
      <c r="R1321" s="43"/>
      <c r="S1321" s="43"/>
    </row>
    <row r="1322" spans="8:19">
      <c r="H1322" s="43"/>
      <c r="I1322" s="43"/>
      <c r="J1322" s="43"/>
      <c r="K1322" s="43"/>
      <c r="L1322" s="43"/>
      <c r="M1322" s="43"/>
      <c r="N1322" s="43"/>
      <c r="O1322" s="43"/>
      <c r="P1322" s="43"/>
      <c r="Q1322" s="43"/>
      <c r="R1322" s="43"/>
      <c r="S1322" s="43"/>
    </row>
    <row r="1323" spans="8:19">
      <c r="H1323" s="43"/>
      <c r="I1323" s="43"/>
      <c r="J1323" s="43"/>
      <c r="K1323" s="43"/>
      <c r="L1323" s="43"/>
      <c r="M1323" s="43"/>
      <c r="N1323" s="43"/>
      <c r="O1323" s="43"/>
      <c r="P1323" s="43"/>
      <c r="Q1323" s="43"/>
      <c r="R1323" s="43"/>
      <c r="S1323" s="43"/>
    </row>
    <row r="1324" spans="8:19">
      <c r="H1324" s="43"/>
      <c r="I1324" s="43"/>
      <c r="J1324" s="43"/>
      <c r="K1324" s="43"/>
      <c r="L1324" s="43"/>
      <c r="M1324" s="43"/>
      <c r="N1324" s="43"/>
      <c r="O1324" s="43"/>
      <c r="P1324" s="43"/>
      <c r="Q1324" s="43"/>
      <c r="R1324" s="43"/>
      <c r="S1324" s="43"/>
    </row>
    <row r="1325" spans="8:19">
      <c r="H1325" s="43"/>
      <c r="I1325" s="43"/>
      <c r="J1325" s="43"/>
      <c r="K1325" s="43"/>
      <c r="L1325" s="43"/>
      <c r="M1325" s="43"/>
      <c r="N1325" s="43"/>
      <c r="O1325" s="43"/>
      <c r="P1325" s="43"/>
      <c r="Q1325" s="43"/>
      <c r="R1325" s="43"/>
      <c r="S1325" s="43"/>
    </row>
    <row r="1326" spans="8:19">
      <c r="H1326" s="43"/>
      <c r="I1326" s="43"/>
      <c r="J1326" s="43"/>
      <c r="K1326" s="43"/>
      <c r="L1326" s="43"/>
      <c r="M1326" s="43"/>
      <c r="N1326" s="43"/>
      <c r="O1326" s="43"/>
      <c r="P1326" s="43"/>
      <c r="Q1326" s="43"/>
      <c r="R1326" s="43"/>
      <c r="S1326" s="43"/>
    </row>
    <row r="1327" spans="8:19">
      <c r="H1327" s="43"/>
      <c r="I1327" s="43"/>
      <c r="J1327" s="43"/>
      <c r="K1327" s="43"/>
      <c r="L1327" s="43"/>
      <c r="M1327" s="43"/>
      <c r="N1327" s="43"/>
      <c r="O1327" s="43"/>
      <c r="P1327" s="43"/>
      <c r="Q1327" s="43"/>
      <c r="R1327" s="43"/>
      <c r="S1327" s="43"/>
    </row>
    <row r="1328" spans="8:19">
      <c r="H1328" s="43"/>
      <c r="I1328" s="43"/>
      <c r="J1328" s="43"/>
      <c r="K1328" s="43"/>
      <c r="L1328" s="43"/>
      <c r="M1328" s="43"/>
      <c r="N1328" s="43"/>
      <c r="O1328" s="43"/>
      <c r="P1328" s="43"/>
      <c r="Q1328" s="43"/>
      <c r="R1328" s="43"/>
      <c r="S1328" s="43"/>
    </row>
    <row r="1329" spans="8:19">
      <c r="H1329" s="43"/>
      <c r="I1329" s="43"/>
      <c r="J1329" s="43"/>
      <c r="K1329" s="43"/>
      <c r="L1329" s="43"/>
      <c r="M1329" s="43"/>
      <c r="N1329" s="43"/>
      <c r="O1329" s="43"/>
      <c r="P1329" s="43"/>
      <c r="Q1329" s="43"/>
      <c r="R1329" s="43"/>
      <c r="S1329" s="43"/>
    </row>
    <row r="1330" spans="8:19">
      <c r="H1330" s="43"/>
      <c r="I1330" s="43"/>
      <c r="J1330" s="43"/>
      <c r="K1330" s="43"/>
      <c r="L1330" s="43"/>
      <c r="M1330" s="43"/>
      <c r="N1330" s="43"/>
      <c r="O1330" s="43"/>
      <c r="P1330" s="43"/>
      <c r="Q1330" s="43"/>
      <c r="R1330" s="43"/>
      <c r="S1330" s="43"/>
    </row>
    <row r="1331" spans="8:19">
      <c r="H1331" s="43"/>
      <c r="I1331" s="43"/>
      <c r="J1331" s="43"/>
      <c r="K1331" s="43"/>
      <c r="L1331" s="43"/>
      <c r="M1331" s="43"/>
      <c r="N1331" s="43"/>
      <c r="O1331" s="43"/>
      <c r="P1331" s="43"/>
      <c r="Q1331" s="43"/>
      <c r="R1331" s="43"/>
      <c r="S1331" s="43"/>
    </row>
    <row r="1332" spans="8:19">
      <c r="H1332" s="43"/>
      <c r="I1332" s="43"/>
      <c r="J1332" s="43"/>
      <c r="K1332" s="43"/>
      <c r="L1332" s="43"/>
      <c r="M1332" s="43"/>
      <c r="N1332" s="43"/>
      <c r="O1332" s="43"/>
      <c r="P1332" s="43"/>
      <c r="Q1332" s="43"/>
      <c r="R1332" s="43"/>
      <c r="S1332" s="43"/>
    </row>
    <row r="1333" spans="8:19">
      <c r="H1333" s="43"/>
      <c r="I1333" s="43"/>
      <c r="J1333" s="43"/>
      <c r="K1333" s="43"/>
      <c r="L1333" s="43"/>
      <c r="M1333" s="43"/>
      <c r="N1333" s="43"/>
      <c r="O1333" s="43"/>
      <c r="P1333" s="43"/>
      <c r="Q1333" s="43"/>
      <c r="R1333" s="43"/>
      <c r="S1333" s="43"/>
    </row>
    <row r="1334" spans="8:19">
      <c r="H1334" s="43"/>
      <c r="I1334" s="43"/>
      <c r="J1334" s="43"/>
      <c r="K1334" s="43"/>
      <c r="L1334" s="43"/>
      <c r="M1334" s="43"/>
      <c r="N1334" s="43"/>
      <c r="O1334" s="43"/>
      <c r="P1334" s="43"/>
      <c r="Q1334" s="43"/>
      <c r="R1334" s="43"/>
      <c r="S1334" s="43"/>
    </row>
    <row r="1335" spans="8:19">
      <c r="H1335" s="43"/>
      <c r="I1335" s="43"/>
      <c r="J1335" s="43"/>
      <c r="K1335" s="43"/>
      <c r="L1335" s="43"/>
      <c r="M1335" s="43"/>
      <c r="N1335" s="43"/>
      <c r="O1335" s="43"/>
      <c r="P1335" s="43"/>
      <c r="Q1335" s="43"/>
      <c r="R1335" s="43"/>
      <c r="S1335" s="43"/>
    </row>
    <row r="1336" spans="8:19">
      <c r="H1336" s="43"/>
      <c r="I1336" s="43"/>
      <c r="J1336" s="43"/>
      <c r="K1336" s="43"/>
      <c r="L1336" s="43"/>
      <c r="M1336" s="43"/>
      <c r="N1336" s="43"/>
      <c r="O1336" s="43"/>
      <c r="P1336" s="43"/>
      <c r="Q1336" s="43"/>
      <c r="R1336" s="43"/>
      <c r="S1336" s="43"/>
    </row>
    <row r="1337" spans="8:19">
      <c r="H1337" s="43"/>
      <c r="I1337" s="43"/>
      <c r="J1337" s="43"/>
      <c r="K1337" s="43"/>
      <c r="L1337" s="43"/>
      <c r="M1337" s="43"/>
      <c r="N1337" s="43"/>
      <c r="O1337" s="43"/>
      <c r="P1337" s="43"/>
      <c r="Q1337" s="43"/>
      <c r="R1337" s="43"/>
      <c r="S1337" s="43"/>
    </row>
    <row r="1338" spans="8:19">
      <c r="H1338" s="43"/>
      <c r="I1338" s="43"/>
      <c r="J1338" s="43"/>
      <c r="K1338" s="43"/>
      <c r="L1338" s="43"/>
      <c r="M1338" s="43"/>
      <c r="N1338" s="43"/>
      <c r="O1338" s="43"/>
      <c r="P1338" s="43"/>
      <c r="Q1338" s="43"/>
      <c r="R1338" s="43"/>
      <c r="S1338" s="43"/>
    </row>
    <row r="1339" spans="8:19">
      <c r="H1339" s="43"/>
      <c r="I1339" s="43"/>
      <c r="J1339" s="43"/>
      <c r="K1339" s="43"/>
      <c r="L1339" s="43"/>
      <c r="M1339" s="43"/>
      <c r="N1339" s="43"/>
      <c r="O1339" s="43"/>
      <c r="P1339" s="43"/>
      <c r="Q1339" s="43"/>
      <c r="R1339" s="43"/>
      <c r="S1339" s="43"/>
    </row>
    <row r="1340" spans="8:19">
      <c r="H1340" s="43"/>
      <c r="I1340" s="43"/>
      <c r="J1340" s="43"/>
      <c r="K1340" s="43"/>
      <c r="L1340" s="43"/>
      <c r="M1340" s="43"/>
      <c r="N1340" s="43"/>
      <c r="O1340" s="43"/>
      <c r="P1340" s="43"/>
      <c r="Q1340" s="43"/>
      <c r="R1340" s="43"/>
      <c r="S1340" s="43"/>
    </row>
    <row r="1341" spans="8:19">
      <c r="H1341" s="43"/>
      <c r="I1341" s="43"/>
      <c r="J1341" s="43"/>
      <c r="K1341" s="43"/>
      <c r="L1341" s="43"/>
      <c r="M1341" s="43"/>
      <c r="N1341" s="43"/>
      <c r="O1341" s="43"/>
      <c r="P1341" s="43"/>
      <c r="Q1341" s="43"/>
      <c r="R1341" s="43"/>
      <c r="S1341" s="43"/>
    </row>
    <row r="1342" spans="8:19">
      <c r="H1342" s="43"/>
      <c r="I1342" s="43"/>
      <c r="J1342" s="43"/>
      <c r="K1342" s="43"/>
      <c r="L1342" s="43"/>
      <c r="M1342" s="43"/>
      <c r="N1342" s="43"/>
      <c r="O1342" s="43"/>
      <c r="P1342" s="43"/>
      <c r="Q1342" s="43"/>
      <c r="R1342" s="43"/>
      <c r="S1342" s="43"/>
    </row>
    <row r="1343" spans="8:19">
      <c r="H1343" s="43"/>
      <c r="I1343" s="43"/>
      <c r="J1343" s="43"/>
      <c r="K1343" s="43"/>
      <c r="L1343" s="43"/>
      <c r="M1343" s="43"/>
      <c r="N1343" s="43"/>
      <c r="O1343" s="43"/>
      <c r="P1343" s="43"/>
      <c r="Q1343" s="43"/>
      <c r="R1343" s="43"/>
      <c r="S1343" s="43"/>
    </row>
    <row r="1344" spans="8:19">
      <c r="H1344" s="43"/>
      <c r="I1344" s="43"/>
      <c r="J1344" s="43"/>
      <c r="K1344" s="43"/>
      <c r="L1344" s="43"/>
      <c r="M1344" s="43"/>
      <c r="N1344" s="43"/>
      <c r="O1344" s="43"/>
      <c r="P1344" s="43"/>
      <c r="Q1344" s="43"/>
      <c r="R1344" s="43"/>
      <c r="S1344" s="43"/>
    </row>
    <row r="1345" spans="8:19">
      <c r="H1345" s="43"/>
      <c r="I1345" s="43"/>
      <c r="J1345" s="43"/>
      <c r="K1345" s="43"/>
      <c r="L1345" s="43"/>
      <c r="M1345" s="43"/>
      <c r="N1345" s="43"/>
      <c r="O1345" s="43"/>
      <c r="P1345" s="43"/>
      <c r="Q1345" s="43"/>
      <c r="R1345" s="43"/>
      <c r="S1345" s="43"/>
    </row>
    <row r="1346" spans="8:19">
      <c r="H1346" s="43"/>
      <c r="I1346" s="43"/>
      <c r="J1346" s="43"/>
      <c r="K1346" s="43"/>
      <c r="L1346" s="43"/>
      <c r="M1346" s="43"/>
      <c r="N1346" s="43"/>
      <c r="O1346" s="43"/>
      <c r="P1346" s="43"/>
      <c r="Q1346" s="43"/>
      <c r="R1346" s="43"/>
      <c r="S1346" s="43"/>
    </row>
    <row r="1347" spans="8:19">
      <c r="H1347" s="43"/>
      <c r="I1347" s="43"/>
      <c r="J1347" s="43"/>
      <c r="K1347" s="43"/>
      <c r="L1347" s="43"/>
      <c r="M1347" s="43"/>
      <c r="N1347" s="43"/>
      <c r="O1347" s="43"/>
      <c r="P1347" s="43"/>
      <c r="Q1347" s="43"/>
      <c r="R1347" s="43"/>
      <c r="S1347" s="43"/>
    </row>
    <row r="1348" spans="8:19">
      <c r="H1348" s="43"/>
      <c r="I1348" s="43"/>
      <c r="J1348" s="43"/>
      <c r="K1348" s="43"/>
      <c r="L1348" s="43"/>
      <c r="M1348" s="43"/>
      <c r="N1348" s="43"/>
      <c r="O1348" s="43"/>
      <c r="P1348" s="43"/>
      <c r="Q1348" s="43"/>
      <c r="R1348" s="43"/>
      <c r="S1348" s="43"/>
    </row>
    <row r="1349" spans="8:19">
      <c r="H1349" s="43"/>
      <c r="I1349" s="43"/>
      <c r="J1349" s="43"/>
      <c r="K1349" s="43"/>
      <c r="L1349" s="43"/>
      <c r="M1349" s="43"/>
      <c r="N1349" s="43"/>
      <c r="O1349" s="43"/>
      <c r="P1349" s="43"/>
      <c r="Q1349" s="43"/>
      <c r="R1349" s="43"/>
      <c r="S1349" s="43"/>
    </row>
    <row r="1350" spans="8:19">
      <c r="H1350" s="43"/>
      <c r="I1350" s="43"/>
      <c r="J1350" s="43"/>
      <c r="K1350" s="43"/>
      <c r="L1350" s="43"/>
      <c r="M1350" s="43"/>
      <c r="N1350" s="43"/>
      <c r="O1350" s="43"/>
      <c r="P1350" s="43"/>
      <c r="Q1350" s="43"/>
      <c r="R1350" s="43"/>
      <c r="S1350" s="43"/>
    </row>
    <row r="1351" spans="8:19">
      <c r="H1351" s="43"/>
      <c r="I1351" s="43"/>
      <c r="J1351" s="43"/>
      <c r="K1351" s="43"/>
      <c r="L1351" s="43"/>
      <c r="M1351" s="43"/>
      <c r="N1351" s="43"/>
      <c r="O1351" s="43"/>
      <c r="P1351" s="43"/>
      <c r="Q1351" s="43"/>
      <c r="R1351" s="43"/>
      <c r="S1351" s="43"/>
    </row>
    <row r="1352" spans="8:19">
      <c r="H1352" s="43"/>
      <c r="I1352" s="43"/>
      <c r="J1352" s="43"/>
      <c r="K1352" s="43"/>
      <c r="L1352" s="43"/>
      <c r="M1352" s="43"/>
      <c r="N1352" s="43"/>
      <c r="O1352" s="43"/>
      <c r="P1352" s="43"/>
      <c r="Q1352" s="43"/>
      <c r="R1352" s="43"/>
      <c r="S1352" s="43"/>
    </row>
    <row r="1353" spans="8:19">
      <c r="H1353" s="43"/>
      <c r="I1353" s="43"/>
      <c r="J1353" s="43"/>
      <c r="K1353" s="43"/>
      <c r="L1353" s="43"/>
      <c r="M1353" s="43"/>
      <c r="N1353" s="43"/>
      <c r="O1353" s="43"/>
      <c r="P1353" s="43"/>
      <c r="Q1353" s="43"/>
      <c r="R1353" s="43"/>
      <c r="S1353" s="43"/>
    </row>
    <row r="1354" spans="8:19">
      <c r="H1354" s="43"/>
      <c r="I1354" s="43"/>
      <c r="J1354" s="43"/>
      <c r="K1354" s="43"/>
      <c r="L1354" s="43"/>
      <c r="M1354" s="43"/>
      <c r="N1354" s="43"/>
      <c r="O1354" s="43"/>
      <c r="P1354" s="43"/>
      <c r="Q1354" s="43"/>
      <c r="R1354" s="43"/>
      <c r="S1354" s="43"/>
    </row>
    <row r="1355" spans="8:19">
      <c r="H1355" s="43"/>
      <c r="I1355" s="43"/>
      <c r="J1355" s="43"/>
      <c r="K1355" s="43"/>
      <c r="L1355" s="43"/>
      <c r="M1355" s="43"/>
      <c r="N1355" s="43"/>
      <c r="O1355" s="43"/>
      <c r="P1355" s="43"/>
      <c r="Q1355" s="43"/>
      <c r="R1355" s="43"/>
      <c r="S1355" s="43"/>
    </row>
    <row r="1356" spans="8:19">
      <c r="H1356" s="43"/>
      <c r="I1356" s="43"/>
      <c r="J1356" s="43"/>
      <c r="K1356" s="43"/>
      <c r="L1356" s="43"/>
      <c r="M1356" s="43"/>
      <c r="N1356" s="43"/>
      <c r="O1356" s="43"/>
      <c r="P1356" s="43"/>
      <c r="Q1356" s="43"/>
      <c r="R1356" s="43"/>
      <c r="S1356" s="43"/>
    </row>
    <row r="1357" spans="8:19">
      <c r="H1357" s="43"/>
      <c r="I1357" s="43"/>
      <c r="J1357" s="43"/>
      <c r="K1357" s="43"/>
      <c r="L1357" s="43"/>
      <c r="M1357" s="43"/>
      <c r="N1357" s="43"/>
      <c r="O1357" s="43"/>
      <c r="P1357" s="43"/>
      <c r="Q1357" s="43"/>
      <c r="R1357" s="43"/>
      <c r="S1357" s="43"/>
    </row>
    <row r="1358" spans="8:19">
      <c r="H1358" s="43"/>
      <c r="I1358" s="43"/>
      <c r="J1358" s="43"/>
      <c r="K1358" s="43"/>
      <c r="L1358" s="43"/>
      <c r="M1358" s="43"/>
      <c r="N1358" s="43"/>
      <c r="O1358" s="43"/>
      <c r="P1358" s="43"/>
      <c r="Q1358" s="43"/>
      <c r="R1358" s="43"/>
      <c r="S1358" s="43"/>
    </row>
    <row r="1359" spans="8:19">
      <c r="H1359" s="43"/>
      <c r="I1359" s="43"/>
      <c r="J1359" s="43"/>
      <c r="K1359" s="43"/>
      <c r="L1359" s="43"/>
      <c r="M1359" s="43"/>
      <c r="N1359" s="43"/>
      <c r="O1359" s="43"/>
      <c r="P1359" s="43"/>
      <c r="Q1359" s="43"/>
      <c r="R1359" s="43"/>
      <c r="S1359" s="43"/>
    </row>
    <row r="1360" spans="8:19">
      <c r="H1360" s="43"/>
      <c r="I1360" s="43"/>
      <c r="J1360" s="43"/>
      <c r="K1360" s="43"/>
      <c r="L1360" s="43"/>
      <c r="M1360" s="43"/>
      <c r="N1360" s="43"/>
      <c r="O1360" s="43"/>
      <c r="P1360" s="43"/>
      <c r="Q1360" s="43"/>
      <c r="R1360" s="43"/>
      <c r="S1360" s="43"/>
    </row>
    <row r="1361" spans="8:19">
      <c r="H1361" s="43"/>
      <c r="I1361" s="43"/>
      <c r="J1361" s="43"/>
      <c r="K1361" s="43"/>
      <c r="L1361" s="43"/>
      <c r="M1361" s="43"/>
      <c r="N1361" s="43"/>
      <c r="O1361" s="43"/>
      <c r="P1361" s="43"/>
      <c r="Q1361" s="43"/>
      <c r="R1361" s="43"/>
      <c r="S1361" s="43"/>
    </row>
    <row r="1362" spans="8:19">
      <c r="H1362" s="43"/>
      <c r="I1362" s="43"/>
      <c r="J1362" s="43"/>
      <c r="K1362" s="43"/>
      <c r="L1362" s="43"/>
      <c r="M1362" s="43"/>
      <c r="N1362" s="43"/>
      <c r="O1362" s="43"/>
      <c r="P1362" s="43"/>
      <c r="Q1362" s="43"/>
      <c r="R1362" s="43"/>
      <c r="S1362" s="43"/>
    </row>
    <row r="1363" spans="8:19">
      <c r="H1363" s="43"/>
      <c r="I1363" s="43"/>
      <c r="J1363" s="43"/>
      <c r="K1363" s="43"/>
      <c r="L1363" s="43"/>
      <c r="M1363" s="43"/>
      <c r="N1363" s="43"/>
      <c r="O1363" s="43"/>
      <c r="P1363" s="43"/>
      <c r="Q1363" s="43"/>
      <c r="R1363" s="43"/>
      <c r="S1363" s="43"/>
    </row>
    <row r="1364" spans="8:19">
      <c r="H1364" s="43"/>
      <c r="I1364" s="43"/>
      <c r="J1364" s="43"/>
      <c r="K1364" s="43"/>
      <c r="L1364" s="43"/>
      <c r="M1364" s="43"/>
      <c r="N1364" s="43"/>
      <c r="O1364" s="43"/>
      <c r="P1364" s="43"/>
      <c r="Q1364" s="43"/>
      <c r="R1364" s="43"/>
      <c r="S1364" s="43"/>
    </row>
    <row r="1365" spans="8:19">
      <c r="H1365" s="43"/>
      <c r="I1365" s="43"/>
      <c r="J1365" s="43"/>
      <c r="K1365" s="43"/>
      <c r="L1365" s="43"/>
      <c r="M1365" s="43"/>
      <c r="N1365" s="43"/>
      <c r="O1365" s="43"/>
      <c r="P1365" s="43"/>
      <c r="Q1365" s="43"/>
      <c r="R1365" s="43"/>
      <c r="S1365" s="43"/>
    </row>
    <row r="1366" spans="8:19">
      <c r="H1366" s="43"/>
      <c r="I1366" s="43"/>
      <c r="J1366" s="43"/>
      <c r="K1366" s="43"/>
      <c r="L1366" s="43"/>
      <c r="M1366" s="43"/>
      <c r="N1366" s="43"/>
      <c r="O1366" s="43"/>
      <c r="P1366" s="43"/>
      <c r="Q1366" s="43"/>
      <c r="R1366" s="43"/>
      <c r="S1366" s="43"/>
    </row>
    <row r="1367" spans="8:19">
      <c r="H1367" s="43"/>
      <c r="I1367" s="43"/>
      <c r="J1367" s="43"/>
      <c r="K1367" s="43"/>
      <c r="L1367" s="43"/>
      <c r="M1367" s="43"/>
      <c r="N1367" s="43"/>
      <c r="O1367" s="43"/>
      <c r="P1367" s="43"/>
      <c r="Q1367" s="43"/>
      <c r="R1367" s="43"/>
      <c r="S1367" s="43"/>
    </row>
    <row r="1368" spans="8:19">
      <c r="H1368" s="43"/>
      <c r="I1368" s="43"/>
      <c r="J1368" s="43"/>
      <c r="K1368" s="43"/>
      <c r="L1368" s="43"/>
      <c r="M1368" s="43"/>
      <c r="N1368" s="43"/>
      <c r="O1368" s="43"/>
      <c r="P1368" s="43"/>
      <c r="Q1368" s="43"/>
      <c r="R1368" s="43"/>
      <c r="S1368" s="43"/>
    </row>
    <row r="1369" spans="8:19">
      <c r="H1369" s="43"/>
      <c r="I1369" s="43"/>
      <c r="J1369" s="43"/>
      <c r="K1369" s="43"/>
      <c r="L1369" s="43"/>
      <c r="M1369" s="43"/>
      <c r="N1369" s="43"/>
      <c r="O1369" s="43"/>
      <c r="P1369" s="43"/>
      <c r="Q1369" s="43"/>
      <c r="R1369" s="43"/>
      <c r="S1369" s="43"/>
    </row>
    <row r="1370" spans="8:19">
      <c r="H1370" s="43"/>
      <c r="I1370" s="43"/>
      <c r="J1370" s="43"/>
      <c r="K1370" s="43"/>
      <c r="L1370" s="43"/>
      <c r="M1370" s="43"/>
      <c r="N1370" s="43"/>
      <c r="O1370" s="43"/>
      <c r="P1370" s="43"/>
      <c r="Q1370" s="43"/>
      <c r="R1370" s="43"/>
      <c r="S1370" s="43"/>
    </row>
    <row r="1371" spans="8:19">
      <c r="H1371" s="43"/>
      <c r="I1371" s="43"/>
      <c r="J1371" s="43"/>
      <c r="K1371" s="43"/>
      <c r="L1371" s="43"/>
      <c r="M1371" s="43"/>
      <c r="N1371" s="43"/>
      <c r="O1371" s="43"/>
      <c r="P1371" s="43"/>
      <c r="Q1371" s="43"/>
      <c r="R1371" s="43"/>
      <c r="S1371" s="43"/>
    </row>
    <row r="1372" spans="8:19">
      <c r="H1372" s="43"/>
      <c r="I1372" s="43"/>
      <c r="J1372" s="43"/>
      <c r="K1372" s="43"/>
      <c r="L1372" s="43"/>
      <c r="M1372" s="43"/>
      <c r="N1372" s="43"/>
      <c r="O1372" s="43"/>
      <c r="P1372" s="43"/>
      <c r="Q1372" s="43"/>
      <c r="R1372" s="43"/>
      <c r="S1372" s="43"/>
    </row>
    <row r="1373" spans="8:19">
      <c r="H1373" s="43"/>
      <c r="I1373" s="43"/>
      <c r="J1373" s="43"/>
      <c r="K1373" s="43"/>
      <c r="L1373" s="43"/>
      <c r="M1373" s="43"/>
      <c r="N1373" s="43"/>
      <c r="O1373" s="43"/>
      <c r="P1373" s="43"/>
      <c r="Q1373" s="43"/>
      <c r="R1373" s="43"/>
      <c r="S1373" s="43"/>
    </row>
    <row r="1374" spans="8:19">
      <c r="H1374" s="43"/>
      <c r="I1374" s="43"/>
      <c r="J1374" s="43"/>
      <c r="K1374" s="43"/>
      <c r="L1374" s="43"/>
      <c r="M1374" s="43"/>
      <c r="N1374" s="43"/>
      <c r="O1374" s="43"/>
      <c r="P1374" s="43"/>
      <c r="Q1374" s="43"/>
      <c r="R1374" s="43"/>
      <c r="S1374" s="43"/>
    </row>
    <row r="1375" spans="8:19">
      <c r="H1375" s="43"/>
      <c r="I1375" s="43"/>
      <c r="J1375" s="43"/>
      <c r="K1375" s="43"/>
      <c r="L1375" s="43"/>
      <c r="M1375" s="43"/>
      <c r="N1375" s="43"/>
      <c r="O1375" s="43"/>
      <c r="P1375" s="43"/>
      <c r="Q1375" s="43"/>
      <c r="R1375" s="43"/>
      <c r="S1375" s="43"/>
    </row>
    <row r="1376" spans="8:19">
      <c r="H1376" s="43"/>
      <c r="I1376" s="43"/>
      <c r="J1376" s="43"/>
      <c r="K1376" s="43"/>
      <c r="L1376" s="43"/>
      <c r="M1376" s="43"/>
      <c r="N1376" s="43"/>
      <c r="O1376" s="43"/>
      <c r="P1376" s="43"/>
      <c r="Q1376" s="43"/>
      <c r="R1376" s="43"/>
      <c r="S1376" s="43"/>
    </row>
    <row r="1377" spans="8:19">
      <c r="H1377" s="43"/>
      <c r="I1377" s="43"/>
      <c r="J1377" s="43"/>
      <c r="K1377" s="43"/>
      <c r="L1377" s="43"/>
      <c r="M1377" s="43"/>
      <c r="N1377" s="43"/>
      <c r="O1377" s="43"/>
      <c r="P1377" s="43"/>
      <c r="Q1377" s="43"/>
      <c r="R1377" s="43"/>
      <c r="S1377" s="43"/>
    </row>
    <row r="1378" spans="8:19">
      <c r="H1378" s="43"/>
      <c r="I1378" s="43"/>
      <c r="J1378" s="43"/>
      <c r="K1378" s="43"/>
      <c r="L1378" s="43"/>
      <c r="M1378" s="43"/>
      <c r="N1378" s="43"/>
      <c r="O1378" s="43"/>
      <c r="P1378" s="43"/>
      <c r="Q1378" s="43"/>
      <c r="R1378" s="43"/>
      <c r="S1378" s="43"/>
    </row>
    <row r="1379" spans="8:19">
      <c r="H1379" s="43"/>
      <c r="I1379" s="43"/>
      <c r="J1379" s="43"/>
      <c r="K1379" s="43"/>
      <c r="L1379" s="43"/>
      <c r="M1379" s="43"/>
      <c r="N1379" s="43"/>
      <c r="O1379" s="43"/>
      <c r="P1379" s="43"/>
      <c r="Q1379" s="43"/>
      <c r="R1379" s="43"/>
      <c r="S1379" s="43"/>
    </row>
    <row r="1380" spans="8:19">
      <c r="H1380" s="43"/>
      <c r="I1380" s="43"/>
      <c r="J1380" s="43"/>
      <c r="K1380" s="43"/>
      <c r="L1380" s="43"/>
      <c r="M1380" s="43"/>
      <c r="N1380" s="43"/>
      <c r="O1380" s="43"/>
      <c r="P1380" s="43"/>
      <c r="Q1380" s="43"/>
      <c r="R1380" s="43"/>
      <c r="S1380" s="43"/>
    </row>
    <row r="1381" spans="8:19">
      <c r="H1381" s="43"/>
      <c r="I1381" s="43"/>
      <c r="J1381" s="43"/>
      <c r="K1381" s="43"/>
      <c r="L1381" s="43"/>
      <c r="M1381" s="43"/>
      <c r="N1381" s="43"/>
      <c r="O1381" s="43"/>
      <c r="P1381" s="43"/>
      <c r="Q1381" s="43"/>
      <c r="R1381" s="43"/>
      <c r="S1381" s="43"/>
    </row>
    <row r="1382" spans="8:19">
      <c r="H1382" s="43"/>
      <c r="I1382" s="43"/>
      <c r="J1382" s="43"/>
      <c r="K1382" s="43"/>
      <c r="L1382" s="43"/>
      <c r="M1382" s="43"/>
      <c r="N1382" s="43"/>
      <c r="O1382" s="43"/>
      <c r="P1382" s="43"/>
      <c r="Q1382" s="43"/>
      <c r="R1382" s="43"/>
      <c r="S1382" s="43"/>
    </row>
    <row r="1383" spans="8:19">
      <c r="H1383" s="43"/>
      <c r="I1383" s="43"/>
      <c r="J1383" s="43"/>
      <c r="K1383" s="43"/>
      <c r="L1383" s="43"/>
      <c r="M1383" s="43"/>
      <c r="N1383" s="43"/>
      <c r="O1383" s="43"/>
      <c r="P1383" s="43"/>
      <c r="Q1383" s="43"/>
      <c r="R1383" s="43"/>
      <c r="S1383" s="43"/>
    </row>
    <row r="1384" spans="8:19">
      <c r="H1384" s="43"/>
      <c r="I1384" s="43"/>
      <c r="J1384" s="43"/>
      <c r="K1384" s="43"/>
      <c r="L1384" s="43"/>
      <c r="M1384" s="43"/>
      <c r="N1384" s="43"/>
      <c r="O1384" s="43"/>
      <c r="P1384" s="43"/>
      <c r="Q1384" s="43"/>
      <c r="R1384" s="43"/>
      <c r="S1384" s="43"/>
    </row>
    <row r="1385" spans="8:19">
      <c r="H1385" s="43"/>
      <c r="I1385" s="43"/>
      <c r="J1385" s="43"/>
      <c r="K1385" s="43"/>
      <c r="L1385" s="43"/>
      <c r="M1385" s="43"/>
      <c r="N1385" s="43"/>
      <c r="O1385" s="43"/>
      <c r="P1385" s="43"/>
      <c r="Q1385" s="43"/>
      <c r="R1385" s="43"/>
      <c r="S1385" s="43"/>
    </row>
    <row r="1386" spans="8:19">
      <c r="H1386" s="43"/>
      <c r="I1386" s="43"/>
      <c r="J1386" s="43"/>
      <c r="K1386" s="43"/>
      <c r="L1386" s="43"/>
      <c r="M1386" s="43"/>
      <c r="N1386" s="43"/>
      <c r="O1386" s="43"/>
      <c r="P1386" s="43"/>
      <c r="Q1386" s="43"/>
      <c r="R1386" s="43"/>
      <c r="S1386" s="43"/>
    </row>
    <row r="1387" spans="8:19">
      <c r="H1387" s="43"/>
      <c r="I1387" s="43"/>
      <c r="J1387" s="43"/>
      <c r="K1387" s="43"/>
      <c r="L1387" s="43"/>
      <c r="M1387" s="43"/>
      <c r="N1387" s="43"/>
      <c r="O1387" s="43"/>
      <c r="P1387" s="43"/>
      <c r="Q1387" s="43"/>
      <c r="R1387" s="43"/>
      <c r="S1387" s="43"/>
    </row>
    <row r="1388" spans="8:19">
      <c r="H1388" s="43"/>
      <c r="I1388" s="43"/>
      <c r="J1388" s="43"/>
      <c r="K1388" s="43"/>
      <c r="L1388" s="43"/>
      <c r="M1388" s="43"/>
      <c r="N1388" s="43"/>
      <c r="O1388" s="43"/>
      <c r="P1388" s="43"/>
      <c r="Q1388" s="43"/>
      <c r="R1388" s="43"/>
      <c r="S1388" s="43"/>
    </row>
    <row r="1389" spans="8:19">
      <c r="H1389" s="43"/>
      <c r="I1389" s="43"/>
      <c r="J1389" s="43"/>
      <c r="K1389" s="43"/>
      <c r="L1389" s="43"/>
      <c r="M1389" s="43"/>
      <c r="N1389" s="43"/>
      <c r="O1389" s="43"/>
      <c r="P1389" s="43"/>
      <c r="Q1389" s="43"/>
      <c r="R1389" s="43"/>
      <c r="S1389" s="43"/>
    </row>
    <row r="1390" spans="8:19">
      <c r="H1390" s="43"/>
      <c r="I1390" s="43"/>
      <c r="J1390" s="43"/>
      <c r="K1390" s="43"/>
      <c r="L1390" s="43"/>
      <c r="M1390" s="43"/>
      <c r="N1390" s="43"/>
      <c r="O1390" s="43"/>
      <c r="P1390" s="43"/>
      <c r="Q1390" s="43"/>
      <c r="R1390" s="43"/>
      <c r="S1390" s="43"/>
    </row>
    <row r="1391" spans="8:19">
      <c r="H1391" s="43"/>
      <c r="I1391" s="43"/>
      <c r="J1391" s="43"/>
      <c r="K1391" s="43"/>
      <c r="L1391" s="43"/>
      <c r="M1391" s="43"/>
      <c r="N1391" s="43"/>
      <c r="O1391" s="43"/>
      <c r="P1391" s="43"/>
      <c r="Q1391" s="43"/>
      <c r="R1391" s="43"/>
      <c r="S1391" s="43"/>
    </row>
    <row r="1392" spans="8:19">
      <c r="H1392" s="43"/>
      <c r="I1392" s="43"/>
      <c r="J1392" s="43"/>
      <c r="K1392" s="43"/>
      <c r="L1392" s="43"/>
      <c r="M1392" s="43"/>
      <c r="N1392" s="43"/>
      <c r="O1392" s="43"/>
      <c r="P1392" s="43"/>
      <c r="Q1392" s="43"/>
      <c r="R1392" s="43"/>
      <c r="S1392" s="43"/>
    </row>
    <row r="1393" spans="8:19">
      <c r="H1393" s="43"/>
      <c r="I1393" s="43"/>
      <c r="J1393" s="43"/>
      <c r="K1393" s="43"/>
      <c r="L1393" s="43"/>
      <c r="M1393" s="43"/>
      <c r="N1393" s="43"/>
      <c r="O1393" s="43"/>
      <c r="P1393" s="43"/>
      <c r="Q1393" s="43"/>
      <c r="R1393" s="43"/>
      <c r="S1393" s="43"/>
    </row>
    <row r="1394" spans="8:19">
      <c r="H1394" s="43"/>
      <c r="I1394" s="43"/>
      <c r="J1394" s="43"/>
      <c r="K1394" s="43"/>
      <c r="L1394" s="43"/>
      <c r="M1394" s="43"/>
      <c r="N1394" s="43"/>
      <c r="O1394" s="43"/>
      <c r="P1394" s="43"/>
      <c r="Q1394" s="43"/>
      <c r="R1394" s="43"/>
      <c r="S1394" s="43"/>
    </row>
    <row r="1395" spans="8:19">
      <c r="H1395" s="43"/>
      <c r="I1395" s="43"/>
      <c r="J1395" s="43"/>
      <c r="K1395" s="43"/>
      <c r="L1395" s="43"/>
      <c r="M1395" s="43"/>
      <c r="N1395" s="43"/>
      <c r="O1395" s="43"/>
      <c r="P1395" s="43"/>
      <c r="Q1395" s="43"/>
      <c r="R1395" s="43"/>
      <c r="S1395" s="43"/>
    </row>
    <row r="1396" spans="8:19">
      <c r="H1396" s="43"/>
      <c r="I1396" s="43"/>
      <c r="J1396" s="43"/>
      <c r="K1396" s="43"/>
      <c r="L1396" s="43"/>
      <c r="M1396" s="43"/>
      <c r="N1396" s="43"/>
      <c r="O1396" s="43"/>
      <c r="P1396" s="43"/>
      <c r="Q1396" s="43"/>
      <c r="R1396" s="43"/>
      <c r="S1396" s="43"/>
    </row>
    <row r="1397" spans="8:19">
      <c r="H1397" s="43"/>
      <c r="I1397" s="43"/>
      <c r="J1397" s="43"/>
      <c r="K1397" s="43"/>
      <c r="L1397" s="43"/>
      <c r="M1397" s="43"/>
      <c r="N1397" s="43"/>
      <c r="O1397" s="43"/>
      <c r="P1397" s="43"/>
      <c r="Q1397" s="43"/>
      <c r="R1397" s="43"/>
      <c r="S1397" s="43"/>
    </row>
    <row r="1398" spans="8:19">
      <c r="H1398" s="43"/>
      <c r="I1398" s="43"/>
      <c r="J1398" s="43"/>
      <c r="K1398" s="43"/>
      <c r="L1398" s="43"/>
      <c r="M1398" s="43"/>
      <c r="N1398" s="43"/>
      <c r="O1398" s="43"/>
      <c r="P1398" s="43"/>
      <c r="Q1398" s="43"/>
      <c r="R1398" s="43"/>
      <c r="S1398" s="43"/>
    </row>
    <row r="1399" spans="8:19">
      <c r="H1399" s="43"/>
      <c r="I1399" s="43"/>
      <c r="J1399" s="43"/>
      <c r="K1399" s="43"/>
      <c r="L1399" s="43"/>
      <c r="M1399" s="43"/>
      <c r="N1399" s="43"/>
      <c r="O1399" s="43"/>
      <c r="P1399" s="43"/>
      <c r="Q1399" s="43"/>
      <c r="R1399" s="43"/>
      <c r="S1399" s="43"/>
    </row>
    <row r="1400" spans="8:19">
      <c r="H1400" s="43"/>
      <c r="I1400" s="43"/>
      <c r="J1400" s="43"/>
      <c r="K1400" s="43"/>
      <c r="L1400" s="43"/>
      <c r="M1400" s="43"/>
      <c r="N1400" s="43"/>
      <c r="O1400" s="43"/>
      <c r="P1400" s="43"/>
      <c r="Q1400" s="43"/>
      <c r="R1400" s="43"/>
      <c r="S1400" s="43"/>
    </row>
    <row r="1401" spans="8:19">
      <c r="H1401" s="43"/>
      <c r="I1401" s="43"/>
      <c r="J1401" s="43"/>
      <c r="K1401" s="43"/>
      <c r="L1401" s="43"/>
      <c r="M1401" s="43"/>
      <c r="N1401" s="43"/>
      <c r="O1401" s="43"/>
      <c r="P1401" s="43"/>
      <c r="Q1401" s="43"/>
      <c r="R1401" s="43"/>
      <c r="S1401" s="43"/>
    </row>
    <row r="1402" spans="8:19">
      <c r="H1402" s="43"/>
      <c r="I1402" s="43"/>
      <c r="J1402" s="43"/>
      <c r="K1402" s="43"/>
      <c r="L1402" s="43"/>
      <c r="M1402" s="43"/>
      <c r="N1402" s="43"/>
      <c r="O1402" s="43"/>
      <c r="P1402" s="43"/>
      <c r="Q1402" s="43"/>
      <c r="R1402" s="43"/>
      <c r="S1402" s="43"/>
    </row>
    <row r="1403" spans="8:19">
      <c r="H1403" s="43"/>
      <c r="I1403" s="43"/>
      <c r="J1403" s="43"/>
      <c r="K1403" s="43"/>
      <c r="L1403" s="43"/>
      <c r="M1403" s="43"/>
      <c r="N1403" s="43"/>
      <c r="O1403" s="43"/>
      <c r="P1403" s="43"/>
      <c r="Q1403" s="43"/>
      <c r="R1403" s="43"/>
      <c r="S1403" s="43"/>
    </row>
    <row r="1404" spans="8:19">
      <c r="H1404" s="43"/>
      <c r="I1404" s="43"/>
      <c r="J1404" s="43"/>
      <c r="K1404" s="43"/>
      <c r="L1404" s="43"/>
      <c r="M1404" s="43"/>
      <c r="N1404" s="43"/>
      <c r="O1404" s="43"/>
      <c r="P1404" s="43"/>
      <c r="Q1404" s="43"/>
      <c r="R1404" s="43"/>
      <c r="S1404" s="43"/>
    </row>
    <row r="1405" spans="8:19">
      <c r="H1405" s="43"/>
      <c r="I1405" s="43"/>
      <c r="J1405" s="43"/>
      <c r="K1405" s="43"/>
      <c r="L1405" s="43"/>
      <c r="M1405" s="43"/>
      <c r="N1405" s="43"/>
      <c r="O1405" s="43"/>
      <c r="P1405" s="43"/>
      <c r="Q1405" s="43"/>
      <c r="R1405" s="43"/>
      <c r="S1405" s="43"/>
    </row>
    <row r="1406" spans="8:19">
      <c r="H1406" s="43"/>
      <c r="I1406" s="43"/>
      <c r="J1406" s="43"/>
      <c r="K1406" s="43"/>
      <c r="L1406" s="43"/>
      <c r="M1406" s="43"/>
      <c r="N1406" s="43"/>
      <c r="O1406" s="43"/>
      <c r="P1406" s="43"/>
      <c r="Q1406" s="43"/>
      <c r="R1406" s="43"/>
      <c r="S1406" s="43"/>
    </row>
    <row r="1407" spans="8:19">
      <c r="H1407" s="43"/>
      <c r="I1407" s="43"/>
      <c r="J1407" s="43"/>
      <c r="K1407" s="43"/>
      <c r="L1407" s="43"/>
      <c r="M1407" s="43"/>
      <c r="N1407" s="43"/>
      <c r="O1407" s="43"/>
      <c r="P1407" s="43"/>
      <c r="Q1407" s="43"/>
      <c r="R1407" s="43"/>
      <c r="S1407" s="43"/>
    </row>
    <row r="1408" spans="8:19">
      <c r="H1408" s="43"/>
      <c r="I1408" s="43"/>
      <c r="J1408" s="43"/>
      <c r="K1408" s="43"/>
      <c r="L1408" s="43"/>
      <c r="M1408" s="43"/>
      <c r="N1408" s="43"/>
      <c r="O1408" s="43"/>
      <c r="P1408" s="43"/>
      <c r="Q1408" s="43"/>
      <c r="R1408" s="43"/>
      <c r="S1408" s="43"/>
    </row>
    <row r="1409" spans="8:19">
      <c r="H1409" s="43"/>
      <c r="I1409" s="43"/>
      <c r="J1409" s="43"/>
      <c r="K1409" s="43"/>
      <c r="L1409" s="43"/>
      <c r="M1409" s="43"/>
      <c r="N1409" s="43"/>
      <c r="O1409" s="43"/>
      <c r="P1409" s="43"/>
      <c r="Q1409" s="43"/>
      <c r="R1409" s="43"/>
      <c r="S1409" s="43"/>
    </row>
    <row r="1410" spans="8:19">
      <c r="H1410" s="43"/>
      <c r="I1410" s="43"/>
      <c r="J1410" s="43"/>
      <c r="K1410" s="43"/>
      <c r="L1410" s="43"/>
      <c r="M1410" s="43"/>
      <c r="N1410" s="43"/>
      <c r="O1410" s="43"/>
      <c r="P1410" s="43"/>
      <c r="Q1410" s="43"/>
      <c r="R1410" s="43"/>
      <c r="S1410" s="43"/>
    </row>
    <row r="1411" spans="8:19">
      <c r="H1411" s="43"/>
      <c r="I1411" s="43"/>
      <c r="J1411" s="43"/>
      <c r="K1411" s="43"/>
      <c r="L1411" s="43"/>
      <c r="M1411" s="43"/>
      <c r="N1411" s="43"/>
      <c r="O1411" s="43"/>
      <c r="P1411" s="43"/>
      <c r="Q1411" s="43"/>
      <c r="R1411" s="43"/>
      <c r="S1411" s="43"/>
    </row>
    <row r="1412" spans="8:19">
      <c r="H1412" s="43"/>
      <c r="I1412" s="43"/>
      <c r="J1412" s="43"/>
      <c r="K1412" s="43"/>
      <c r="L1412" s="43"/>
      <c r="M1412" s="43"/>
      <c r="N1412" s="43"/>
      <c r="O1412" s="43"/>
      <c r="P1412" s="43"/>
      <c r="Q1412" s="43"/>
      <c r="R1412" s="43"/>
      <c r="S1412" s="43"/>
    </row>
    <row r="1413" spans="8:19">
      <c r="H1413" s="43"/>
      <c r="I1413" s="43"/>
      <c r="J1413" s="43"/>
      <c r="K1413" s="43"/>
      <c r="L1413" s="43"/>
      <c r="M1413" s="43"/>
      <c r="N1413" s="43"/>
      <c r="O1413" s="43"/>
      <c r="P1413" s="43"/>
      <c r="Q1413" s="43"/>
      <c r="R1413" s="43"/>
      <c r="S1413" s="43"/>
    </row>
    <row r="1414" spans="8:19">
      <c r="H1414" s="43"/>
      <c r="I1414" s="43"/>
      <c r="J1414" s="43"/>
      <c r="K1414" s="43"/>
      <c r="L1414" s="43"/>
      <c r="M1414" s="43"/>
      <c r="N1414" s="43"/>
      <c r="O1414" s="43"/>
      <c r="P1414" s="43"/>
      <c r="Q1414" s="43"/>
      <c r="R1414" s="43"/>
      <c r="S1414" s="43"/>
    </row>
    <row r="1415" spans="8:19">
      <c r="H1415" s="43"/>
      <c r="I1415" s="43"/>
      <c r="J1415" s="43"/>
      <c r="K1415" s="43"/>
      <c r="L1415" s="43"/>
      <c r="M1415" s="43"/>
      <c r="N1415" s="43"/>
      <c r="O1415" s="43"/>
      <c r="P1415" s="43"/>
      <c r="Q1415" s="43"/>
      <c r="R1415" s="43"/>
      <c r="S1415" s="43"/>
    </row>
    <row r="1416" spans="8:19">
      <c r="H1416" s="43"/>
      <c r="I1416" s="43"/>
      <c r="J1416" s="43"/>
      <c r="K1416" s="43"/>
      <c r="L1416" s="43"/>
      <c r="M1416" s="43"/>
      <c r="N1416" s="43"/>
      <c r="O1416" s="43"/>
      <c r="P1416" s="43"/>
      <c r="Q1416" s="43"/>
      <c r="R1416" s="43"/>
      <c r="S1416" s="43"/>
    </row>
    <row r="1417" spans="8:19">
      <c r="H1417" s="43"/>
      <c r="I1417" s="43"/>
      <c r="J1417" s="43"/>
      <c r="K1417" s="43"/>
      <c r="L1417" s="43"/>
      <c r="M1417" s="43"/>
      <c r="N1417" s="43"/>
      <c r="O1417" s="43"/>
      <c r="P1417" s="43"/>
      <c r="Q1417" s="43"/>
      <c r="R1417" s="43"/>
      <c r="S1417" s="43"/>
    </row>
    <row r="1418" spans="8:19">
      <c r="H1418" s="43"/>
      <c r="I1418" s="43"/>
      <c r="J1418" s="43"/>
      <c r="K1418" s="43"/>
      <c r="L1418" s="43"/>
      <c r="M1418" s="43"/>
      <c r="N1418" s="43"/>
      <c r="O1418" s="43"/>
      <c r="P1418" s="43"/>
      <c r="Q1418" s="43"/>
      <c r="R1418" s="43"/>
      <c r="S1418" s="43"/>
    </row>
    <row r="1419" spans="8:19">
      <c r="H1419" s="43"/>
      <c r="I1419" s="43"/>
      <c r="J1419" s="43"/>
      <c r="K1419" s="43"/>
      <c r="L1419" s="43"/>
      <c r="M1419" s="43"/>
      <c r="N1419" s="43"/>
      <c r="O1419" s="43"/>
      <c r="P1419" s="43"/>
      <c r="Q1419" s="43"/>
      <c r="R1419" s="43"/>
      <c r="S1419" s="43"/>
    </row>
    <row r="1420" spans="8:19">
      <c r="H1420" s="43"/>
      <c r="I1420" s="43"/>
      <c r="J1420" s="43"/>
      <c r="K1420" s="43"/>
      <c r="L1420" s="43"/>
      <c r="M1420" s="43"/>
      <c r="N1420" s="43"/>
      <c r="O1420" s="43"/>
      <c r="P1420" s="43"/>
      <c r="Q1420" s="43"/>
      <c r="R1420" s="43"/>
      <c r="S1420" s="43"/>
    </row>
    <row r="1421" spans="8:19">
      <c r="H1421" s="43"/>
      <c r="I1421" s="43"/>
      <c r="J1421" s="43"/>
      <c r="K1421" s="43"/>
      <c r="L1421" s="43"/>
      <c r="M1421" s="43"/>
      <c r="N1421" s="43"/>
      <c r="O1421" s="43"/>
      <c r="P1421" s="43"/>
      <c r="Q1421" s="43"/>
      <c r="R1421" s="43"/>
      <c r="S1421" s="43"/>
    </row>
    <row r="1422" spans="8:19">
      <c r="H1422" s="43"/>
      <c r="I1422" s="43"/>
      <c r="J1422" s="43"/>
      <c r="K1422" s="43"/>
      <c r="L1422" s="43"/>
      <c r="M1422" s="43"/>
      <c r="N1422" s="43"/>
      <c r="O1422" s="43"/>
      <c r="P1422" s="43"/>
      <c r="Q1422" s="43"/>
      <c r="R1422" s="43"/>
      <c r="S1422" s="43"/>
    </row>
    <row r="1423" spans="8:19">
      <c r="H1423" s="43"/>
      <c r="I1423" s="43"/>
      <c r="J1423" s="43"/>
      <c r="K1423" s="43"/>
      <c r="L1423" s="43"/>
      <c r="M1423" s="43"/>
      <c r="N1423" s="43"/>
      <c r="O1423" s="43"/>
      <c r="P1423" s="43"/>
      <c r="Q1423" s="43"/>
      <c r="R1423" s="43"/>
      <c r="S1423" s="43"/>
    </row>
    <row r="1424" spans="8:19">
      <c r="H1424" s="43"/>
      <c r="I1424" s="43"/>
      <c r="J1424" s="43"/>
      <c r="K1424" s="43"/>
      <c r="L1424" s="43"/>
      <c r="M1424" s="43"/>
      <c r="N1424" s="43"/>
      <c r="O1424" s="43"/>
      <c r="P1424" s="43"/>
      <c r="Q1424" s="43"/>
      <c r="R1424" s="43"/>
      <c r="S1424" s="43"/>
    </row>
    <row r="1425" spans="8:19">
      <c r="H1425" s="43"/>
      <c r="I1425" s="43"/>
      <c r="J1425" s="43"/>
      <c r="K1425" s="43"/>
      <c r="L1425" s="43"/>
      <c r="M1425" s="43"/>
      <c r="N1425" s="43"/>
      <c r="O1425" s="43"/>
      <c r="P1425" s="43"/>
      <c r="Q1425" s="43"/>
      <c r="R1425" s="43"/>
      <c r="S1425" s="43"/>
    </row>
    <row r="1426" spans="8:19">
      <c r="H1426" s="43"/>
      <c r="I1426" s="43"/>
      <c r="J1426" s="43"/>
      <c r="K1426" s="43"/>
      <c r="L1426" s="43"/>
      <c r="M1426" s="43"/>
      <c r="N1426" s="43"/>
      <c r="O1426" s="43"/>
      <c r="P1426" s="43"/>
      <c r="Q1426" s="43"/>
      <c r="R1426" s="43"/>
      <c r="S1426" s="43"/>
    </row>
    <row r="1427" spans="8:19">
      <c r="H1427" s="43"/>
      <c r="I1427" s="43"/>
      <c r="J1427" s="43"/>
      <c r="K1427" s="43"/>
      <c r="L1427" s="43"/>
      <c r="M1427" s="43"/>
      <c r="N1427" s="43"/>
      <c r="O1427" s="43"/>
      <c r="P1427" s="43"/>
      <c r="Q1427" s="43"/>
      <c r="R1427" s="43"/>
      <c r="S1427" s="43"/>
    </row>
    <row r="1428" spans="8:19">
      <c r="H1428" s="43"/>
      <c r="I1428" s="43"/>
      <c r="J1428" s="43"/>
      <c r="K1428" s="43"/>
      <c r="L1428" s="43"/>
      <c r="M1428" s="43"/>
      <c r="N1428" s="43"/>
      <c r="O1428" s="43"/>
      <c r="P1428" s="43"/>
      <c r="Q1428" s="43"/>
      <c r="R1428" s="43"/>
      <c r="S1428" s="43"/>
    </row>
    <row r="1429" spans="8:19">
      <c r="H1429" s="43"/>
      <c r="I1429" s="43"/>
      <c r="J1429" s="43"/>
      <c r="K1429" s="43"/>
      <c r="L1429" s="43"/>
      <c r="M1429" s="43"/>
      <c r="N1429" s="43"/>
      <c r="O1429" s="43"/>
      <c r="P1429" s="43"/>
      <c r="Q1429" s="43"/>
      <c r="R1429" s="43"/>
      <c r="S1429" s="43"/>
    </row>
    <row r="1430" spans="8:19">
      <c r="H1430" s="43"/>
      <c r="I1430" s="43"/>
      <c r="J1430" s="43"/>
      <c r="K1430" s="43"/>
      <c r="L1430" s="43"/>
      <c r="M1430" s="43"/>
      <c r="N1430" s="43"/>
      <c r="O1430" s="43"/>
      <c r="P1430" s="43"/>
      <c r="Q1430" s="43"/>
      <c r="R1430" s="43"/>
      <c r="S1430" s="43"/>
    </row>
    <row r="1431" spans="8:19">
      <c r="H1431" s="43"/>
      <c r="I1431" s="43"/>
      <c r="J1431" s="43"/>
      <c r="K1431" s="43"/>
      <c r="L1431" s="43"/>
      <c r="M1431" s="43"/>
      <c r="N1431" s="43"/>
      <c r="O1431" s="43"/>
      <c r="P1431" s="43"/>
      <c r="Q1431" s="43"/>
      <c r="R1431" s="43"/>
      <c r="S1431" s="43"/>
    </row>
    <row r="1432" spans="8:19">
      <c r="H1432" s="43"/>
      <c r="I1432" s="43"/>
      <c r="J1432" s="43"/>
      <c r="K1432" s="43"/>
      <c r="L1432" s="43"/>
      <c r="M1432" s="43"/>
      <c r="N1432" s="43"/>
      <c r="O1432" s="43"/>
      <c r="P1432" s="43"/>
      <c r="Q1432" s="43"/>
      <c r="R1432" s="43"/>
      <c r="S1432" s="43"/>
    </row>
    <row r="1433" spans="8:19">
      <c r="H1433" s="43"/>
      <c r="I1433" s="43"/>
      <c r="J1433" s="43"/>
      <c r="K1433" s="43"/>
      <c r="L1433" s="43"/>
      <c r="M1433" s="43"/>
      <c r="N1433" s="43"/>
      <c r="O1433" s="43"/>
      <c r="P1433" s="43"/>
      <c r="Q1433" s="43"/>
      <c r="R1433" s="43"/>
      <c r="S1433" s="43"/>
    </row>
    <row r="1434" spans="8:19">
      <c r="H1434" s="43"/>
      <c r="I1434" s="43"/>
      <c r="J1434" s="43"/>
      <c r="K1434" s="43"/>
      <c r="L1434" s="43"/>
      <c r="M1434" s="43"/>
      <c r="N1434" s="43"/>
      <c r="O1434" s="43"/>
      <c r="P1434" s="43"/>
      <c r="Q1434" s="43"/>
      <c r="R1434" s="43"/>
      <c r="S1434" s="43"/>
    </row>
    <row r="1435" spans="8:19">
      <c r="H1435" s="43"/>
      <c r="I1435" s="43"/>
      <c r="J1435" s="43"/>
      <c r="K1435" s="43"/>
      <c r="L1435" s="43"/>
      <c r="M1435" s="43"/>
      <c r="N1435" s="43"/>
      <c r="O1435" s="43"/>
      <c r="P1435" s="43"/>
      <c r="Q1435" s="43"/>
      <c r="R1435" s="43"/>
      <c r="S1435" s="43"/>
    </row>
    <row r="1436" spans="8:19">
      <c r="H1436" s="43"/>
      <c r="I1436" s="43"/>
      <c r="J1436" s="43"/>
      <c r="K1436" s="43"/>
      <c r="L1436" s="43"/>
      <c r="M1436" s="43"/>
      <c r="N1436" s="43"/>
      <c r="O1436" s="43"/>
      <c r="P1436" s="43"/>
      <c r="Q1436" s="43"/>
      <c r="R1436" s="43"/>
      <c r="S1436" s="43"/>
    </row>
    <row r="1437" spans="8:19">
      <c r="H1437" s="43"/>
      <c r="I1437" s="43"/>
      <c r="J1437" s="43"/>
      <c r="K1437" s="43"/>
      <c r="L1437" s="43"/>
      <c r="M1437" s="43"/>
      <c r="N1437" s="43"/>
      <c r="O1437" s="43"/>
      <c r="P1437" s="43"/>
      <c r="Q1437" s="43"/>
      <c r="R1437" s="43"/>
      <c r="S1437" s="43"/>
    </row>
    <row r="1438" spans="8:19">
      <c r="H1438" s="43"/>
      <c r="I1438" s="43"/>
      <c r="J1438" s="43"/>
      <c r="K1438" s="43"/>
      <c r="L1438" s="43"/>
      <c r="M1438" s="43"/>
      <c r="N1438" s="43"/>
      <c r="O1438" s="43"/>
      <c r="P1438" s="43"/>
      <c r="Q1438" s="43"/>
      <c r="R1438" s="43"/>
      <c r="S1438" s="43"/>
    </row>
    <row r="1439" spans="8:19">
      <c r="H1439" s="43"/>
      <c r="I1439" s="43"/>
      <c r="J1439" s="43"/>
      <c r="K1439" s="43"/>
      <c r="L1439" s="43"/>
      <c r="M1439" s="43"/>
      <c r="N1439" s="43"/>
      <c r="O1439" s="43"/>
      <c r="P1439" s="43"/>
      <c r="Q1439" s="43"/>
      <c r="R1439" s="43"/>
      <c r="S1439" s="43"/>
    </row>
    <row r="1440" spans="8:19">
      <c r="H1440" s="43"/>
      <c r="I1440" s="43"/>
      <c r="J1440" s="43"/>
      <c r="K1440" s="43"/>
      <c r="L1440" s="43"/>
      <c r="M1440" s="43"/>
      <c r="N1440" s="43"/>
      <c r="O1440" s="43"/>
      <c r="P1440" s="43"/>
      <c r="Q1440" s="43"/>
      <c r="R1440" s="43"/>
      <c r="S1440" s="43"/>
    </row>
    <row r="1441" spans="8:19">
      <c r="H1441" s="43"/>
      <c r="I1441" s="43"/>
      <c r="J1441" s="43"/>
      <c r="K1441" s="43"/>
      <c r="L1441" s="43"/>
      <c r="M1441" s="43"/>
      <c r="N1441" s="43"/>
      <c r="O1441" s="43"/>
      <c r="P1441" s="43"/>
      <c r="Q1441" s="43"/>
      <c r="R1441" s="43"/>
      <c r="S1441" s="43"/>
    </row>
    <row r="1442" spans="8:19">
      <c r="H1442" s="43"/>
      <c r="I1442" s="43"/>
      <c r="J1442" s="43"/>
      <c r="K1442" s="43"/>
      <c r="L1442" s="43"/>
      <c r="M1442" s="43"/>
      <c r="N1442" s="43"/>
      <c r="O1442" s="43"/>
      <c r="P1442" s="43"/>
      <c r="Q1442" s="43"/>
      <c r="R1442" s="43"/>
      <c r="S1442" s="43"/>
    </row>
    <row r="1443" spans="8:19">
      <c r="H1443" s="43"/>
      <c r="I1443" s="43"/>
      <c r="J1443" s="43"/>
      <c r="K1443" s="43"/>
      <c r="L1443" s="43"/>
      <c r="M1443" s="43"/>
      <c r="N1443" s="43"/>
      <c r="O1443" s="43"/>
      <c r="P1443" s="43"/>
      <c r="Q1443" s="43"/>
      <c r="R1443" s="43"/>
      <c r="S1443" s="43"/>
    </row>
    <row r="1444" spans="8:19">
      <c r="H1444" s="43"/>
      <c r="I1444" s="43"/>
      <c r="J1444" s="43"/>
      <c r="K1444" s="43"/>
      <c r="L1444" s="43"/>
      <c r="M1444" s="43"/>
      <c r="N1444" s="43"/>
      <c r="O1444" s="43"/>
      <c r="P1444" s="43"/>
      <c r="Q1444" s="43"/>
      <c r="R1444" s="43"/>
      <c r="S1444" s="43"/>
    </row>
    <row r="1445" spans="8:19">
      <c r="H1445" s="43"/>
      <c r="I1445" s="43"/>
      <c r="J1445" s="43"/>
      <c r="K1445" s="43"/>
      <c r="L1445" s="43"/>
      <c r="M1445" s="43"/>
      <c r="N1445" s="43"/>
      <c r="O1445" s="43"/>
      <c r="P1445" s="43"/>
      <c r="Q1445" s="43"/>
      <c r="R1445" s="43"/>
      <c r="S1445" s="43"/>
    </row>
    <row r="1446" spans="8:19">
      <c r="H1446" s="43"/>
      <c r="I1446" s="43"/>
      <c r="J1446" s="43"/>
      <c r="K1446" s="43"/>
      <c r="L1446" s="43"/>
      <c r="M1446" s="43"/>
      <c r="N1446" s="43"/>
      <c r="O1446" s="43"/>
      <c r="P1446" s="43"/>
      <c r="Q1446" s="43"/>
      <c r="R1446" s="43"/>
      <c r="S1446" s="43"/>
    </row>
    <row r="1447" spans="8:19">
      <c r="H1447" s="43"/>
      <c r="I1447" s="43"/>
      <c r="J1447" s="43"/>
      <c r="K1447" s="43"/>
      <c r="L1447" s="43"/>
      <c r="M1447" s="43"/>
      <c r="N1447" s="43"/>
      <c r="O1447" s="43"/>
      <c r="P1447" s="43"/>
      <c r="Q1447" s="43"/>
      <c r="R1447" s="43"/>
      <c r="S1447" s="43"/>
    </row>
    <row r="1448" spans="8:19">
      <c r="H1448" s="43"/>
      <c r="I1448" s="43"/>
      <c r="J1448" s="43"/>
      <c r="K1448" s="43"/>
      <c r="L1448" s="43"/>
      <c r="M1448" s="43"/>
      <c r="N1448" s="43"/>
      <c r="O1448" s="43"/>
      <c r="P1448" s="43"/>
      <c r="Q1448" s="43"/>
      <c r="R1448" s="43"/>
      <c r="S1448" s="43"/>
    </row>
    <row r="1449" spans="8:19">
      <c r="H1449" s="43"/>
      <c r="I1449" s="43"/>
      <c r="J1449" s="43"/>
      <c r="K1449" s="43"/>
      <c r="L1449" s="43"/>
      <c r="M1449" s="43"/>
      <c r="N1449" s="43"/>
      <c r="O1449" s="43"/>
      <c r="P1449" s="43"/>
      <c r="Q1449" s="43"/>
      <c r="R1449" s="43"/>
      <c r="S1449" s="43"/>
    </row>
    <row r="1450" spans="8:19">
      <c r="H1450" s="43"/>
      <c r="I1450" s="43"/>
      <c r="J1450" s="43"/>
      <c r="K1450" s="43"/>
      <c r="L1450" s="43"/>
      <c r="M1450" s="43"/>
      <c r="N1450" s="43"/>
      <c r="O1450" s="43"/>
      <c r="P1450" s="43"/>
      <c r="Q1450" s="43"/>
      <c r="R1450" s="43"/>
      <c r="S1450" s="43"/>
    </row>
    <row r="1451" spans="8:19">
      <c r="H1451" s="43"/>
      <c r="I1451" s="43"/>
      <c r="J1451" s="43"/>
      <c r="K1451" s="43"/>
      <c r="L1451" s="43"/>
      <c r="M1451" s="43"/>
      <c r="N1451" s="43"/>
      <c r="O1451" s="43"/>
      <c r="P1451" s="43"/>
      <c r="Q1451" s="43"/>
      <c r="R1451" s="43"/>
      <c r="S1451" s="43"/>
    </row>
    <row r="1452" spans="8:19">
      <c r="H1452" s="43"/>
      <c r="I1452" s="43"/>
      <c r="J1452" s="43"/>
      <c r="K1452" s="43"/>
      <c r="L1452" s="43"/>
      <c r="M1452" s="43"/>
      <c r="N1452" s="43"/>
      <c r="O1452" s="43"/>
      <c r="P1452" s="43"/>
      <c r="Q1452" s="43"/>
      <c r="R1452" s="43"/>
      <c r="S1452" s="43"/>
    </row>
    <row r="1453" spans="8:19">
      <c r="H1453" s="43"/>
      <c r="I1453" s="43"/>
      <c r="J1453" s="43"/>
      <c r="K1453" s="43"/>
      <c r="L1453" s="43"/>
      <c r="M1453" s="43"/>
      <c r="N1453" s="43"/>
      <c r="O1453" s="43"/>
      <c r="P1453" s="43"/>
      <c r="Q1453" s="43"/>
      <c r="R1453" s="43"/>
      <c r="S1453" s="43"/>
    </row>
    <row r="1454" spans="8:19">
      <c r="H1454" s="43"/>
      <c r="I1454" s="43"/>
      <c r="J1454" s="43"/>
      <c r="K1454" s="43"/>
      <c r="L1454" s="43"/>
      <c r="M1454" s="43"/>
      <c r="N1454" s="43"/>
      <c r="O1454" s="43"/>
      <c r="P1454" s="43"/>
      <c r="Q1454" s="43"/>
      <c r="R1454" s="43"/>
      <c r="S1454" s="43"/>
    </row>
    <row r="1455" spans="8:19">
      <c r="H1455" s="43"/>
      <c r="I1455" s="43"/>
      <c r="J1455" s="43"/>
      <c r="K1455" s="43"/>
      <c r="L1455" s="43"/>
      <c r="M1455" s="43"/>
      <c r="N1455" s="43"/>
      <c r="O1455" s="43"/>
      <c r="P1455" s="43"/>
      <c r="Q1455" s="43"/>
      <c r="R1455" s="43"/>
      <c r="S1455" s="43"/>
    </row>
    <row r="1456" spans="8:19">
      <c r="H1456" s="43"/>
      <c r="I1456" s="43"/>
      <c r="J1456" s="43"/>
      <c r="K1456" s="43"/>
      <c r="L1456" s="43"/>
      <c r="M1456" s="43"/>
      <c r="N1456" s="43"/>
      <c r="O1456" s="43"/>
      <c r="P1456" s="43"/>
      <c r="Q1456" s="43"/>
      <c r="R1456" s="43"/>
      <c r="S1456" s="43"/>
    </row>
    <row r="1457" spans="8:19">
      <c r="H1457" s="43"/>
      <c r="I1457" s="43"/>
      <c r="J1457" s="43"/>
      <c r="K1457" s="43"/>
      <c r="L1457" s="43"/>
      <c r="M1457" s="43"/>
      <c r="N1457" s="43"/>
      <c r="O1457" s="43"/>
      <c r="P1457" s="43"/>
      <c r="Q1457" s="43"/>
      <c r="R1457" s="43"/>
      <c r="S1457" s="43"/>
    </row>
    <row r="1458" spans="8:19">
      <c r="H1458" s="43"/>
      <c r="I1458" s="43"/>
      <c r="J1458" s="43"/>
      <c r="K1458" s="43"/>
      <c r="L1458" s="43"/>
      <c r="M1458" s="43"/>
      <c r="N1458" s="43"/>
      <c r="O1458" s="43"/>
      <c r="P1458" s="43"/>
      <c r="Q1458" s="43"/>
      <c r="R1458" s="43"/>
      <c r="S1458" s="43"/>
    </row>
    <row r="1459" spans="8:19">
      <c r="H1459" s="43"/>
      <c r="I1459" s="43"/>
      <c r="J1459" s="43"/>
      <c r="K1459" s="43"/>
      <c r="L1459" s="43"/>
      <c r="M1459" s="43"/>
      <c r="N1459" s="43"/>
      <c r="O1459" s="43"/>
      <c r="P1459" s="43"/>
      <c r="Q1459" s="43"/>
      <c r="R1459" s="43"/>
      <c r="S1459" s="43"/>
    </row>
    <row r="1460" spans="8:19">
      <c r="H1460" s="43"/>
      <c r="I1460" s="43"/>
      <c r="J1460" s="43"/>
      <c r="K1460" s="43"/>
      <c r="L1460" s="43"/>
      <c r="M1460" s="43"/>
      <c r="N1460" s="43"/>
      <c r="O1460" s="43"/>
      <c r="P1460" s="43"/>
      <c r="Q1460" s="43"/>
      <c r="R1460" s="43"/>
      <c r="S1460" s="43"/>
    </row>
    <row r="1461" spans="8:19">
      <c r="H1461" s="43"/>
      <c r="I1461" s="43"/>
      <c r="J1461" s="43"/>
      <c r="K1461" s="43"/>
      <c r="L1461" s="43"/>
      <c r="M1461" s="43"/>
      <c r="N1461" s="43"/>
      <c r="O1461" s="43"/>
      <c r="P1461" s="43"/>
      <c r="Q1461" s="43"/>
      <c r="R1461" s="43"/>
      <c r="S1461" s="43"/>
    </row>
    <row r="1462" spans="8:19">
      <c r="H1462" s="43"/>
      <c r="I1462" s="43"/>
      <c r="J1462" s="43"/>
      <c r="K1462" s="43"/>
      <c r="L1462" s="43"/>
      <c r="M1462" s="43"/>
      <c r="N1462" s="43"/>
      <c r="O1462" s="43"/>
      <c r="P1462" s="43"/>
      <c r="Q1462" s="43"/>
      <c r="R1462" s="43"/>
      <c r="S1462" s="43"/>
    </row>
    <row r="1463" spans="8:19">
      <c r="H1463" s="43"/>
      <c r="I1463" s="43"/>
      <c r="J1463" s="43"/>
      <c r="K1463" s="43"/>
      <c r="L1463" s="43"/>
      <c r="M1463" s="43"/>
      <c r="N1463" s="43"/>
      <c r="O1463" s="43"/>
      <c r="P1463" s="43"/>
      <c r="Q1463" s="43"/>
      <c r="R1463" s="43"/>
      <c r="S1463" s="43"/>
    </row>
    <row r="1464" spans="8:19">
      <c r="H1464" s="43"/>
      <c r="I1464" s="43"/>
      <c r="J1464" s="43"/>
      <c r="K1464" s="43"/>
      <c r="L1464" s="43"/>
      <c r="M1464" s="43"/>
      <c r="N1464" s="43"/>
      <c r="O1464" s="43"/>
      <c r="P1464" s="43"/>
      <c r="Q1464" s="43"/>
      <c r="R1464" s="43"/>
      <c r="S1464" s="43"/>
    </row>
    <row r="1465" spans="8:19">
      <c r="H1465" s="43"/>
      <c r="I1465" s="43"/>
      <c r="J1465" s="43"/>
      <c r="K1465" s="43"/>
      <c r="L1465" s="43"/>
      <c r="M1465" s="43"/>
      <c r="N1465" s="43"/>
      <c r="O1465" s="43"/>
      <c r="P1465" s="43"/>
      <c r="Q1465" s="43"/>
      <c r="R1465" s="43"/>
      <c r="S1465" s="43"/>
    </row>
    <row r="1466" spans="8:19">
      <c r="H1466" s="43"/>
      <c r="I1466" s="43"/>
      <c r="J1466" s="43"/>
      <c r="K1466" s="43"/>
      <c r="L1466" s="43"/>
      <c r="M1466" s="43"/>
      <c r="N1466" s="43"/>
      <c r="O1466" s="43"/>
      <c r="P1466" s="43"/>
      <c r="Q1466" s="43"/>
      <c r="R1466" s="43"/>
      <c r="S1466" s="43"/>
    </row>
    <row r="1467" spans="8:19">
      <c r="H1467" s="43"/>
      <c r="I1467" s="43"/>
      <c r="J1467" s="43"/>
      <c r="K1467" s="43"/>
      <c r="L1467" s="43"/>
      <c r="M1467" s="43"/>
      <c r="N1467" s="43"/>
      <c r="O1467" s="43"/>
      <c r="P1467" s="43"/>
      <c r="Q1467" s="43"/>
      <c r="R1467" s="43"/>
      <c r="S1467" s="43"/>
    </row>
    <row r="1468" spans="8:19">
      <c r="H1468" s="43"/>
      <c r="I1468" s="43"/>
      <c r="J1468" s="43"/>
      <c r="K1468" s="43"/>
      <c r="L1468" s="43"/>
      <c r="M1468" s="43"/>
      <c r="N1468" s="43"/>
      <c r="O1468" s="43"/>
      <c r="P1468" s="43"/>
      <c r="Q1468" s="43"/>
      <c r="R1468" s="43"/>
      <c r="S1468" s="43"/>
    </row>
    <row r="1469" spans="8:19">
      <c r="H1469" s="43"/>
      <c r="I1469" s="43"/>
      <c r="J1469" s="43"/>
      <c r="K1469" s="43"/>
      <c r="L1469" s="43"/>
      <c r="M1469" s="43"/>
      <c r="N1469" s="43"/>
      <c r="O1469" s="43"/>
      <c r="P1469" s="43"/>
      <c r="Q1469" s="43"/>
      <c r="R1469" s="43"/>
      <c r="S1469" s="43"/>
    </row>
    <row r="1470" spans="8:19">
      <c r="H1470" s="43"/>
      <c r="I1470" s="43"/>
      <c r="J1470" s="43"/>
      <c r="K1470" s="43"/>
      <c r="L1470" s="43"/>
      <c r="M1470" s="43"/>
      <c r="N1470" s="43"/>
      <c r="O1470" s="43"/>
      <c r="P1470" s="43"/>
      <c r="Q1470" s="43"/>
      <c r="R1470" s="43"/>
      <c r="S1470" s="43"/>
    </row>
    <row r="1471" spans="8:19">
      <c r="H1471" s="43"/>
      <c r="I1471" s="43"/>
      <c r="J1471" s="43"/>
      <c r="K1471" s="43"/>
      <c r="L1471" s="43"/>
      <c r="M1471" s="43"/>
      <c r="N1471" s="43"/>
      <c r="O1471" s="43"/>
      <c r="P1471" s="43"/>
      <c r="Q1471" s="43"/>
      <c r="R1471" s="43"/>
      <c r="S1471" s="43"/>
    </row>
    <row r="1472" spans="8:19">
      <c r="H1472" s="43"/>
      <c r="I1472" s="43"/>
      <c r="J1472" s="43"/>
      <c r="K1472" s="43"/>
      <c r="L1472" s="43"/>
      <c r="M1472" s="43"/>
      <c r="N1472" s="43"/>
      <c r="O1472" s="43"/>
      <c r="P1472" s="43"/>
      <c r="Q1472" s="43"/>
      <c r="R1472" s="43"/>
      <c r="S1472" s="43"/>
    </row>
    <row r="1473" spans="8:19">
      <c r="H1473" s="43"/>
      <c r="I1473" s="43"/>
      <c r="J1473" s="43"/>
      <c r="K1473" s="43"/>
      <c r="L1473" s="43"/>
      <c r="M1473" s="43"/>
      <c r="N1473" s="43"/>
      <c r="O1473" s="43"/>
      <c r="P1473" s="43"/>
      <c r="Q1473" s="43"/>
      <c r="R1473" s="43"/>
      <c r="S1473" s="43"/>
    </row>
    <row r="1474" spans="8:19">
      <c r="H1474" s="43"/>
      <c r="I1474" s="43"/>
      <c r="J1474" s="43"/>
      <c r="K1474" s="43"/>
      <c r="L1474" s="43"/>
      <c r="M1474" s="43"/>
      <c r="N1474" s="43"/>
      <c r="O1474" s="43"/>
      <c r="P1474" s="43"/>
      <c r="Q1474" s="43"/>
      <c r="R1474" s="43"/>
      <c r="S1474" s="43"/>
    </row>
    <row r="1475" spans="8:19">
      <c r="H1475" s="43"/>
      <c r="I1475" s="43"/>
      <c r="J1475" s="43"/>
      <c r="K1475" s="43"/>
      <c r="L1475" s="43"/>
      <c r="M1475" s="43"/>
      <c r="N1475" s="43"/>
      <c r="O1475" s="43"/>
      <c r="P1475" s="43"/>
      <c r="Q1475" s="43"/>
      <c r="R1475" s="43"/>
      <c r="S1475" s="43"/>
    </row>
    <row r="1476" spans="8:19">
      <c r="H1476" s="43"/>
      <c r="I1476" s="43"/>
      <c r="J1476" s="43"/>
      <c r="K1476" s="43"/>
      <c r="L1476" s="43"/>
      <c r="M1476" s="43"/>
      <c r="N1476" s="43"/>
      <c r="O1476" s="43"/>
      <c r="P1476" s="43"/>
      <c r="Q1476" s="43"/>
      <c r="R1476" s="43"/>
      <c r="S1476" s="43"/>
    </row>
    <row r="1477" spans="8:19">
      <c r="H1477" s="43"/>
      <c r="I1477" s="43"/>
      <c r="J1477" s="43"/>
      <c r="K1477" s="43"/>
      <c r="L1477" s="43"/>
      <c r="M1477" s="43"/>
      <c r="N1477" s="43"/>
      <c r="O1477" s="43"/>
      <c r="P1477" s="43"/>
      <c r="Q1477" s="43"/>
      <c r="R1477" s="43"/>
      <c r="S1477" s="43"/>
    </row>
    <row r="1478" spans="8:19">
      <c r="H1478" s="43"/>
      <c r="I1478" s="43"/>
      <c r="J1478" s="43"/>
      <c r="K1478" s="43"/>
      <c r="L1478" s="43"/>
      <c r="M1478" s="43"/>
      <c r="N1478" s="43"/>
      <c r="O1478" s="43"/>
      <c r="P1478" s="43"/>
      <c r="Q1478" s="43"/>
      <c r="R1478" s="43"/>
      <c r="S1478" s="43"/>
    </row>
    <row r="1479" spans="8:19">
      <c r="H1479" s="43"/>
      <c r="I1479" s="43"/>
      <c r="J1479" s="43"/>
      <c r="K1479" s="43"/>
      <c r="L1479" s="43"/>
      <c r="M1479" s="43"/>
      <c r="N1479" s="43"/>
      <c r="O1479" s="43"/>
      <c r="P1479" s="43"/>
      <c r="Q1479" s="43"/>
      <c r="R1479" s="43"/>
      <c r="S1479" s="43"/>
    </row>
    <row r="1480" spans="8:19">
      <c r="H1480" s="43"/>
      <c r="I1480" s="43"/>
      <c r="J1480" s="43"/>
      <c r="K1480" s="43"/>
      <c r="L1480" s="43"/>
      <c r="M1480" s="43"/>
      <c r="N1480" s="43"/>
      <c r="O1480" s="43"/>
      <c r="P1480" s="43"/>
      <c r="Q1480" s="43"/>
      <c r="R1480" s="43"/>
      <c r="S1480" s="43"/>
    </row>
    <row r="1481" spans="8:19">
      <c r="H1481" s="43"/>
      <c r="I1481" s="43"/>
      <c r="J1481" s="43"/>
      <c r="K1481" s="43"/>
      <c r="L1481" s="43"/>
      <c r="M1481" s="43"/>
      <c r="N1481" s="43"/>
      <c r="O1481" s="43"/>
      <c r="P1481" s="43"/>
      <c r="Q1481" s="43"/>
      <c r="R1481" s="43"/>
      <c r="S1481" s="43"/>
    </row>
    <row r="1482" spans="8:19">
      <c r="H1482" s="43"/>
      <c r="I1482" s="43"/>
      <c r="J1482" s="43"/>
      <c r="K1482" s="43"/>
      <c r="L1482" s="43"/>
      <c r="M1482" s="43"/>
      <c r="N1482" s="43"/>
      <c r="O1482" s="43"/>
      <c r="P1482" s="43"/>
      <c r="Q1482" s="43"/>
      <c r="R1482" s="43"/>
      <c r="S1482" s="43"/>
    </row>
    <row r="1483" spans="8:19">
      <c r="H1483" s="43"/>
      <c r="I1483" s="43"/>
      <c r="J1483" s="43"/>
      <c r="K1483" s="43"/>
      <c r="L1483" s="43"/>
      <c r="M1483" s="43"/>
      <c r="N1483" s="43"/>
      <c r="O1483" s="43"/>
      <c r="P1483" s="43"/>
      <c r="Q1483" s="43"/>
      <c r="R1483" s="43"/>
      <c r="S1483" s="43"/>
    </row>
    <row r="1484" spans="8:19">
      <c r="H1484" s="43"/>
      <c r="I1484" s="43"/>
      <c r="J1484" s="43"/>
      <c r="K1484" s="43"/>
      <c r="L1484" s="43"/>
      <c r="M1484" s="43"/>
      <c r="N1484" s="43"/>
      <c r="O1484" s="43"/>
      <c r="P1484" s="43"/>
      <c r="Q1484" s="43"/>
      <c r="R1484" s="43"/>
      <c r="S1484" s="43"/>
    </row>
    <row r="1485" spans="8:19">
      <c r="H1485" s="43"/>
      <c r="I1485" s="43"/>
      <c r="J1485" s="43"/>
      <c r="K1485" s="43"/>
      <c r="L1485" s="43"/>
      <c r="M1485" s="43"/>
      <c r="N1485" s="43"/>
      <c r="O1485" s="43"/>
      <c r="P1485" s="43"/>
      <c r="Q1485" s="43"/>
      <c r="R1485" s="43"/>
      <c r="S1485" s="43"/>
    </row>
    <row r="1486" spans="8:19">
      <c r="H1486" s="43"/>
      <c r="I1486" s="43"/>
      <c r="J1486" s="43"/>
      <c r="K1486" s="43"/>
      <c r="L1486" s="43"/>
      <c r="M1486" s="43"/>
      <c r="N1486" s="43"/>
      <c r="O1486" s="43"/>
      <c r="P1486" s="43"/>
      <c r="Q1486" s="43"/>
      <c r="R1486" s="43"/>
      <c r="S1486" s="43"/>
    </row>
    <row r="1487" spans="8:19">
      <c r="H1487" s="43"/>
      <c r="I1487" s="43"/>
      <c r="J1487" s="43"/>
      <c r="K1487" s="43"/>
      <c r="L1487" s="43"/>
      <c r="M1487" s="43"/>
      <c r="N1487" s="43"/>
      <c r="O1487" s="43"/>
      <c r="P1487" s="43"/>
      <c r="Q1487" s="43"/>
      <c r="R1487" s="43"/>
      <c r="S1487" s="43"/>
    </row>
    <row r="1488" spans="8:19">
      <c r="H1488" s="43"/>
      <c r="I1488" s="43"/>
      <c r="J1488" s="43"/>
      <c r="K1488" s="43"/>
      <c r="L1488" s="43"/>
      <c r="M1488" s="43"/>
      <c r="N1488" s="43"/>
      <c r="O1488" s="43"/>
      <c r="P1488" s="43"/>
      <c r="Q1488" s="43"/>
      <c r="R1488" s="43"/>
      <c r="S1488" s="43"/>
    </row>
    <row r="1489" spans="8:19">
      <c r="H1489" s="43"/>
      <c r="I1489" s="43"/>
      <c r="J1489" s="43"/>
      <c r="K1489" s="43"/>
      <c r="L1489" s="43"/>
      <c r="M1489" s="43"/>
      <c r="N1489" s="43"/>
      <c r="O1489" s="43"/>
      <c r="P1489" s="43"/>
      <c r="Q1489" s="43"/>
      <c r="R1489" s="43"/>
      <c r="S1489" s="43"/>
    </row>
    <row r="1490" spans="8:19">
      <c r="H1490" s="43"/>
      <c r="I1490" s="43"/>
      <c r="J1490" s="43"/>
      <c r="K1490" s="43"/>
      <c r="L1490" s="43"/>
      <c r="M1490" s="43"/>
      <c r="N1490" s="43"/>
      <c r="O1490" s="43"/>
      <c r="P1490" s="43"/>
      <c r="Q1490" s="43"/>
      <c r="R1490" s="43"/>
      <c r="S1490" s="43"/>
    </row>
    <row r="1491" spans="8:19">
      <c r="H1491" s="43"/>
      <c r="I1491" s="43"/>
      <c r="J1491" s="43"/>
      <c r="K1491" s="43"/>
      <c r="L1491" s="43"/>
      <c r="M1491" s="43"/>
      <c r="N1491" s="43"/>
      <c r="O1491" s="43"/>
      <c r="P1491" s="43"/>
      <c r="Q1491" s="43"/>
      <c r="R1491" s="43"/>
      <c r="S1491" s="43"/>
    </row>
    <row r="1492" spans="8:19">
      <c r="H1492" s="43"/>
      <c r="I1492" s="43"/>
      <c r="J1492" s="43"/>
      <c r="K1492" s="43"/>
      <c r="L1492" s="43"/>
      <c r="M1492" s="43"/>
      <c r="N1492" s="43"/>
      <c r="O1492" s="43"/>
      <c r="P1492" s="43"/>
      <c r="Q1492" s="43"/>
      <c r="R1492" s="43"/>
      <c r="S1492" s="43"/>
    </row>
    <row r="1493" spans="8:19">
      <c r="H1493" s="43"/>
      <c r="I1493" s="43"/>
      <c r="J1493" s="43"/>
      <c r="K1493" s="43"/>
      <c r="L1493" s="43"/>
      <c r="M1493" s="43"/>
      <c r="N1493" s="43"/>
      <c r="O1493" s="43"/>
      <c r="P1493" s="43"/>
      <c r="Q1493" s="43"/>
      <c r="R1493" s="43"/>
      <c r="S1493" s="43"/>
    </row>
    <row r="1494" spans="8:19">
      <c r="H1494" s="43"/>
      <c r="I1494" s="43"/>
      <c r="J1494" s="43"/>
      <c r="K1494" s="43"/>
      <c r="L1494" s="43"/>
      <c r="M1494" s="43"/>
      <c r="N1494" s="43"/>
      <c r="O1494" s="43"/>
      <c r="P1494" s="43"/>
      <c r="Q1494" s="43"/>
      <c r="R1494" s="43"/>
      <c r="S1494" s="43"/>
    </row>
    <row r="1495" spans="8:19">
      <c r="H1495" s="43"/>
      <c r="I1495" s="43"/>
      <c r="J1495" s="43"/>
      <c r="K1495" s="43"/>
      <c r="L1495" s="43"/>
      <c r="M1495" s="43"/>
      <c r="N1495" s="43"/>
      <c r="O1495" s="43"/>
      <c r="P1495" s="43"/>
      <c r="Q1495" s="43"/>
      <c r="R1495" s="43"/>
      <c r="S1495" s="43"/>
    </row>
    <row r="1496" spans="8:19">
      <c r="H1496" s="43"/>
      <c r="I1496" s="43"/>
      <c r="J1496" s="43"/>
      <c r="K1496" s="43"/>
      <c r="L1496" s="43"/>
      <c r="M1496" s="43"/>
      <c r="N1496" s="43"/>
      <c r="O1496" s="43"/>
      <c r="P1496" s="43"/>
      <c r="Q1496" s="43"/>
      <c r="R1496" s="43"/>
      <c r="S1496" s="43"/>
    </row>
    <row r="1497" spans="8:19">
      <c r="H1497" s="43"/>
      <c r="I1497" s="43"/>
      <c r="J1497" s="43"/>
      <c r="K1497" s="43"/>
      <c r="L1497" s="43"/>
      <c r="M1497" s="43"/>
      <c r="N1497" s="43"/>
      <c r="O1497" s="43"/>
      <c r="P1497" s="43"/>
      <c r="Q1497" s="43"/>
      <c r="R1497" s="43"/>
      <c r="S1497" s="43"/>
    </row>
    <row r="1498" spans="8:19">
      <c r="H1498" s="43"/>
      <c r="I1498" s="43"/>
      <c r="J1498" s="43"/>
      <c r="K1498" s="43"/>
      <c r="L1498" s="43"/>
      <c r="M1498" s="43"/>
      <c r="N1498" s="43"/>
      <c r="O1498" s="43"/>
      <c r="P1498" s="43"/>
      <c r="Q1498" s="43"/>
      <c r="R1498" s="43"/>
      <c r="S1498" s="43"/>
    </row>
    <row r="1499" spans="8:19">
      <c r="H1499" s="43"/>
      <c r="I1499" s="43"/>
      <c r="J1499" s="43"/>
      <c r="K1499" s="43"/>
      <c r="L1499" s="43"/>
      <c r="M1499" s="43"/>
      <c r="N1499" s="43"/>
      <c r="O1499" s="43"/>
      <c r="P1499" s="43"/>
      <c r="Q1499" s="43"/>
      <c r="R1499" s="43"/>
      <c r="S1499" s="43"/>
    </row>
    <row r="1500" spans="8:19">
      <c r="H1500" s="43"/>
      <c r="I1500" s="43"/>
      <c r="J1500" s="43"/>
      <c r="K1500" s="43"/>
      <c r="L1500" s="43"/>
      <c r="M1500" s="43"/>
      <c r="N1500" s="43"/>
      <c r="O1500" s="43"/>
      <c r="P1500" s="43"/>
      <c r="Q1500" s="43"/>
      <c r="R1500" s="43"/>
      <c r="S1500" s="43"/>
    </row>
    <row r="1501" spans="8:19">
      <c r="H1501" s="43"/>
      <c r="I1501" s="43"/>
      <c r="J1501" s="43"/>
      <c r="K1501" s="43"/>
      <c r="L1501" s="43"/>
      <c r="M1501" s="43"/>
      <c r="N1501" s="43"/>
      <c r="O1501" s="43"/>
      <c r="P1501" s="43"/>
      <c r="Q1501" s="43"/>
      <c r="R1501" s="43"/>
      <c r="S1501" s="43"/>
    </row>
    <row r="1502" spans="8:19">
      <c r="H1502" s="43"/>
      <c r="I1502" s="43"/>
      <c r="J1502" s="43"/>
      <c r="K1502" s="43"/>
      <c r="L1502" s="43"/>
      <c r="M1502" s="43"/>
      <c r="N1502" s="43"/>
      <c r="O1502" s="43"/>
      <c r="P1502" s="43"/>
      <c r="Q1502" s="43"/>
      <c r="R1502" s="43"/>
      <c r="S1502" s="43"/>
    </row>
    <row r="1503" spans="8:19">
      <c r="H1503" s="43"/>
      <c r="I1503" s="43"/>
      <c r="J1503" s="43"/>
      <c r="K1503" s="43"/>
      <c r="L1503" s="43"/>
      <c r="M1503" s="43"/>
      <c r="N1503" s="43"/>
      <c r="O1503" s="43"/>
      <c r="P1503" s="43"/>
      <c r="Q1503" s="43"/>
      <c r="R1503" s="43"/>
      <c r="S1503" s="43"/>
    </row>
    <row r="1504" spans="8:19">
      <c r="H1504" s="43"/>
      <c r="I1504" s="43"/>
      <c r="J1504" s="43"/>
      <c r="K1504" s="43"/>
      <c r="L1504" s="43"/>
      <c r="M1504" s="43"/>
      <c r="N1504" s="43"/>
      <c r="O1504" s="43"/>
      <c r="P1504" s="43"/>
      <c r="Q1504" s="43"/>
      <c r="R1504" s="43"/>
      <c r="S1504" s="43"/>
    </row>
    <row r="1505" spans="8:19">
      <c r="H1505" s="43"/>
      <c r="I1505" s="43"/>
      <c r="J1505" s="43"/>
      <c r="K1505" s="43"/>
      <c r="L1505" s="43"/>
      <c r="M1505" s="43"/>
      <c r="N1505" s="43"/>
      <c r="O1505" s="43"/>
      <c r="P1505" s="43"/>
      <c r="Q1505" s="43"/>
      <c r="R1505" s="43"/>
      <c r="S1505" s="43"/>
    </row>
    <row r="1506" spans="8:19">
      <c r="H1506" s="43"/>
      <c r="I1506" s="43"/>
      <c r="J1506" s="43"/>
      <c r="K1506" s="43"/>
      <c r="L1506" s="43"/>
      <c r="M1506" s="43"/>
      <c r="N1506" s="43"/>
      <c r="O1506" s="43"/>
      <c r="P1506" s="43"/>
      <c r="Q1506" s="43"/>
      <c r="R1506" s="43"/>
      <c r="S1506" s="43"/>
    </row>
    <row r="1507" spans="8:19">
      <c r="H1507" s="43"/>
      <c r="I1507" s="43"/>
      <c r="J1507" s="43"/>
      <c r="K1507" s="43"/>
      <c r="L1507" s="43"/>
      <c r="M1507" s="43"/>
      <c r="N1507" s="43"/>
      <c r="O1507" s="43"/>
      <c r="P1507" s="43"/>
      <c r="Q1507" s="43"/>
      <c r="R1507" s="43"/>
      <c r="S1507" s="43"/>
    </row>
    <row r="1508" spans="8:19">
      <c r="H1508" s="43"/>
      <c r="I1508" s="43"/>
      <c r="J1508" s="43"/>
      <c r="K1508" s="43"/>
      <c r="L1508" s="43"/>
      <c r="M1508" s="43"/>
      <c r="N1508" s="43"/>
      <c r="O1508" s="43"/>
      <c r="P1508" s="43"/>
      <c r="Q1508" s="43"/>
      <c r="R1508" s="43"/>
      <c r="S1508" s="43"/>
    </row>
    <row r="1509" spans="8:19">
      <c r="H1509" s="43"/>
      <c r="I1509" s="43"/>
      <c r="J1509" s="43"/>
      <c r="K1509" s="43"/>
      <c r="L1509" s="43"/>
      <c r="M1509" s="43"/>
      <c r="N1509" s="43"/>
      <c r="O1509" s="43"/>
      <c r="P1509" s="43"/>
      <c r="Q1509" s="43"/>
      <c r="R1509" s="43"/>
      <c r="S1509" s="43"/>
    </row>
    <row r="1510" spans="8:19">
      <c r="H1510" s="43"/>
      <c r="I1510" s="43"/>
      <c r="J1510" s="43"/>
      <c r="K1510" s="43"/>
      <c r="L1510" s="43"/>
      <c r="M1510" s="43"/>
      <c r="N1510" s="43"/>
      <c r="O1510" s="43"/>
      <c r="P1510" s="43"/>
      <c r="Q1510" s="43"/>
      <c r="R1510" s="43"/>
      <c r="S1510" s="43"/>
    </row>
    <row r="1511" spans="8:19">
      <c r="H1511" s="43"/>
      <c r="I1511" s="43"/>
      <c r="J1511" s="43"/>
      <c r="K1511" s="43"/>
      <c r="L1511" s="43"/>
      <c r="M1511" s="43"/>
      <c r="N1511" s="43"/>
      <c r="O1511" s="43"/>
      <c r="P1511" s="43"/>
      <c r="Q1511" s="43"/>
      <c r="R1511" s="43"/>
      <c r="S1511" s="43"/>
    </row>
    <row r="1512" spans="8:19">
      <c r="H1512" s="43"/>
      <c r="I1512" s="43"/>
      <c r="J1512" s="43"/>
      <c r="K1512" s="43"/>
      <c r="L1512" s="43"/>
      <c r="M1512" s="43"/>
      <c r="N1512" s="43"/>
      <c r="O1512" s="43"/>
      <c r="P1512" s="43"/>
      <c r="Q1512" s="43"/>
      <c r="R1512" s="43"/>
      <c r="S1512" s="43"/>
    </row>
    <row r="1513" spans="8:19">
      <c r="H1513" s="43"/>
      <c r="I1513" s="43"/>
      <c r="J1513" s="43"/>
      <c r="K1513" s="43"/>
      <c r="L1513" s="43"/>
      <c r="M1513" s="43"/>
      <c r="N1513" s="43"/>
      <c r="O1513" s="43"/>
      <c r="P1513" s="43"/>
      <c r="Q1513" s="43"/>
      <c r="R1513" s="43"/>
      <c r="S1513" s="43"/>
    </row>
    <row r="1514" spans="8:19">
      <c r="H1514" s="43"/>
      <c r="I1514" s="43"/>
      <c r="J1514" s="43"/>
      <c r="K1514" s="43"/>
      <c r="L1514" s="43"/>
      <c r="M1514" s="43"/>
      <c r="N1514" s="43"/>
      <c r="O1514" s="43"/>
      <c r="P1514" s="43"/>
      <c r="Q1514" s="43"/>
      <c r="R1514" s="43"/>
      <c r="S1514" s="43"/>
    </row>
    <row r="1515" spans="8:19">
      <c r="H1515" s="43"/>
      <c r="I1515" s="43"/>
      <c r="J1515" s="43"/>
      <c r="K1515" s="43"/>
      <c r="L1515" s="43"/>
      <c r="M1515" s="43"/>
      <c r="N1515" s="43"/>
      <c r="O1515" s="43"/>
      <c r="P1515" s="43"/>
      <c r="Q1515" s="43"/>
      <c r="R1515" s="43"/>
      <c r="S1515" s="43"/>
    </row>
    <row r="1516" spans="8:19">
      <c r="H1516" s="43"/>
      <c r="I1516" s="43"/>
      <c r="J1516" s="43"/>
      <c r="K1516" s="43"/>
      <c r="L1516" s="43"/>
      <c r="M1516" s="43"/>
      <c r="N1516" s="43"/>
      <c r="O1516" s="43"/>
      <c r="P1516" s="43"/>
      <c r="Q1516" s="43"/>
      <c r="R1516" s="43"/>
      <c r="S1516" s="43"/>
    </row>
    <row r="1517" spans="8:19">
      <c r="H1517" s="43"/>
      <c r="I1517" s="43"/>
      <c r="J1517" s="43"/>
      <c r="K1517" s="43"/>
      <c r="L1517" s="43"/>
      <c r="M1517" s="43"/>
      <c r="N1517" s="43"/>
      <c r="O1517" s="43"/>
      <c r="P1517" s="43"/>
      <c r="Q1517" s="43"/>
      <c r="R1517" s="43"/>
      <c r="S1517" s="43"/>
    </row>
    <row r="1518" spans="8:19">
      <c r="H1518" s="43"/>
      <c r="I1518" s="43"/>
      <c r="J1518" s="43"/>
      <c r="K1518" s="43"/>
      <c r="L1518" s="43"/>
      <c r="M1518" s="43"/>
      <c r="N1518" s="43"/>
      <c r="O1518" s="43"/>
      <c r="P1518" s="43"/>
      <c r="Q1518" s="43"/>
      <c r="R1518" s="43"/>
      <c r="S1518" s="43"/>
    </row>
    <row r="1519" spans="8:19">
      <c r="H1519" s="43"/>
      <c r="I1519" s="43"/>
      <c r="J1519" s="43"/>
      <c r="K1519" s="43"/>
      <c r="L1519" s="43"/>
      <c r="M1519" s="43"/>
      <c r="N1519" s="43"/>
      <c r="O1519" s="43"/>
      <c r="P1519" s="43"/>
      <c r="Q1519" s="43"/>
      <c r="R1519" s="43"/>
      <c r="S1519" s="43"/>
    </row>
    <row r="1520" spans="8:19">
      <c r="H1520" s="43"/>
      <c r="I1520" s="43"/>
      <c r="J1520" s="43"/>
      <c r="K1520" s="43"/>
      <c r="L1520" s="43"/>
      <c r="M1520" s="43"/>
      <c r="N1520" s="43"/>
      <c r="O1520" s="43"/>
      <c r="P1520" s="43"/>
      <c r="Q1520" s="43"/>
      <c r="R1520" s="43"/>
      <c r="S1520" s="43"/>
    </row>
    <row r="1521" spans="8:19">
      <c r="H1521" s="43"/>
      <c r="I1521" s="43"/>
      <c r="J1521" s="43"/>
      <c r="K1521" s="43"/>
      <c r="L1521" s="43"/>
      <c r="M1521" s="43"/>
      <c r="N1521" s="43"/>
      <c r="O1521" s="43"/>
      <c r="P1521" s="43"/>
      <c r="Q1521" s="43"/>
      <c r="R1521" s="43"/>
      <c r="S1521" s="43"/>
    </row>
    <row r="1522" spans="8:19">
      <c r="H1522" s="43"/>
      <c r="I1522" s="43"/>
      <c r="J1522" s="43"/>
      <c r="K1522" s="43"/>
      <c r="L1522" s="43"/>
      <c r="M1522" s="43"/>
      <c r="N1522" s="43"/>
      <c r="O1522" s="43"/>
      <c r="P1522" s="43"/>
      <c r="Q1522" s="43"/>
      <c r="R1522" s="43"/>
      <c r="S1522" s="43"/>
    </row>
    <row r="1523" spans="8:19">
      <c r="H1523" s="43"/>
      <c r="I1523" s="43"/>
      <c r="J1523" s="43"/>
      <c r="K1523" s="43"/>
      <c r="L1523" s="43"/>
      <c r="M1523" s="43"/>
      <c r="N1523" s="43"/>
      <c r="O1523" s="43"/>
      <c r="P1523" s="43"/>
      <c r="Q1523" s="43"/>
      <c r="R1523" s="43"/>
      <c r="S1523" s="43"/>
    </row>
    <row r="1524" spans="8:19">
      <c r="H1524" s="43"/>
      <c r="I1524" s="43"/>
      <c r="J1524" s="43"/>
      <c r="K1524" s="43"/>
      <c r="L1524" s="43"/>
      <c r="M1524" s="43"/>
      <c r="N1524" s="43"/>
      <c r="O1524" s="43"/>
      <c r="P1524" s="43"/>
      <c r="Q1524" s="43"/>
      <c r="R1524" s="43"/>
      <c r="S1524" s="43"/>
    </row>
    <row r="1525" spans="8:19">
      <c r="H1525" s="43"/>
      <c r="I1525" s="43"/>
      <c r="J1525" s="43"/>
      <c r="K1525" s="43"/>
      <c r="L1525" s="43"/>
      <c r="M1525" s="43"/>
      <c r="N1525" s="43"/>
      <c r="O1525" s="43"/>
      <c r="P1525" s="43"/>
      <c r="Q1525" s="43"/>
      <c r="R1525" s="43"/>
      <c r="S1525" s="43"/>
    </row>
    <row r="1526" spans="8:19">
      <c r="H1526" s="43"/>
      <c r="I1526" s="43"/>
      <c r="J1526" s="43"/>
      <c r="K1526" s="43"/>
      <c r="L1526" s="43"/>
      <c r="M1526" s="43"/>
      <c r="N1526" s="43"/>
      <c r="O1526" s="43"/>
      <c r="P1526" s="43"/>
      <c r="Q1526" s="43"/>
      <c r="R1526" s="43"/>
      <c r="S1526" s="43"/>
    </row>
    <row r="1527" spans="8:19">
      <c r="H1527" s="43"/>
      <c r="I1527" s="43"/>
      <c r="J1527" s="43"/>
      <c r="K1527" s="43"/>
      <c r="L1527" s="43"/>
      <c r="M1527" s="43"/>
      <c r="N1527" s="43"/>
      <c r="O1527" s="43"/>
      <c r="P1527" s="43"/>
      <c r="Q1527" s="43"/>
      <c r="R1527" s="43"/>
      <c r="S1527" s="43"/>
    </row>
    <row r="1528" spans="8:19">
      <c r="H1528" s="43"/>
      <c r="I1528" s="43"/>
      <c r="J1528" s="43"/>
      <c r="K1528" s="43"/>
      <c r="L1528" s="43"/>
      <c r="M1528" s="43"/>
      <c r="N1528" s="43"/>
      <c r="O1528" s="43"/>
      <c r="P1528" s="43"/>
      <c r="Q1528" s="43"/>
      <c r="R1528" s="43"/>
      <c r="S1528" s="43"/>
    </row>
    <row r="1529" spans="8:19">
      <c r="H1529" s="43"/>
      <c r="I1529" s="43"/>
      <c r="J1529" s="43"/>
      <c r="K1529" s="43"/>
      <c r="L1529" s="43"/>
      <c r="M1529" s="43"/>
      <c r="N1529" s="43"/>
      <c r="O1529" s="43"/>
      <c r="P1529" s="43"/>
      <c r="Q1529" s="43"/>
      <c r="R1529" s="43"/>
      <c r="S1529" s="43"/>
    </row>
    <row r="1530" spans="8:19">
      <c r="H1530" s="43"/>
      <c r="I1530" s="43"/>
      <c r="J1530" s="43"/>
      <c r="K1530" s="43"/>
      <c r="L1530" s="43"/>
      <c r="M1530" s="43"/>
      <c r="N1530" s="43"/>
      <c r="O1530" s="43"/>
      <c r="P1530" s="43"/>
      <c r="Q1530" s="43"/>
      <c r="R1530" s="43"/>
      <c r="S1530" s="43"/>
    </row>
    <row r="1531" spans="8:19">
      <c r="H1531" s="43"/>
      <c r="I1531" s="43"/>
      <c r="J1531" s="43"/>
      <c r="K1531" s="43"/>
      <c r="L1531" s="43"/>
      <c r="M1531" s="43"/>
      <c r="N1531" s="43"/>
      <c r="O1531" s="43"/>
      <c r="P1531" s="43"/>
      <c r="Q1531" s="43"/>
      <c r="R1531" s="43"/>
      <c r="S1531" s="43"/>
    </row>
    <row r="1532" spans="8:19">
      <c r="H1532" s="43"/>
      <c r="I1532" s="43"/>
      <c r="J1532" s="43"/>
      <c r="K1532" s="43"/>
      <c r="L1532" s="43"/>
      <c r="M1532" s="43"/>
      <c r="N1532" s="43"/>
      <c r="O1532" s="43"/>
      <c r="P1532" s="43"/>
      <c r="Q1532" s="43"/>
      <c r="R1532" s="43"/>
      <c r="S1532" s="43"/>
    </row>
    <row r="1533" spans="8:19">
      <c r="H1533" s="43"/>
      <c r="I1533" s="43"/>
      <c r="J1533" s="43"/>
      <c r="K1533" s="43"/>
      <c r="L1533" s="43"/>
      <c r="M1533" s="43"/>
      <c r="N1533" s="43"/>
      <c r="O1533" s="43"/>
      <c r="P1533" s="43"/>
      <c r="Q1533" s="43"/>
      <c r="R1533" s="43"/>
      <c r="S1533" s="43"/>
    </row>
    <row r="1534" spans="8:19">
      <c r="H1534" s="43"/>
      <c r="I1534" s="43"/>
      <c r="J1534" s="43"/>
      <c r="K1534" s="43"/>
      <c r="L1534" s="43"/>
      <c r="M1534" s="43"/>
      <c r="N1534" s="43"/>
      <c r="O1534" s="43"/>
      <c r="P1534" s="43"/>
      <c r="Q1534" s="43"/>
      <c r="R1534" s="43"/>
      <c r="S1534" s="43"/>
    </row>
    <row r="1535" spans="8:19">
      <c r="H1535" s="43"/>
      <c r="I1535" s="43"/>
      <c r="J1535" s="43"/>
      <c r="K1535" s="43"/>
      <c r="L1535" s="43"/>
      <c r="M1535" s="43"/>
      <c r="N1535" s="43"/>
      <c r="O1535" s="43"/>
      <c r="P1535" s="43"/>
      <c r="Q1535" s="43"/>
      <c r="R1535" s="43"/>
      <c r="S1535" s="43"/>
    </row>
    <row r="1536" spans="8:19">
      <c r="H1536" s="43"/>
      <c r="I1536" s="43"/>
      <c r="J1536" s="43"/>
      <c r="K1536" s="43"/>
      <c r="L1536" s="43"/>
      <c r="M1536" s="43"/>
      <c r="N1536" s="43"/>
      <c r="O1536" s="43"/>
      <c r="P1536" s="43"/>
      <c r="Q1536" s="43"/>
      <c r="R1536" s="43"/>
      <c r="S1536" s="43"/>
    </row>
    <row r="1537" spans="8:19">
      <c r="H1537" s="43"/>
      <c r="I1537" s="43"/>
      <c r="J1537" s="43"/>
      <c r="K1537" s="43"/>
      <c r="L1537" s="43"/>
      <c r="M1537" s="43"/>
      <c r="N1537" s="43"/>
      <c r="O1537" s="43"/>
      <c r="P1537" s="43"/>
      <c r="Q1537" s="43"/>
      <c r="R1537" s="43"/>
      <c r="S1537" s="43"/>
    </row>
    <row r="1538" spans="8:19">
      <c r="H1538" s="43"/>
      <c r="I1538" s="43"/>
      <c r="J1538" s="43"/>
      <c r="K1538" s="43"/>
      <c r="L1538" s="43"/>
      <c r="M1538" s="43"/>
      <c r="N1538" s="43"/>
      <c r="O1538" s="43"/>
      <c r="P1538" s="43"/>
      <c r="Q1538" s="43"/>
      <c r="R1538" s="43"/>
      <c r="S1538" s="43"/>
    </row>
    <row r="1539" spans="8:19">
      <c r="H1539" s="43"/>
      <c r="I1539" s="43"/>
      <c r="J1539" s="43"/>
      <c r="K1539" s="43"/>
      <c r="L1539" s="43"/>
      <c r="M1539" s="43"/>
      <c r="N1539" s="43"/>
      <c r="O1539" s="43"/>
      <c r="P1539" s="43"/>
      <c r="Q1539" s="43"/>
      <c r="R1539" s="43"/>
      <c r="S1539" s="43"/>
    </row>
    <row r="1540" spans="8:19">
      <c r="H1540" s="43"/>
      <c r="I1540" s="43"/>
      <c r="J1540" s="43"/>
      <c r="K1540" s="43"/>
      <c r="L1540" s="43"/>
      <c r="M1540" s="43"/>
      <c r="N1540" s="43"/>
      <c r="O1540" s="43"/>
      <c r="P1540" s="43"/>
      <c r="Q1540" s="43"/>
      <c r="R1540" s="43"/>
      <c r="S1540" s="43"/>
    </row>
    <row r="1541" spans="8:19">
      <c r="H1541" s="43"/>
      <c r="I1541" s="43"/>
      <c r="J1541" s="43"/>
      <c r="K1541" s="43"/>
      <c r="L1541" s="43"/>
      <c r="M1541" s="43"/>
      <c r="N1541" s="43"/>
      <c r="O1541" s="43"/>
      <c r="P1541" s="43"/>
      <c r="Q1541" s="43"/>
      <c r="R1541" s="43"/>
      <c r="S1541" s="43"/>
    </row>
    <row r="1542" spans="8:19">
      <c r="H1542" s="43"/>
      <c r="I1542" s="43"/>
      <c r="J1542" s="43"/>
      <c r="K1542" s="43"/>
      <c r="L1542" s="43"/>
      <c r="M1542" s="43"/>
      <c r="N1542" s="43"/>
      <c r="O1542" s="43"/>
      <c r="P1542" s="43"/>
      <c r="Q1542" s="43"/>
      <c r="R1542" s="43"/>
      <c r="S1542" s="43"/>
    </row>
    <row r="1543" spans="8:19">
      <c r="H1543" s="43"/>
      <c r="I1543" s="43"/>
      <c r="J1543" s="43"/>
      <c r="K1543" s="43"/>
      <c r="L1543" s="43"/>
      <c r="M1543" s="43"/>
      <c r="N1543" s="43"/>
      <c r="O1543" s="43"/>
      <c r="P1543" s="43"/>
      <c r="Q1543" s="43"/>
      <c r="R1543" s="43"/>
      <c r="S1543" s="43"/>
    </row>
    <row r="1544" spans="8:19">
      <c r="H1544" s="43"/>
      <c r="I1544" s="43"/>
      <c r="J1544" s="43"/>
      <c r="K1544" s="43"/>
      <c r="L1544" s="43"/>
      <c r="M1544" s="43"/>
      <c r="N1544" s="43"/>
      <c r="O1544" s="43"/>
      <c r="P1544" s="43"/>
      <c r="Q1544" s="43"/>
      <c r="R1544" s="43"/>
      <c r="S1544" s="43"/>
    </row>
    <row r="1545" spans="8:19">
      <c r="H1545" s="43"/>
      <c r="I1545" s="43"/>
      <c r="J1545" s="43"/>
      <c r="K1545" s="43"/>
      <c r="L1545" s="43"/>
      <c r="M1545" s="43"/>
      <c r="N1545" s="43"/>
      <c r="O1545" s="43"/>
      <c r="P1545" s="43"/>
      <c r="Q1545" s="43"/>
      <c r="R1545" s="43"/>
      <c r="S1545" s="43"/>
    </row>
    <row r="1546" spans="8:19">
      <c r="H1546" s="43"/>
      <c r="I1546" s="43"/>
      <c r="J1546" s="43"/>
      <c r="K1546" s="43"/>
      <c r="L1546" s="43"/>
      <c r="M1546" s="43"/>
      <c r="N1546" s="43"/>
      <c r="O1546" s="43"/>
      <c r="P1546" s="43"/>
      <c r="Q1546" s="43"/>
      <c r="R1546" s="43"/>
      <c r="S1546" s="43"/>
    </row>
    <row r="1547" spans="8:19">
      <c r="H1547" s="43"/>
      <c r="I1547" s="43"/>
      <c r="J1547" s="43"/>
      <c r="K1547" s="43"/>
      <c r="L1547" s="43"/>
      <c r="M1547" s="43"/>
      <c r="N1547" s="43"/>
      <c r="O1547" s="43"/>
      <c r="P1547" s="43"/>
      <c r="Q1547" s="43"/>
      <c r="R1547" s="43"/>
      <c r="S1547" s="43"/>
    </row>
    <row r="1548" spans="8:19">
      <c r="H1548" s="43"/>
      <c r="I1548" s="43"/>
      <c r="J1548" s="43"/>
      <c r="K1548" s="43"/>
      <c r="L1548" s="43"/>
      <c r="M1548" s="43"/>
      <c r="N1548" s="43"/>
      <c r="O1548" s="43"/>
      <c r="P1548" s="43"/>
      <c r="Q1548" s="43"/>
      <c r="R1548" s="43"/>
      <c r="S1548" s="43"/>
    </row>
    <row r="1549" spans="8:19">
      <c r="H1549" s="43"/>
      <c r="I1549" s="43"/>
      <c r="J1549" s="43"/>
      <c r="K1549" s="43"/>
      <c r="L1549" s="43"/>
      <c r="M1549" s="43"/>
      <c r="N1549" s="43"/>
      <c r="O1549" s="43"/>
      <c r="P1549" s="43"/>
      <c r="Q1549" s="43"/>
      <c r="R1549" s="43"/>
      <c r="S1549" s="43"/>
    </row>
    <row r="1550" spans="8:19">
      <c r="H1550" s="43"/>
      <c r="I1550" s="43"/>
      <c r="J1550" s="43"/>
      <c r="K1550" s="43"/>
      <c r="L1550" s="43"/>
      <c r="M1550" s="43"/>
      <c r="N1550" s="43"/>
      <c r="O1550" s="43"/>
      <c r="P1550" s="43"/>
      <c r="Q1550" s="43"/>
      <c r="R1550" s="43"/>
      <c r="S1550" s="43"/>
    </row>
    <row r="1551" spans="8:19">
      <c r="H1551" s="43"/>
      <c r="I1551" s="43"/>
      <c r="J1551" s="43"/>
      <c r="K1551" s="43"/>
      <c r="L1551" s="43"/>
      <c r="M1551" s="43"/>
      <c r="N1551" s="43"/>
      <c r="O1551" s="43"/>
      <c r="P1551" s="43"/>
      <c r="Q1551" s="43"/>
      <c r="R1551" s="43"/>
      <c r="S1551" s="43"/>
    </row>
    <row r="1552" spans="8:19">
      <c r="H1552" s="43"/>
      <c r="I1552" s="43"/>
      <c r="J1552" s="43"/>
      <c r="K1552" s="43"/>
      <c r="L1552" s="43"/>
      <c r="M1552" s="43"/>
      <c r="N1552" s="43"/>
      <c r="O1552" s="43"/>
      <c r="P1552" s="43"/>
      <c r="Q1552" s="43"/>
      <c r="R1552" s="43"/>
      <c r="S1552" s="43"/>
    </row>
    <row r="1553" spans="8:19">
      <c r="H1553" s="43"/>
      <c r="I1553" s="43"/>
      <c r="J1553" s="43"/>
      <c r="K1553" s="43"/>
      <c r="L1553" s="43"/>
      <c r="M1553" s="43"/>
      <c r="N1553" s="43"/>
      <c r="O1553" s="43"/>
      <c r="P1553" s="43"/>
      <c r="Q1553" s="43"/>
      <c r="R1553" s="43"/>
      <c r="S1553" s="43"/>
    </row>
    <row r="1554" spans="8:19">
      <c r="H1554" s="43"/>
      <c r="I1554" s="43"/>
      <c r="J1554" s="43"/>
      <c r="K1554" s="43"/>
      <c r="L1554" s="43"/>
      <c r="M1554" s="43"/>
      <c r="N1554" s="43"/>
      <c r="O1554" s="43"/>
      <c r="P1554" s="43"/>
      <c r="Q1554" s="43"/>
      <c r="R1554" s="43"/>
      <c r="S1554" s="43"/>
    </row>
    <row r="1555" spans="8:19">
      <c r="H1555" s="43"/>
      <c r="I1555" s="43"/>
      <c r="J1555" s="43"/>
      <c r="K1555" s="43"/>
      <c r="L1555" s="43"/>
      <c r="M1555" s="43"/>
      <c r="N1555" s="43"/>
      <c r="O1555" s="43"/>
      <c r="P1555" s="43"/>
      <c r="Q1555" s="43"/>
      <c r="R1555" s="43"/>
      <c r="S1555" s="43"/>
    </row>
    <row r="1556" spans="8:19">
      <c r="H1556" s="43"/>
      <c r="I1556" s="43"/>
      <c r="J1556" s="43"/>
      <c r="K1556" s="43"/>
      <c r="L1556" s="43"/>
      <c r="M1556" s="43"/>
      <c r="N1556" s="43"/>
      <c r="O1556" s="43"/>
      <c r="P1556" s="43"/>
      <c r="Q1556" s="43"/>
      <c r="R1556" s="43"/>
      <c r="S1556" s="43"/>
    </row>
    <row r="1557" spans="8:19">
      <c r="H1557" s="43"/>
      <c r="I1557" s="43"/>
      <c r="J1557" s="43"/>
      <c r="K1557" s="43"/>
      <c r="L1557" s="43"/>
      <c r="M1557" s="43"/>
      <c r="N1557" s="43"/>
      <c r="O1557" s="43"/>
      <c r="P1557" s="43"/>
      <c r="Q1557" s="43"/>
      <c r="R1557" s="43"/>
      <c r="S1557" s="43"/>
    </row>
    <row r="1558" spans="8:19">
      <c r="H1558" s="43"/>
      <c r="I1558" s="43"/>
      <c r="J1558" s="43"/>
      <c r="K1558" s="43"/>
      <c r="L1558" s="43"/>
      <c r="M1558" s="43"/>
      <c r="N1558" s="43"/>
      <c r="O1558" s="43"/>
      <c r="P1558" s="43"/>
      <c r="Q1558" s="43"/>
      <c r="R1558" s="43"/>
      <c r="S1558" s="43"/>
    </row>
    <row r="1559" spans="8:19">
      <c r="H1559" s="43"/>
      <c r="I1559" s="43"/>
      <c r="J1559" s="43"/>
      <c r="K1559" s="43"/>
      <c r="L1559" s="43"/>
      <c r="M1559" s="43"/>
      <c r="N1559" s="43"/>
      <c r="O1559" s="43"/>
      <c r="P1559" s="43"/>
      <c r="Q1559" s="43"/>
      <c r="R1559" s="43"/>
      <c r="S1559" s="43"/>
    </row>
    <row r="1560" spans="8:19">
      <c r="H1560" s="43"/>
      <c r="I1560" s="43"/>
      <c r="J1560" s="43"/>
      <c r="K1560" s="43"/>
      <c r="L1560" s="43"/>
      <c r="M1560" s="43"/>
      <c r="N1560" s="43"/>
      <c r="O1560" s="43"/>
      <c r="P1560" s="43"/>
      <c r="Q1560" s="43"/>
      <c r="R1560" s="43"/>
      <c r="S1560" s="43"/>
    </row>
    <row r="1561" spans="8:19">
      <c r="H1561" s="43"/>
      <c r="I1561" s="43"/>
      <c r="J1561" s="43"/>
      <c r="K1561" s="43"/>
      <c r="L1561" s="43"/>
      <c r="M1561" s="43"/>
      <c r="N1561" s="43"/>
      <c r="O1561" s="43"/>
      <c r="P1561" s="43"/>
      <c r="Q1561" s="43"/>
      <c r="R1561" s="43"/>
      <c r="S1561" s="43"/>
    </row>
    <row r="1562" spans="8:19">
      <c r="H1562" s="43"/>
      <c r="I1562" s="43"/>
      <c r="J1562" s="43"/>
      <c r="K1562" s="43"/>
      <c r="L1562" s="43"/>
      <c r="M1562" s="43"/>
      <c r="N1562" s="43"/>
      <c r="O1562" s="43"/>
      <c r="P1562" s="43"/>
      <c r="Q1562" s="43"/>
      <c r="R1562" s="43"/>
      <c r="S1562" s="43"/>
    </row>
    <row r="1563" spans="8:19">
      <c r="H1563" s="43"/>
      <c r="I1563" s="43"/>
      <c r="J1563" s="43"/>
      <c r="K1563" s="43"/>
      <c r="L1563" s="43"/>
      <c r="M1563" s="43"/>
      <c r="N1563" s="43"/>
      <c r="O1563" s="43"/>
      <c r="P1563" s="43"/>
      <c r="Q1563" s="43"/>
      <c r="R1563" s="43"/>
      <c r="S1563" s="43"/>
    </row>
    <row r="1564" spans="8:19">
      <c r="H1564" s="43"/>
      <c r="I1564" s="43"/>
      <c r="J1564" s="43"/>
      <c r="K1564" s="43"/>
      <c r="L1564" s="43"/>
      <c r="M1564" s="43"/>
      <c r="N1564" s="43"/>
      <c r="O1564" s="43"/>
      <c r="P1564" s="43"/>
      <c r="Q1564" s="43"/>
      <c r="R1564" s="43"/>
      <c r="S1564" s="43"/>
    </row>
    <row r="1565" spans="8:19">
      <c r="H1565" s="43"/>
      <c r="I1565" s="43"/>
      <c r="J1565" s="43"/>
      <c r="K1565" s="43"/>
      <c r="L1565" s="43"/>
      <c r="M1565" s="43"/>
      <c r="N1565" s="43"/>
      <c r="O1565" s="43"/>
      <c r="P1565" s="43"/>
      <c r="Q1565" s="43"/>
      <c r="R1565" s="43"/>
      <c r="S1565" s="43"/>
    </row>
    <row r="1566" spans="8:19">
      <c r="H1566" s="43"/>
      <c r="I1566" s="43"/>
      <c r="J1566" s="43"/>
      <c r="K1566" s="43"/>
      <c r="L1566" s="43"/>
      <c r="M1566" s="43"/>
      <c r="N1566" s="43"/>
      <c r="O1566" s="43"/>
      <c r="P1566" s="43"/>
      <c r="Q1566" s="43"/>
      <c r="R1566" s="43"/>
      <c r="S1566" s="43"/>
    </row>
    <row r="1567" spans="8:19">
      <c r="H1567" s="43"/>
      <c r="I1567" s="43"/>
      <c r="J1567" s="43"/>
      <c r="K1567" s="43"/>
      <c r="L1567" s="43"/>
      <c r="M1567" s="43"/>
      <c r="N1567" s="43"/>
      <c r="O1567" s="43"/>
      <c r="P1567" s="43"/>
      <c r="Q1567" s="43"/>
      <c r="R1567" s="43"/>
      <c r="S1567" s="43"/>
    </row>
    <row r="1568" spans="8:19">
      <c r="H1568" s="43"/>
      <c r="I1568" s="43"/>
      <c r="J1568" s="43"/>
      <c r="K1568" s="43"/>
      <c r="L1568" s="43"/>
      <c r="M1568" s="43"/>
      <c r="N1568" s="43"/>
      <c r="O1568" s="43"/>
      <c r="P1568" s="43"/>
      <c r="Q1568" s="43"/>
      <c r="R1568" s="43"/>
      <c r="S1568" s="43"/>
    </row>
    <row r="1569" spans="8:19">
      <c r="H1569" s="43"/>
      <c r="I1569" s="43"/>
      <c r="J1569" s="43"/>
      <c r="K1569" s="43"/>
      <c r="L1569" s="43"/>
      <c r="M1569" s="43"/>
      <c r="N1569" s="43"/>
      <c r="O1569" s="43"/>
      <c r="P1569" s="43"/>
      <c r="Q1569" s="43"/>
      <c r="R1569" s="43"/>
      <c r="S1569" s="43"/>
    </row>
    <row r="1570" spans="8:19">
      <c r="H1570" s="43"/>
      <c r="I1570" s="43"/>
      <c r="J1570" s="43"/>
      <c r="K1570" s="43"/>
      <c r="L1570" s="43"/>
      <c r="M1570" s="43"/>
      <c r="N1570" s="43"/>
      <c r="O1570" s="43"/>
      <c r="P1570" s="43"/>
      <c r="Q1570" s="43"/>
      <c r="R1570" s="43"/>
      <c r="S1570" s="43"/>
    </row>
    <row r="1571" spans="8:19">
      <c r="H1571" s="43"/>
      <c r="I1571" s="43"/>
      <c r="J1571" s="43"/>
      <c r="K1571" s="43"/>
      <c r="L1571" s="43"/>
      <c r="M1571" s="43"/>
      <c r="N1571" s="43"/>
      <c r="O1571" s="43"/>
      <c r="P1571" s="43"/>
      <c r="Q1571" s="43"/>
      <c r="R1571" s="43"/>
      <c r="S1571" s="43"/>
    </row>
    <row r="1572" spans="8:19">
      <c r="H1572" s="43"/>
      <c r="I1572" s="43"/>
      <c r="J1572" s="43"/>
      <c r="K1572" s="43"/>
      <c r="L1572" s="43"/>
      <c r="M1572" s="43"/>
      <c r="N1572" s="43"/>
      <c r="O1572" s="43"/>
      <c r="P1572" s="43"/>
      <c r="Q1572" s="43"/>
      <c r="R1572" s="43"/>
      <c r="S1572" s="43"/>
    </row>
    <row r="1573" spans="8:19">
      <c r="H1573" s="43"/>
      <c r="I1573" s="43"/>
      <c r="J1573" s="43"/>
      <c r="K1573" s="43"/>
      <c r="L1573" s="43"/>
      <c r="M1573" s="43"/>
      <c r="N1573" s="43"/>
      <c r="O1573" s="43"/>
      <c r="P1573" s="43"/>
      <c r="Q1573" s="43"/>
      <c r="R1573" s="43"/>
      <c r="S1573" s="43"/>
    </row>
    <row r="1574" spans="8:19">
      <c r="H1574" s="43"/>
      <c r="I1574" s="43"/>
      <c r="J1574" s="43"/>
      <c r="K1574" s="43"/>
      <c r="L1574" s="43"/>
      <c r="M1574" s="43"/>
      <c r="N1574" s="43"/>
      <c r="O1574" s="43"/>
      <c r="P1574" s="43"/>
      <c r="Q1574" s="43"/>
      <c r="R1574" s="43"/>
      <c r="S1574" s="43"/>
    </row>
    <row r="1575" spans="8:19">
      <c r="H1575" s="43"/>
      <c r="I1575" s="43"/>
      <c r="J1575" s="43"/>
      <c r="K1575" s="43"/>
      <c r="L1575" s="43"/>
      <c r="M1575" s="43"/>
      <c r="N1575" s="43"/>
      <c r="O1575" s="43"/>
      <c r="P1575" s="43"/>
      <c r="Q1575" s="43"/>
      <c r="R1575" s="43"/>
      <c r="S1575" s="43"/>
    </row>
    <row r="1576" spans="8:19">
      <c r="H1576" s="43"/>
      <c r="I1576" s="43"/>
      <c r="J1576" s="43"/>
      <c r="K1576" s="43"/>
      <c r="L1576" s="43"/>
      <c r="M1576" s="43"/>
      <c r="N1576" s="43"/>
      <c r="O1576" s="43"/>
      <c r="P1576" s="43"/>
      <c r="Q1576" s="43"/>
      <c r="R1576" s="43"/>
      <c r="S1576" s="43"/>
    </row>
    <row r="1577" spans="8:19">
      <c r="H1577" s="43"/>
      <c r="I1577" s="43"/>
      <c r="J1577" s="43"/>
      <c r="K1577" s="43"/>
      <c r="L1577" s="43"/>
      <c r="M1577" s="43"/>
      <c r="N1577" s="43"/>
      <c r="O1577" s="43"/>
      <c r="P1577" s="43"/>
      <c r="Q1577" s="43"/>
      <c r="R1577" s="43"/>
      <c r="S1577" s="43"/>
    </row>
    <row r="1578" spans="8:19">
      <c r="H1578" s="43"/>
      <c r="I1578" s="43"/>
      <c r="J1578" s="43"/>
      <c r="K1578" s="43"/>
      <c r="L1578" s="43"/>
      <c r="M1578" s="43"/>
      <c r="N1578" s="43"/>
      <c r="O1578" s="43"/>
      <c r="P1578" s="43"/>
      <c r="Q1578" s="43"/>
      <c r="R1578" s="43"/>
      <c r="S1578" s="43"/>
    </row>
    <row r="1579" spans="8:19">
      <c r="H1579" s="43"/>
      <c r="I1579" s="43"/>
      <c r="J1579" s="43"/>
      <c r="K1579" s="43"/>
      <c r="L1579" s="43"/>
      <c r="M1579" s="43"/>
      <c r="N1579" s="43"/>
      <c r="O1579" s="43"/>
      <c r="P1579" s="43"/>
      <c r="Q1579" s="43"/>
      <c r="R1579" s="43"/>
      <c r="S1579" s="43"/>
    </row>
    <row r="1580" spans="8:19">
      <c r="H1580" s="43"/>
      <c r="I1580" s="43"/>
      <c r="J1580" s="43"/>
      <c r="K1580" s="43"/>
      <c r="L1580" s="43"/>
      <c r="M1580" s="43"/>
      <c r="N1580" s="43"/>
      <c r="O1580" s="43"/>
      <c r="P1580" s="43"/>
      <c r="Q1580" s="43"/>
      <c r="R1580" s="43"/>
      <c r="S1580" s="43"/>
    </row>
    <row r="1581" spans="8:19">
      <c r="H1581" s="43"/>
      <c r="I1581" s="43"/>
      <c r="J1581" s="43"/>
      <c r="K1581" s="43"/>
      <c r="L1581" s="43"/>
      <c r="M1581" s="43"/>
      <c r="N1581" s="43"/>
      <c r="O1581" s="43"/>
      <c r="P1581" s="43"/>
      <c r="Q1581" s="43"/>
      <c r="R1581" s="43"/>
      <c r="S1581" s="43"/>
    </row>
    <row r="1582" spans="8:19">
      <c r="H1582" s="43"/>
      <c r="I1582" s="43"/>
      <c r="J1582" s="43"/>
      <c r="K1582" s="43"/>
      <c r="L1582" s="43"/>
      <c r="M1582" s="43"/>
      <c r="N1582" s="43"/>
      <c r="O1582" s="43"/>
      <c r="P1582" s="43"/>
      <c r="Q1582" s="43"/>
      <c r="R1582" s="43"/>
      <c r="S1582" s="43"/>
    </row>
    <row r="1583" spans="8:19">
      <c r="H1583" s="43"/>
      <c r="I1583" s="43"/>
      <c r="J1583" s="43"/>
      <c r="K1583" s="43"/>
      <c r="L1583" s="43"/>
      <c r="M1583" s="43"/>
      <c r="N1583" s="43"/>
      <c r="O1583" s="43"/>
      <c r="P1583" s="43"/>
      <c r="Q1583" s="43"/>
      <c r="R1583" s="43"/>
      <c r="S1583" s="43"/>
    </row>
    <row r="1584" spans="8:19">
      <c r="H1584" s="43"/>
      <c r="I1584" s="43"/>
      <c r="J1584" s="43"/>
      <c r="K1584" s="43"/>
      <c r="L1584" s="43"/>
      <c r="M1584" s="43"/>
      <c r="N1584" s="43"/>
      <c r="O1584" s="43"/>
      <c r="P1584" s="43"/>
      <c r="Q1584" s="43"/>
      <c r="R1584" s="43"/>
      <c r="S1584" s="43"/>
    </row>
    <row r="1585" spans="8:19">
      <c r="H1585" s="43"/>
      <c r="I1585" s="43"/>
      <c r="J1585" s="43"/>
      <c r="K1585" s="43"/>
      <c r="L1585" s="43"/>
      <c r="M1585" s="43"/>
      <c r="N1585" s="43"/>
      <c r="O1585" s="43"/>
      <c r="P1585" s="43"/>
      <c r="Q1585" s="43"/>
      <c r="R1585" s="43"/>
      <c r="S1585" s="43"/>
    </row>
    <row r="1586" spans="8:19">
      <c r="H1586" s="43"/>
      <c r="I1586" s="43"/>
      <c r="J1586" s="43"/>
      <c r="K1586" s="43"/>
      <c r="L1586" s="43"/>
      <c r="M1586" s="43"/>
      <c r="N1586" s="43"/>
      <c r="O1586" s="43"/>
      <c r="P1586" s="43"/>
      <c r="Q1586" s="43"/>
      <c r="R1586" s="43"/>
      <c r="S1586" s="43"/>
    </row>
    <row r="1587" spans="8:19">
      <c r="H1587" s="43"/>
      <c r="I1587" s="43"/>
      <c r="J1587" s="43"/>
      <c r="K1587" s="43"/>
      <c r="L1587" s="43"/>
      <c r="M1587" s="43"/>
      <c r="N1587" s="43"/>
      <c r="O1587" s="43"/>
      <c r="P1587" s="43"/>
      <c r="Q1587" s="43"/>
      <c r="R1587" s="43"/>
      <c r="S1587" s="43"/>
    </row>
    <row r="1588" spans="8:19">
      <c r="H1588" s="43"/>
      <c r="I1588" s="43"/>
      <c r="J1588" s="43"/>
      <c r="K1588" s="43"/>
      <c r="L1588" s="43"/>
      <c r="M1588" s="43"/>
      <c r="N1588" s="43"/>
      <c r="O1588" s="43"/>
      <c r="P1588" s="43"/>
      <c r="Q1588" s="43"/>
      <c r="R1588" s="43"/>
      <c r="S1588" s="43"/>
    </row>
    <row r="1589" spans="8:19">
      <c r="H1589" s="43"/>
      <c r="I1589" s="43"/>
      <c r="J1589" s="43"/>
      <c r="K1589" s="43"/>
      <c r="L1589" s="43"/>
      <c r="M1589" s="43"/>
      <c r="N1589" s="43"/>
      <c r="O1589" s="43"/>
      <c r="P1589" s="43"/>
      <c r="Q1589" s="43"/>
      <c r="R1589" s="43"/>
      <c r="S1589" s="43"/>
    </row>
    <row r="1590" spans="8:19">
      <c r="H1590" s="43"/>
      <c r="I1590" s="43"/>
      <c r="J1590" s="43"/>
      <c r="K1590" s="43"/>
      <c r="L1590" s="43"/>
      <c r="M1590" s="43"/>
      <c r="N1590" s="43"/>
      <c r="O1590" s="43"/>
      <c r="P1590" s="43"/>
      <c r="Q1590" s="43"/>
      <c r="R1590" s="43"/>
      <c r="S1590" s="43"/>
    </row>
    <row r="1591" spans="8:19">
      <c r="H1591" s="43"/>
      <c r="I1591" s="43"/>
      <c r="J1591" s="43"/>
      <c r="K1591" s="43"/>
      <c r="L1591" s="43"/>
      <c r="M1591" s="43"/>
      <c r="N1591" s="43"/>
      <c r="O1591" s="43"/>
      <c r="P1591" s="43"/>
      <c r="Q1591" s="43"/>
      <c r="R1591" s="43"/>
      <c r="S1591" s="43"/>
    </row>
    <row r="1592" spans="8:19">
      <c r="H1592" s="43"/>
      <c r="I1592" s="43"/>
      <c r="J1592" s="43"/>
      <c r="K1592" s="43"/>
      <c r="L1592" s="43"/>
      <c r="M1592" s="43"/>
      <c r="N1592" s="43"/>
      <c r="O1592" s="43"/>
      <c r="P1592" s="43"/>
      <c r="Q1592" s="43"/>
      <c r="R1592" s="43"/>
      <c r="S1592" s="43"/>
    </row>
    <row r="1593" spans="8:19">
      <c r="H1593" s="43"/>
      <c r="I1593" s="43"/>
      <c r="J1593" s="43"/>
      <c r="K1593" s="43"/>
      <c r="L1593" s="43"/>
      <c r="M1593" s="43"/>
      <c r="N1593" s="43"/>
      <c r="O1593" s="43"/>
      <c r="P1593" s="43"/>
      <c r="Q1593" s="43"/>
      <c r="R1593" s="43"/>
      <c r="S1593" s="43"/>
    </row>
    <row r="1594" spans="8:19">
      <c r="H1594" s="43"/>
      <c r="I1594" s="43"/>
      <c r="J1594" s="43"/>
      <c r="K1594" s="43"/>
      <c r="L1594" s="43"/>
      <c r="M1594" s="43"/>
      <c r="N1594" s="43"/>
      <c r="O1594" s="43"/>
      <c r="P1594" s="43"/>
      <c r="Q1594" s="43"/>
      <c r="R1594" s="43"/>
      <c r="S1594" s="43"/>
    </row>
    <row r="1595" spans="8:19">
      <c r="H1595" s="43"/>
      <c r="I1595" s="43"/>
      <c r="J1595" s="43"/>
      <c r="K1595" s="43"/>
      <c r="L1595" s="43"/>
      <c r="M1595" s="43"/>
      <c r="N1595" s="43"/>
      <c r="O1595" s="43"/>
      <c r="P1595" s="43"/>
      <c r="Q1595" s="43"/>
      <c r="R1595" s="43"/>
      <c r="S1595" s="43"/>
    </row>
    <row r="1596" spans="8:19">
      <c r="H1596" s="43"/>
      <c r="I1596" s="43"/>
      <c r="J1596" s="43"/>
      <c r="K1596" s="43"/>
      <c r="L1596" s="43"/>
      <c r="M1596" s="43"/>
      <c r="N1596" s="43"/>
      <c r="O1596" s="43"/>
      <c r="P1596" s="43"/>
      <c r="Q1596" s="43"/>
      <c r="R1596" s="43"/>
      <c r="S1596" s="43"/>
    </row>
    <row r="1597" spans="8:19">
      <c r="H1597" s="43"/>
      <c r="I1597" s="43"/>
      <c r="J1597" s="43"/>
      <c r="K1597" s="43"/>
      <c r="L1597" s="43"/>
      <c r="M1597" s="43"/>
      <c r="N1597" s="43"/>
      <c r="O1597" s="43"/>
      <c r="P1597" s="43"/>
      <c r="Q1597" s="43"/>
      <c r="R1597" s="43"/>
      <c r="S1597" s="43"/>
    </row>
    <row r="1598" spans="8:19">
      <c r="H1598" s="43"/>
      <c r="I1598" s="43"/>
      <c r="J1598" s="43"/>
      <c r="K1598" s="43"/>
      <c r="L1598" s="43"/>
      <c r="M1598" s="43"/>
      <c r="N1598" s="43"/>
      <c r="O1598" s="43"/>
      <c r="P1598" s="43"/>
      <c r="Q1598" s="43"/>
      <c r="R1598" s="43"/>
      <c r="S1598" s="43"/>
    </row>
    <row r="1599" spans="8:19">
      <c r="H1599" s="43"/>
      <c r="I1599" s="43"/>
      <c r="J1599" s="43"/>
      <c r="K1599" s="43"/>
      <c r="L1599" s="43"/>
      <c r="M1599" s="43"/>
      <c r="N1599" s="43"/>
      <c r="O1599" s="43"/>
      <c r="P1599" s="43"/>
      <c r="Q1599" s="43"/>
      <c r="R1599" s="43"/>
      <c r="S1599" s="43"/>
    </row>
    <row r="1600" spans="8:19">
      <c r="H1600" s="43"/>
      <c r="I1600" s="43"/>
      <c r="J1600" s="43"/>
      <c r="K1600" s="43"/>
      <c r="L1600" s="43"/>
      <c r="M1600" s="43"/>
      <c r="N1600" s="43"/>
      <c r="O1600" s="43"/>
      <c r="P1600" s="43"/>
      <c r="Q1600" s="43"/>
      <c r="R1600" s="43"/>
      <c r="S1600" s="43"/>
    </row>
    <row r="1601" spans="8:19">
      <c r="H1601" s="43"/>
      <c r="I1601" s="43"/>
      <c r="J1601" s="43"/>
      <c r="K1601" s="43"/>
      <c r="L1601" s="43"/>
      <c r="M1601" s="43"/>
      <c r="N1601" s="43"/>
      <c r="O1601" s="43"/>
      <c r="P1601" s="43"/>
      <c r="Q1601" s="43"/>
      <c r="R1601" s="43"/>
      <c r="S1601" s="43"/>
    </row>
    <row r="1602" spans="8:19">
      <c r="H1602" s="43"/>
      <c r="I1602" s="43"/>
      <c r="J1602" s="43"/>
      <c r="K1602" s="43"/>
      <c r="L1602" s="43"/>
      <c r="M1602" s="43"/>
      <c r="N1602" s="43"/>
      <c r="O1602" s="43"/>
      <c r="P1602" s="43"/>
      <c r="Q1602" s="43"/>
      <c r="R1602" s="43"/>
      <c r="S1602" s="43"/>
    </row>
    <row r="1603" spans="8:19">
      <c r="H1603" s="43"/>
      <c r="I1603" s="43"/>
      <c r="J1603" s="43"/>
      <c r="K1603" s="43"/>
      <c r="L1603" s="43"/>
      <c r="M1603" s="43"/>
      <c r="N1603" s="43"/>
      <c r="O1603" s="43"/>
      <c r="P1603" s="43"/>
      <c r="Q1603" s="43"/>
      <c r="R1603" s="43"/>
      <c r="S1603" s="43"/>
    </row>
    <row r="1604" spans="8:19">
      <c r="H1604" s="43"/>
      <c r="I1604" s="43"/>
      <c r="J1604" s="43"/>
      <c r="K1604" s="43"/>
      <c r="L1604" s="43"/>
      <c r="M1604" s="43"/>
      <c r="N1604" s="43"/>
      <c r="O1604" s="43"/>
      <c r="P1604" s="43"/>
      <c r="Q1604" s="43"/>
      <c r="R1604" s="43"/>
      <c r="S1604" s="43"/>
    </row>
    <row r="1605" spans="8:19">
      <c r="H1605" s="43"/>
      <c r="I1605" s="43"/>
      <c r="J1605" s="43"/>
      <c r="K1605" s="43"/>
      <c r="L1605" s="43"/>
      <c r="M1605" s="43"/>
      <c r="N1605" s="43"/>
      <c r="O1605" s="43"/>
      <c r="P1605" s="43"/>
      <c r="Q1605" s="43"/>
      <c r="R1605" s="43"/>
      <c r="S1605" s="43"/>
    </row>
    <row r="1606" spans="8:19">
      <c r="H1606" s="43"/>
      <c r="I1606" s="43"/>
      <c r="J1606" s="43"/>
      <c r="K1606" s="43"/>
      <c r="L1606" s="43"/>
      <c r="M1606" s="43"/>
      <c r="N1606" s="43"/>
      <c r="O1606" s="43"/>
      <c r="P1606" s="43"/>
      <c r="Q1606" s="43"/>
      <c r="R1606" s="43"/>
      <c r="S1606" s="43"/>
    </row>
    <row r="1607" spans="8:19">
      <c r="H1607" s="43"/>
      <c r="I1607" s="43"/>
      <c r="J1607" s="43"/>
      <c r="K1607" s="43"/>
      <c r="L1607" s="43"/>
      <c r="M1607" s="43"/>
      <c r="N1607" s="43"/>
      <c r="O1607" s="43"/>
      <c r="P1607" s="43"/>
      <c r="Q1607" s="43"/>
      <c r="R1607" s="43"/>
      <c r="S1607" s="43"/>
    </row>
    <row r="1608" spans="8:19">
      <c r="H1608" s="43"/>
      <c r="I1608" s="43"/>
      <c r="J1608" s="43"/>
      <c r="K1608" s="43"/>
      <c r="L1608" s="43"/>
      <c r="M1608" s="43"/>
      <c r="N1608" s="43"/>
      <c r="O1608" s="43"/>
      <c r="P1608" s="43"/>
      <c r="Q1608" s="43"/>
      <c r="R1608" s="43"/>
      <c r="S1608" s="43"/>
    </row>
    <row r="1609" spans="8:19">
      <c r="H1609" s="43"/>
      <c r="I1609" s="43"/>
      <c r="J1609" s="43"/>
      <c r="K1609" s="43"/>
      <c r="L1609" s="43"/>
      <c r="M1609" s="43"/>
      <c r="N1609" s="43"/>
      <c r="O1609" s="43"/>
      <c r="P1609" s="43"/>
      <c r="Q1609" s="43"/>
      <c r="R1609" s="43"/>
      <c r="S1609" s="43"/>
    </row>
    <row r="1610" spans="8:19">
      <c r="H1610" s="43"/>
      <c r="I1610" s="43"/>
      <c r="J1610" s="43"/>
      <c r="K1610" s="43"/>
      <c r="L1610" s="43"/>
      <c r="M1610" s="43"/>
      <c r="N1610" s="43"/>
      <c r="O1610" s="43"/>
      <c r="P1610" s="43"/>
      <c r="Q1610" s="43"/>
      <c r="R1610" s="43"/>
      <c r="S1610" s="43"/>
    </row>
    <row r="1611" spans="8:19">
      <c r="H1611" s="43"/>
      <c r="I1611" s="43"/>
      <c r="J1611" s="43"/>
      <c r="K1611" s="43"/>
      <c r="L1611" s="43"/>
      <c r="M1611" s="43"/>
      <c r="N1611" s="43"/>
      <c r="O1611" s="43"/>
      <c r="P1611" s="43"/>
      <c r="Q1611" s="43"/>
      <c r="R1611" s="43"/>
      <c r="S1611" s="43"/>
    </row>
    <row r="1612" spans="8:19">
      <c r="H1612" s="43"/>
      <c r="I1612" s="43"/>
      <c r="J1612" s="43"/>
      <c r="K1612" s="43"/>
      <c r="L1612" s="43"/>
      <c r="M1612" s="43"/>
      <c r="N1612" s="43"/>
      <c r="O1612" s="43"/>
      <c r="P1612" s="43"/>
      <c r="Q1612" s="43"/>
      <c r="R1612" s="43"/>
      <c r="S1612" s="43"/>
    </row>
    <row r="1613" spans="8:19">
      <c r="H1613" s="43"/>
      <c r="I1613" s="43"/>
      <c r="J1613" s="43"/>
      <c r="K1613" s="43"/>
      <c r="L1613" s="43"/>
      <c r="M1613" s="43"/>
      <c r="N1613" s="43"/>
      <c r="O1613" s="43"/>
      <c r="P1613" s="43"/>
      <c r="Q1613" s="43"/>
      <c r="R1613" s="43"/>
      <c r="S1613" s="43"/>
    </row>
    <row r="1614" spans="8:19">
      <c r="H1614" s="43"/>
      <c r="I1614" s="43"/>
      <c r="J1614" s="43"/>
      <c r="K1614" s="43"/>
      <c r="L1614" s="43"/>
      <c r="M1614" s="43"/>
      <c r="N1614" s="43"/>
      <c r="O1614" s="43"/>
      <c r="P1614" s="43"/>
      <c r="Q1614" s="43"/>
      <c r="R1614" s="43"/>
      <c r="S1614" s="43"/>
    </row>
    <row r="1615" spans="8:19">
      <c r="H1615" s="43"/>
      <c r="I1615" s="43"/>
      <c r="J1615" s="43"/>
      <c r="K1615" s="43"/>
      <c r="L1615" s="43"/>
      <c r="M1615" s="43"/>
      <c r="N1615" s="43"/>
      <c r="O1615" s="43"/>
      <c r="P1615" s="43"/>
      <c r="Q1615" s="43"/>
      <c r="R1615" s="43"/>
      <c r="S1615" s="43"/>
    </row>
    <row r="1616" spans="8:19">
      <c r="H1616" s="43"/>
      <c r="I1616" s="43"/>
      <c r="J1616" s="43"/>
      <c r="K1616" s="43"/>
      <c r="L1616" s="43"/>
      <c r="M1616" s="43"/>
      <c r="N1616" s="43"/>
      <c r="O1616" s="43"/>
      <c r="P1616" s="43"/>
      <c r="Q1616" s="43"/>
      <c r="R1616" s="43"/>
      <c r="S1616" s="43"/>
    </row>
    <row r="1617" spans="8:19">
      <c r="H1617" s="43"/>
      <c r="I1617" s="43"/>
      <c r="J1617" s="43"/>
      <c r="K1617" s="43"/>
      <c r="L1617" s="43"/>
      <c r="M1617" s="43"/>
      <c r="N1617" s="43"/>
      <c r="O1617" s="43"/>
      <c r="P1617" s="43"/>
      <c r="Q1617" s="43"/>
      <c r="R1617" s="43"/>
      <c r="S1617" s="43"/>
    </row>
    <row r="1618" spans="8:19">
      <c r="H1618" s="43"/>
      <c r="I1618" s="43"/>
      <c r="J1618" s="43"/>
      <c r="K1618" s="43"/>
      <c r="L1618" s="43"/>
      <c r="M1618" s="43"/>
      <c r="N1618" s="43"/>
      <c r="O1618" s="43"/>
      <c r="P1618" s="43"/>
      <c r="Q1618" s="43"/>
      <c r="R1618" s="43"/>
      <c r="S1618" s="43"/>
    </row>
    <row r="1619" spans="8:19">
      <c r="H1619" s="43"/>
      <c r="I1619" s="43"/>
      <c r="J1619" s="43"/>
      <c r="K1619" s="43"/>
      <c r="L1619" s="43"/>
      <c r="M1619" s="43"/>
      <c r="N1619" s="43"/>
      <c r="O1619" s="43"/>
      <c r="P1619" s="43"/>
      <c r="Q1619" s="43"/>
      <c r="R1619" s="43"/>
      <c r="S1619" s="43"/>
    </row>
    <row r="1620" spans="8:19">
      <c r="H1620" s="43"/>
      <c r="I1620" s="43"/>
      <c r="J1620" s="43"/>
      <c r="K1620" s="43"/>
      <c r="L1620" s="43"/>
      <c r="M1620" s="43"/>
      <c r="N1620" s="43"/>
      <c r="O1620" s="43"/>
      <c r="P1620" s="43"/>
      <c r="Q1620" s="43"/>
      <c r="R1620" s="43"/>
      <c r="S1620" s="43"/>
    </row>
    <row r="1621" spans="8:19">
      <c r="H1621" s="43"/>
      <c r="I1621" s="43"/>
      <c r="J1621" s="43"/>
      <c r="K1621" s="43"/>
      <c r="L1621" s="43"/>
      <c r="M1621" s="43"/>
      <c r="N1621" s="43"/>
      <c r="O1621" s="43"/>
      <c r="P1621" s="43"/>
      <c r="Q1621" s="43"/>
      <c r="R1621" s="43"/>
      <c r="S1621" s="43"/>
    </row>
    <row r="1622" spans="8:19">
      <c r="H1622" s="43"/>
      <c r="I1622" s="43"/>
      <c r="J1622" s="43"/>
      <c r="K1622" s="43"/>
      <c r="L1622" s="43"/>
      <c r="M1622" s="43"/>
      <c r="N1622" s="43"/>
      <c r="O1622" s="43"/>
      <c r="P1622" s="43"/>
      <c r="Q1622" s="43"/>
      <c r="R1622" s="43"/>
      <c r="S1622" s="43"/>
    </row>
    <row r="1623" spans="8:19">
      <c r="H1623" s="43"/>
      <c r="I1623" s="43"/>
      <c r="J1623" s="43"/>
      <c r="K1623" s="43"/>
      <c r="L1623" s="43"/>
      <c r="M1623" s="43"/>
      <c r="N1623" s="43"/>
      <c r="O1623" s="43"/>
      <c r="P1623" s="43"/>
      <c r="Q1623" s="43"/>
      <c r="R1623" s="43"/>
      <c r="S1623" s="43"/>
    </row>
    <row r="1624" spans="8:19">
      <c r="H1624" s="43"/>
      <c r="I1624" s="43"/>
      <c r="J1624" s="43"/>
      <c r="K1624" s="43"/>
      <c r="L1624" s="43"/>
      <c r="M1624" s="43"/>
      <c r="N1624" s="43"/>
      <c r="O1624" s="43"/>
      <c r="P1624" s="43"/>
      <c r="Q1624" s="43"/>
      <c r="R1624" s="43"/>
      <c r="S1624" s="43"/>
    </row>
    <row r="1625" spans="8:19">
      <c r="H1625" s="43"/>
      <c r="I1625" s="43"/>
      <c r="J1625" s="43"/>
      <c r="K1625" s="43"/>
      <c r="L1625" s="43"/>
      <c r="M1625" s="43"/>
      <c r="N1625" s="43"/>
      <c r="O1625" s="43"/>
      <c r="P1625" s="43"/>
      <c r="Q1625" s="43"/>
      <c r="R1625" s="43"/>
      <c r="S1625" s="43"/>
    </row>
    <row r="1626" spans="8:19">
      <c r="H1626" s="43"/>
      <c r="I1626" s="43"/>
      <c r="J1626" s="43"/>
      <c r="K1626" s="43"/>
      <c r="L1626" s="43"/>
      <c r="M1626" s="43"/>
      <c r="N1626" s="43"/>
      <c r="O1626" s="43"/>
      <c r="P1626" s="43"/>
      <c r="Q1626" s="43"/>
      <c r="R1626" s="43"/>
      <c r="S1626" s="43"/>
    </row>
    <row r="1627" spans="8:19">
      <c r="H1627" s="43"/>
      <c r="I1627" s="43"/>
      <c r="J1627" s="43"/>
      <c r="K1627" s="43"/>
      <c r="L1627" s="43"/>
      <c r="M1627" s="43"/>
      <c r="N1627" s="43"/>
      <c r="O1627" s="43"/>
      <c r="P1627" s="43"/>
      <c r="Q1627" s="43"/>
      <c r="R1627" s="43"/>
      <c r="S1627" s="43"/>
    </row>
    <row r="1628" spans="8:19">
      <c r="H1628" s="43"/>
      <c r="I1628" s="43"/>
      <c r="J1628" s="43"/>
      <c r="K1628" s="43"/>
      <c r="L1628" s="43"/>
      <c r="M1628" s="43"/>
      <c r="N1628" s="43"/>
      <c r="O1628" s="43"/>
      <c r="P1628" s="43"/>
      <c r="Q1628" s="43"/>
      <c r="R1628" s="43"/>
      <c r="S1628" s="43"/>
    </row>
    <row r="1629" spans="8:19">
      <c r="H1629" s="43"/>
      <c r="I1629" s="43"/>
      <c r="J1629" s="43"/>
      <c r="K1629" s="43"/>
      <c r="L1629" s="43"/>
      <c r="M1629" s="43"/>
      <c r="N1629" s="43"/>
      <c r="O1629" s="43"/>
      <c r="P1629" s="43"/>
      <c r="Q1629" s="43"/>
      <c r="R1629" s="43"/>
      <c r="S1629" s="43"/>
    </row>
    <row r="1630" spans="8:19">
      <c r="H1630" s="43"/>
      <c r="I1630" s="43"/>
      <c r="J1630" s="43"/>
      <c r="K1630" s="43"/>
      <c r="L1630" s="43"/>
      <c r="M1630" s="43"/>
      <c r="N1630" s="43"/>
      <c r="O1630" s="43"/>
      <c r="P1630" s="43"/>
      <c r="Q1630" s="43"/>
      <c r="R1630" s="43"/>
      <c r="S1630" s="43"/>
    </row>
    <row r="1631" spans="8:19">
      <c r="H1631" s="43"/>
      <c r="I1631" s="43"/>
      <c r="J1631" s="43"/>
      <c r="K1631" s="43"/>
      <c r="L1631" s="43"/>
      <c r="M1631" s="43"/>
      <c r="N1631" s="43"/>
      <c r="O1631" s="43"/>
      <c r="P1631" s="43"/>
      <c r="Q1631" s="43"/>
      <c r="R1631" s="43"/>
      <c r="S1631" s="43"/>
    </row>
    <row r="1632" spans="8:19">
      <c r="H1632" s="43"/>
      <c r="I1632" s="43"/>
      <c r="J1632" s="43"/>
      <c r="K1632" s="43"/>
      <c r="L1632" s="43"/>
      <c r="M1632" s="43"/>
      <c r="N1632" s="43"/>
      <c r="O1632" s="43"/>
      <c r="P1632" s="43"/>
      <c r="Q1632" s="43"/>
      <c r="R1632" s="43"/>
      <c r="S1632" s="43"/>
    </row>
    <row r="1633" spans="8:19">
      <c r="H1633" s="43"/>
      <c r="I1633" s="43"/>
      <c r="J1633" s="43"/>
      <c r="K1633" s="43"/>
      <c r="L1633" s="43"/>
      <c r="M1633" s="43"/>
      <c r="N1633" s="43"/>
      <c r="O1633" s="43"/>
      <c r="P1633" s="43"/>
      <c r="Q1633" s="43"/>
      <c r="R1633" s="43"/>
      <c r="S1633" s="43"/>
    </row>
    <row r="1634" spans="8:19">
      <c r="H1634" s="43"/>
      <c r="I1634" s="43"/>
      <c r="J1634" s="43"/>
      <c r="K1634" s="43"/>
      <c r="L1634" s="43"/>
      <c r="M1634" s="43"/>
      <c r="N1634" s="43"/>
      <c r="O1634" s="43"/>
      <c r="P1634" s="43"/>
      <c r="Q1634" s="43"/>
      <c r="R1634" s="43"/>
      <c r="S1634" s="43"/>
    </row>
    <row r="1635" spans="8:19">
      <c r="H1635" s="43"/>
      <c r="I1635" s="43"/>
      <c r="J1635" s="43"/>
      <c r="K1635" s="43"/>
      <c r="L1635" s="43"/>
      <c r="M1635" s="43"/>
      <c r="N1635" s="43"/>
      <c r="O1635" s="43"/>
      <c r="P1635" s="43"/>
      <c r="Q1635" s="43"/>
      <c r="R1635" s="43"/>
      <c r="S1635" s="43"/>
    </row>
    <row r="1636" spans="8:19">
      <c r="H1636" s="43"/>
      <c r="I1636" s="43"/>
      <c r="J1636" s="43"/>
      <c r="K1636" s="43"/>
      <c r="L1636" s="43"/>
      <c r="M1636" s="43"/>
      <c r="N1636" s="43"/>
      <c r="O1636" s="43"/>
      <c r="P1636" s="43"/>
      <c r="Q1636" s="43"/>
      <c r="R1636" s="43"/>
      <c r="S1636" s="43"/>
    </row>
    <row r="1637" spans="8:19">
      <c r="H1637" s="43"/>
      <c r="I1637" s="43"/>
      <c r="J1637" s="43"/>
      <c r="K1637" s="43"/>
      <c r="L1637" s="43"/>
      <c r="M1637" s="43"/>
      <c r="N1637" s="43"/>
      <c r="O1637" s="43"/>
      <c r="P1637" s="43"/>
      <c r="Q1637" s="43"/>
      <c r="R1637" s="43"/>
      <c r="S1637" s="43"/>
    </row>
    <row r="1638" spans="8:19">
      <c r="H1638" s="43"/>
      <c r="I1638" s="43"/>
      <c r="J1638" s="43"/>
      <c r="K1638" s="43"/>
      <c r="L1638" s="43"/>
      <c r="M1638" s="43"/>
      <c r="N1638" s="43"/>
      <c r="O1638" s="43"/>
      <c r="P1638" s="43"/>
      <c r="Q1638" s="43"/>
      <c r="R1638" s="43"/>
      <c r="S1638" s="43"/>
    </row>
    <row r="1639" spans="8:19">
      <c r="H1639" s="43"/>
      <c r="I1639" s="43"/>
      <c r="J1639" s="43"/>
      <c r="K1639" s="43"/>
      <c r="L1639" s="43"/>
      <c r="M1639" s="43"/>
      <c r="N1639" s="43"/>
      <c r="O1639" s="43"/>
      <c r="P1639" s="43"/>
      <c r="Q1639" s="43"/>
      <c r="R1639" s="43"/>
      <c r="S1639" s="43"/>
    </row>
    <row r="1640" spans="8:19">
      <c r="H1640" s="43"/>
      <c r="I1640" s="43"/>
      <c r="J1640" s="43"/>
      <c r="K1640" s="43"/>
      <c r="L1640" s="43"/>
      <c r="M1640" s="43"/>
      <c r="N1640" s="43"/>
      <c r="O1640" s="43"/>
      <c r="P1640" s="43"/>
      <c r="Q1640" s="43"/>
      <c r="R1640" s="43"/>
      <c r="S1640" s="43"/>
    </row>
    <row r="1641" spans="8:19">
      <c r="H1641" s="43"/>
      <c r="I1641" s="43"/>
      <c r="J1641" s="43"/>
      <c r="K1641" s="43"/>
      <c r="L1641" s="43"/>
      <c r="M1641" s="43"/>
      <c r="N1641" s="43"/>
      <c r="O1641" s="43"/>
      <c r="P1641" s="43"/>
      <c r="Q1641" s="43"/>
      <c r="R1641" s="43"/>
      <c r="S1641" s="43"/>
    </row>
    <row r="1642" spans="8:19">
      <c r="H1642" s="43"/>
      <c r="I1642" s="43"/>
      <c r="J1642" s="43"/>
      <c r="K1642" s="43"/>
      <c r="L1642" s="43"/>
      <c r="M1642" s="43"/>
      <c r="N1642" s="43"/>
      <c r="O1642" s="43"/>
      <c r="P1642" s="43"/>
      <c r="Q1642" s="43"/>
      <c r="R1642" s="43"/>
      <c r="S1642" s="43"/>
    </row>
    <row r="1643" spans="8:19">
      <c r="H1643" s="43"/>
      <c r="I1643" s="43"/>
      <c r="J1643" s="43"/>
      <c r="K1643" s="43"/>
      <c r="L1643" s="43"/>
      <c r="M1643" s="43"/>
      <c r="N1643" s="43"/>
      <c r="O1643" s="43"/>
      <c r="P1643" s="43"/>
      <c r="Q1643" s="43"/>
      <c r="R1643" s="43"/>
      <c r="S1643" s="43"/>
    </row>
    <row r="1644" spans="8:19">
      <c r="H1644" s="43"/>
      <c r="I1644" s="43"/>
      <c r="J1644" s="43"/>
      <c r="K1644" s="43"/>
      <c r="L1644" s="43"/>
      <c r="M1644" s="43"/>
      <c r="N1644" s="43"/>
      <c r="O1644" s="43"/>
      <c r="P1644" s="43"/>
      <c r="Q1644" s="43"/>
      <c r="R1644" s="43"/>
      <c r="S1644" s="43"/>
    </row>
    <row r="1645" spans="8:19">
      <c r="H1645" s="43"/>
      <c r="I1645" s="43"/>
      <c r="J1645" s="43"/>
      <c r="K1645" s="43"/>
      <c r="L1645" s="43"/>
      <c r="M1645" s="43"/>
      <c r="N1645" s="43"/>
      <c r="O1645" s="43"/>
      <c r="P1645" s="43"/>
      <c r="Q1645" s="43"/>
      <c r="R1645" s="43"/>
      <c r="S1645" s="43"/>
    </row>
    <row r="1646" spans="8:19">
      <c r="H1646" s="43"/>
      <c r="I1646" s="43"/>
      <c r="J1646" s="43"/>
      <c r="K1646" s="43"/>
      <c r="L1646" s="43"/>
      <c r="M1646" s="43"/>
      <c r="N1646" s="43"/>
      <c r="O1646" s="43"/>
      <c r="P1646" s="43"/>
      <c r="Q1646" s="43"/>
      <c r="R1646" s="43"/>
      <c r="S1646" s="43"/>
    </row>
    <row r="1647" spans="8:19">
      <c r="H1647" s="43"/>
      <c r="I1647" s="43"/>
      <c r="J1647" s="43"/>
      <c r="K1647" s="43"/>
      <c r="L1647" s="43"/>
      <c r="M1647" s="43"/>
      <c r="N1647" s="43"/>
      <c r="O1647" s="43"/>
      <c r="P1647" s="43"/>
      <c r="Q1647" s="43"/>
      <c r="R1647" s="43"/>
      <c r="S1647" s="43"/>
    </row>
    <row r="1648" spans="8:19">
      <c r="H1648" s="43"/>
      <c r="I1648" s="43"/>
      <c r="J1648" s="43"/>
      <c r="K1648" s="43"/>
      <c r="L1648" s="43"/>
      <c r="M1648" s="43"/>
      <c r="N1648" s="43"/>
      <c r="O1648" s="43"/>
      <c r="P1648" s="43"/>
      <c r="Q1648" s="43"/>
      <c r="R1648" s="43"/>
      <c r="S1648" s="43"/>
    </row>
    <row r="1649" spans="8:19">
      <c r="H1649" s="43"/>
      <c r="I1649" s="43"/>
      <c r="J1649" s="43"/>
      <c r="K1649" s="43"/>
      <c r="L1649" s="43"/>
      <c r="M1649" s="43"/>
      <c r="N1649" s="43"/>
      <c r="O1649" s="43"/>
      <c r="P1649" s="43"/>
      <c r="Q1649" s="43"/>
      <c r="R1649" s="43"/>
      <c r="S1649" s="43"/>
    </row>
    <row r="1650" spans="8:19">
      <c r="H1650" s="43"/>
      <c r="I1650" s="43"/>
      <c r="J1650" s="43"/>
      <c r="K1650" s="43"/>
      <c r="L1650" s="43"/>
      <c r="M1650" s="43"/>
      <c r="N1650" s="43"/>
      <c r="O1650" s="43"/>
      <c r="P1650" s="43"/>
      <c r="Q1650" s="43"/>
      <c r="R1650" s="43"/>
      <c r="S1650" s="43"/>
    </row>
    <row r="1651" spans="8:19">
      <c r="H1651" s="43"/>
      <c r="I1651" s="43"/>
      <c r="J1651" s="43"/>
      <c r="K1651" s="43"/>
      <c r="L1651" s="43"/>
      <c r="M1651" s="43"/>
      <c r="N1651" s="43"/>
      <c r="O1651" s="43"/>
      <c r="P1651" s="43"/>
      <c r="Q1651" s="43"/>
      <c r="R1651" s="43"/>
      <c r="S1651" s="43"/>
    </row>
    <row r="1652" spans="8:19">
      <c r="H1652" s="43"/>
      <c r="I1652" s="43"/>
      <c r="J1652" s="43"/>
      <c r="K1652" s="43"/>
      <c r="L1652" s="43"/>
      <c r="M1652" s="43"/>
      <c r="N1652" s="43"/>
      <c r="O1652" s="43"/>
      <c r="P1652" s="43"/>
      <c r="Q1652" s="43"/>
      <c r="R1652" s="43"/>
      <c r="S1652" s="43"/>
    </row>
    <row r="1653" spans="8:19">
      <c r="H1653" s="43"/>
      <c r="I1653" s="43"/>
      <c r="J1653" s="43"/>
      <c r="K1653" s="43"/>
      <c r="L1653" s="43"/>
      <c r="M1653" s="43"/>
      <c r="N1653" s="43"/>
      <c r="O1653" s="43"/>
      <c r="P1653" s="43"/>
      <c r="Q1653" s="43"/>
      <c r="R1653" s="43"/>
      <c r="S1653" s="43"/>
    </row>
    <row r="1654" spans="8:19">
      <c r="H1654" s="43"/>
      <c r="I1654" s="43"/>
      <c r="J1654" s="43"/>
      <c r="K1654" s="43"/>
      <c r="L1654" s="43"/>
      <c r="M1654" s="43"/>
      <c r="N1654" s="43"/>
      <c r="O1654" s="43"/>
      <c r="P1654" s="43"/>
      <c r="Q1654" s="43"/>
      <c r="R1654" s="43"/>
      <c r="S1654" s="43"/>
    </row>
    <row r="1655" spans="8:19">
      <c r="H1655" s="43"/>
      <c r="I1655" s="43"/>
      <c r="J1655" s="43"/>
      <c r="K1655" s="43"/>
      <c r="L1655" s="43"/>
      <c r="M1655" s="43"/>
      <c r="N1655" s="43"/>
      <c r="O1655" s="43"/>
      <c r="P1655" s="43"/>
      <c r="Q1655" s="43"/>
      <c r="R1655" s="43"/>
      <c r="S1655" s="43"/>
    </row>
    <row r="1656" spans="8:19">
      <c r="H1656" s="43"/>
      <c r="I1656" s="43"/>
      <c r="J1656" s="43"/>
      <c r="K1656" s="43"/>
      <c r="L1656" s="43"/>
      <c r="M1656" s="43"/>
      <c r="N1656" s="43"/>
      <c r="O1656" s="43"/>
      <c r="P1656" s="43"/>
      <c r="Q1656" s="43"/>
      <c r="R1656" s="43"/>
      <c r="S1656" s="43"/>
    </row>
    <row r="1657" spans="8:19">
      <c r="H1657" s="43"/>
      <c r="I1657" s="43"/>
      <c r="J1657" s="43"/>
      <c r="K1657" s="43"/>
      <c r="L1657" s="43"/>
      <c r="M1657" s="43"/>
      <c r="N1657" s="43"/>
      <c r="O1657" s="43"/>
      <c r="P1657" s="43"/>
      <c r="Q1657" s="43"/>
      <c r="R1657" s="43"/>
      <c r="S1657" s="43"/>
    </row>
    <row r="1658" spans="8:19">
      <c r="H1658" s="43"/>
      <c r="I1658" s="43"/>
      <c r="J1658" s="43"/>
      <c r="K1658" s="43"/>
      <c r="L1658" s="43"/>
      <c r="M1658" s="43"/>
      <c r="N1658" s="43"/>
      <c r="O1658" s="43"/>
      <c r="P1658" s="43"/>
      <c r="Q1658" s="43"/>
      <c r="R1658" s="43"/>
      <c r="S1658" s="43"/>
    </row>
    <row r="1659" spans="8:19">
      <c r="H1659" s="43"/>
      <c r="I1659" s="43"/>
      <c r="J1659" s="43"/>
      <c r="K1659" s="43"/>
      <c r="L1659" s="43"/>
      <c r="M1659" s="43"/>
      <c r="N1659" s="43"/>
      <c r="O1659" s="43"/>
      <c r="P1659" s="43"/>
      <c r="Q1659" s="43"/>
      <c r="R1659" s="43"/>
      <c r="S1659" s="43"/>
    </row>
    <row r="1660" spans="8:19">
      <c r="H1660" s="43"/>
      <c r="I1660" s="43"/>
      <c r="J1660" s="43"/>
      <c r="K1660" s="43"/>
      <c r="L1660" s="43"/>
      <c r="M1660" s="43"/>
      <c r="N1660" s="43"/>
      <c r="O1660" s="43"/>
      <c r="P1660" s="43"/>
      <c r="Q1660" s="43"/>
      <c r="R1660" s="43"/>
      <c r="S1660" s="43"/>
    </row>
    <row r="1661" spans="8:19">
      <c r="H1661" s="43"/>
      <c r="I1661" s="43"/>
      <c r="J1661" s="43"/>
      <c r="K1661" s="43"/>
      <c r="L1661" s="43"/>
      <c r="M1661" s="43"/>
      <c r="N1661" s="43"/>
      <c r="O1661" s="43"/>
      <c r="P1661" s="43"/>
      <c r="Q1661" s="43"/>
      <c r="R1661" s="43"/>
      <c r="S1661" s="43"/>
    </row>
    <row r="1662" spans="8:19">
      <c r="H1662" s="43"/>
      <c r="I1662" s="43"/>
      <c r="J1662" s="43"/>
      <c r="K1662" s="43"/>
      <c r="L1662" s="43"/>
      <c r="M1662" s="43"/>
      <c r="N1662" s="43"/>
      <c r="O1662" s="43"/>
      <c r="P1662" s="43"/>
      <c r="Q1662" s="43"/>
      <c r="R1662" s="43"/>
      <c r="S1662" s="43"/>
    </row>
    <row r="1663" spans="8:19">
      <c r="H1663" s="43"/>
      <c r="I1663" s="43"/>
      <c r="J1663" s="43"/>
      <c r="K1663" s="43"/>
      <c r="L1663" s="43"/>
      <c r="M1663" s="43"/>
      <c r="N1663" s="43"/>
      <c r="O1663" s="43"/>
      <c r="P1663" s="43"/>
      <c r="Q1663" s="43"/>
      <c r="R1663" s="43"/>
      <c r="S1663" s="43"/>
    </row>
    <row r="1664" spans="8:19">
      <c r="H1664" s="43"/>
      <c r="I1664" s="43"/>
      <c r="J1664" s="43"/>
      <c r="K1664" s="43"/>
      <c r="L1664" s="43"/>
      <c r="M1664" s="43"/>
      <c r="N1664" s="43"/>
      <c r="O1664" s="43"/>
      <c r="P1664" s="43"/>
      <c r="Q1664" s="43"/>
      <c r="R1664" s="43"/>
      <c r="S1664" s="43"/>
    </row>
    <row r="1665" spans="8:19">
      <c r="H1665" s="43"/>
      <c r="I1665" s="43"/>
      <c r="J1665" s="43"/>
      <c r="K1665" s="43"/>
      <c r="L1665" s="43"/>
      <c r="M1665" s="43"/>
      <c r="N1665" s="43"/>
      <c r="O1665" s="43"/>
      <c r="P1665" s="43"/>
      <c r="Q1665" s="43"/>
      <c r="R1665" s="43"/>
      <c r="S1665" s="43"/>
    </row>
    <row r="1666" spans="8:19">
      <c r="H1666" s="43"/>
      <c r="I1666" s="43"/>
      <c r="J1666" s="43"/>
      <c r="K1666" s="43"/>
      <c r="L1666" s="43"/>
      <c r="M1666" s="43"/>
      <c r="N1666" s="43"/>
      <c r="O1666" s="43"/>
      <c r="P1666" s="43"/>
      <c r="Q1666" s="43"/>
      <c r="R1666" s="43"/>
      <c r="S1666" s="43"/>
    </row>
    <row r="1667" spans="8:19">
      <c r="H1667" s="43"/>
      <c r="I1667" s="43"/>
      <c r="J1667" s="43"/>
      <c r="K1667" s="43"/>
      <c r="L1667" s="43"/>
      <c r="M1667" s="43"/>
      <c r="N1667" s="43"/>
      <c r="O1667" s="43"/>
      <c r="P1667" s="43"/>
      <c r="Q1667" s="43"/>
      <c r="R1667" s="43"/>
      <c r="S1667" s="43"/>
    </row>
    <row r="1668" spans="8:19">
      <c r="H1668" s="43"/>
      <c r="I1668" s="43"/>
      <c r="J1668" s="43"/>
      <c r="K1668" s="43"/>
      <c r="L1668" s="43"/>
      <c r="M1668" s="43"/>
      <c r="N1668" s="43"/>
      <c r="O1668" s="43"/>
      <c r="P1668" s="43"/>
      <c r="Q1668" s="43"/>
      <c r="R1668" s="43"/>
      <c r="S1668" s="43"/>
    </row>
    <row r="1669" spans="8:19">
      <c r="H1669" s="43"/>
      <c r="I1669" s="43"/>
      <c r="J1669" s="43"/>
      <c r="K1669" s="43"/>
      <c r="L1669" s="43"/>
      <c r="M1669" s="43"/>
      <c r="N1669" s="43"/>
      <c r="O1669" s="43"/>
      <c r="P1669" s="43"/>
      <c r="Q1669" s="43"/>
      <c r="R1669" s="43"/>
      <c r="S1669" s="43"/>
    </row>
    <row r="1670" spans="8:19">
      <c r="H1670" s="43"/>
      <c r="I1670" s="43"/>
      <c r="J1670" s="43"/>
      <c r="K1670" s="43"/>
      <c r="L1670" s="43"/>
      <c r="M1670" s="43"/>
      <c r="N1670" s="43"/>
      <c r="O1670" s="43"/>
      <c r="P1670" s="43"/>
      <c r="Q1670" s="43"/>
      <c r="R1670" s="43"/>
      <c r="S1670" s="43"/>
    </row>
    <row r="1671" spans="8:19">
      <c r="H1671" s="43"/>
      <c r="I1671" s="43"/>
      <c r="J1671" s="43"/>
      <c r="K1671" s="43"/>
      <c r="L1671" s="43"/>
      <c r="M1671" s="43"/>
      <c r="N1671" s="43"/>
      <c r="O1671" s="43"/>
      <c r="P1671" s="43"/>
      <c r="Q1671" s="43"/>
      <c r="R1671" s="43"/>
      <c r="S1671" s="43"/>
    </row>
    <row r="1672" spans="8:19">
      <c r="H1672" s="43"/>
      <c r="I1672" s="43"/>
      <c r="J1672" s="43"/>
      <c r="K1672" s="43"/>
      <c r="L1672" s="43"/>
      <c r="M1672" s="43"/>
      <c r="N1672" s="43"/>
      <c r="O1672" s="43"/>
      <c r="P1672" s="43"/>
      <c r="Q1672" s="43"/>
      <c r="R1672" s="43"/>
      <c r="S1672" s="43"/>
    </row>
    <row r="1673" spans="8:19">
      <c r="H1673" s="43"/>
      <c r="I1673" s="43"/>
      <c r="J1673" s="43"/>
      <c r="K1673" s="43"/>
      <c r="L1673" s="43"/>
      <c r="M1673" s="43"/>
      <c r="N1673" s="43"/>
      <c r="O1673" s="43"/>
      <c r="P1673" s="43"/>
      <c r="Q1673" s="43"/>
      <c r="R1673" s="43"/>
      <c r="S1673" s="43"/>
    </row>
    <row r="1674" spans="8:19">
      <c r="H1674" s="43"/>
      <c r="I1674" s="43"/>
      <c r="J1674" s="43"/>
      <c r="K1674" s="43"/>
      <c r="L1674" s="43"/>
      <c r="M1674" s="43"/>
      <c r="N1674" s="43"/>
      <c r="O1674" s="43"/>
      <c r="P1674" s="43"/>
      <c r="Q1674" s="43"/>
      <c r="R1674" s="43"/>
      <c r="S1674" s="43"/>
    </row>
    <row r="1675" spans="8:19">
      <c r="H1675" s="43"/>
      <c r="I1675" s="43"/>
      <c r="J1675" s="43"/>
      <c r="K1675" s="43"/>
      <c r="L1675" s="43"/>
      <c r="M1675" s="43"/>
      <c r="N1675" s="43"/>
      <c r="O1675" s="43"/>
      <c r="P1675" s="43"/>
      <c r="Q1675" s="43"/>
      <c r="R1675" s="43"/>
      <c r="S1675" s="43"/>
    </row>
    <row r="1676" spans="8:19">
      <c r="H1676" s="43"/>
      <c r="I1676" s="43"/>
      <c r="J1676" s="43"/>
      <c r="K1676" s="43"/>
      <c r="L1676" s="43"/>
      <c r="M1676" s="43"/>
      <c r="N1676" s="43"/>
      <c r="O1676" s="43"/>
      <c r="P1676" s="43"/>
      <c r="Q1676" s="43"/>
      <c r="R1676" s="43"/>
      <c r="S1676" s="43"/>
    </row>
    <row r="1677" spans="8:19">
      <c r="H1677" s="43"/>
      <c r="I1677" s="43"/>
      <c r="J1677" s="43"/>
      <c r="K1677" s="43"/>
      <c r="L1677" s="43"/>
      <c r="M1677" s="43"/>
      <c r="N1677" s="43"/>
      <c r="O1677" s="43"/>
      <c r="P1677" s="43"/>
      <c r="Q1677" s="43"/>
      <c r="R1677" s="43"/>
      <c r="S1677" s="43"/>
    </row>
    <row r="1678" spans="8:19">
      <c r="H1678" s="43"/>
      <c r="I1678" s="43"/>
      <c r="J1678" s="43"/>
      <c r="K1678" s="43"/>
      <c r="L1678" s="43"/>
      <c r="M1678" s="43"/>
      <c r="N1678" s="43"/>
      <c r="O1678" s="43"/>
      <c r="P1678" s="43"/>
      <c r="Q1678" s="43"/>
      <c r="R1678" s="43"/>
      <c r="S1678" s="43"/>
    </row>
    <row r="1679" spans="8:19">
      <c r="H1679" s="43"/>
      <c r="I1679" s="43"/>
      <c r="J1679" s="43"/>
      <c r="K1679" s="43"/>
      <c r="L1679" s="43"/>
      <c r="M1679" s="43"/>
      <c r="N1679" s="43"/>
      <c r="O1679" s="43"/>
      <c r="P1679" s="43"/>
      <c r="Q1679" s="43"/>
      <c r="R1679" s="43"/>
      <c r="S1679" s="43"/>
    </row>
    <row r="1680" spans="8:19">
      <c r="H1680" s="43"/>
      <c r="I1680" s="43"/>
      <c r="J1680" s="43"/>
      <c r="K1680" s="43"/>
      <c r="L1680" s="43"/>
      <c r="M1680" s="43"/>
      <c r="N1680" s="43"/>
      <c r="O1680" s="43"/>
      <c r="P1680" s="43"/>
      <c r="Q1680" s="43"/>
      <c r="R1680" s="43"/>
      <c r="S1680" s="43"/>
    </row>
    <row r="1681" spans="8:19">
      <c r="H1681" s="43"/>
      <c r="I1681" s="43"/>
      <c r="J1681" s="43"/>
      <c r="K1681" s="43"/>
      <c r="L1681" s="43"/>
      <c r="M1681" s="43"/>
      <c r="N1681" s="43"/>
      <c r="O1681" s="43"/>
      <c r="P1681" s="43"/>
      <c r="Q1681" s="43"/>
      <c r="R1681" s="43"/>
      <c r="S1681" s="43"/>
    </row>
    <row r="1682" spans="8:19">
      <c r="H1682" s="43"/>
      <c r="I1682" s="43"/>
      <c r="J1682" s="43"/>
      <c r="K1682" s="43"/>
      <c r="L1682" s="43"/>
      <c r="M1682" s="43"/>
      <c r="N1682" s="43"/>
      <c r="O1682" s="43"/>
      <c r="P1682" s="43"/>
      <c r="Q1682" s="43"/>
      <c r="R1682" s="43"/>
      <c r="S1682" s="43"/>
    </row>
    <row r="1683" spans="8:19">
      <c r="H1683" s="43"/>
      <c r="I1683" s="43"/>
      <c r="J1683" s="43"/>
      <c r="K1683" s="43"/>
      <c r="L1683" s="43"/>
      <c r="M1683" s="43"/>
      <c r="N1683" s="43"/>
      <c r="O1683" s="43"/>
      <c r="P1683" s="43"/>
      <c r="Q1683" s="43"/>
      <c r="R1683" s="43"/>
      <c r="S1683" s="43"/>
    </row>
    <row r="1684" spans="8:19">
      <c r="H1684" s="43"/>
      <c r="I1684" s="43"/>
      <c r="J1684" s="43"/>
      <c r="K1684" s="43"/>
      <c r="L1684" s="43"/>
      <c r="M1684" s="43"/>
      <c r="N1684" s="43"/>
      <c r="O1684" s="43"/>
      <c r="P1684" s="43"/>
      <c r="Q1684" s="43"/>
      <c r="R1684" s="43"/>
      <c r="S1684" s="43"/>
    </row>
    <row r="1685" spans="8:19">
      <c r="H1685" s="43"/>
      <c r="I1685" s="43"/>
      <c r="J1685" s="43"/>
      <c r="K1685" s="43"/>
      <c r="L1685" s="43"/>
      <c r="M1685" s="43"/>
      <c r="N1685" s="43"/>
      <c r="O1685" s="43"/>
      <c r="P1685" s="43"/>
      <c r="Q1685" s="43"/>
      <c r="R1685" s="43"/>
      <c r="S1685" s="43"/>
    </row>
    <row r="1686" spans="8:19">
      <c r="H1686" s="43"/>
      <c r="I1686" s="43"/>
      <c r="J1686" s="43"/>
      <c r="K1686" s="43"/>
      <c r="L1686" s="43"/>
      <c r="M1686" s="43"/>
      <c r="N1686" s="43"/>
      <c r="O1686" s="43"/>
      <c r="P1686" s="43"/>
      <c r="Q1686" s="43"/>
      <c r="R1686" s="43"/>
      <c r="S1686" s="43"/>
    </row>
    <row r="1687" spans="8:19">
      <c r="H1687" s="43"/>
      <c r="I1687" s="43"/>
      <c r="J1687" s="43"/>
      <c r="K1687" s="43"/>
      <c r="L1687" s="43"/>
      <c r="M1687" s="43"/>
      <c r="N1687" s="43"/>
      <c r="O1687" s="43"/>
      <c r="P1687" s="43"/>
      <c r="Q1687" s="43"/>
      <c r="R1687" s="43"/>
      <c r="S1687" s="43"/>
    </row>
    <row r="1688" spans="8:19">
      <c r="H1688" s="43"/>
      <c r="I1688" s="43"/>
      <c r="J1688" s="43"/>
      <c r="K1688" s="43"/>
      <c r="L1688" s="43"/>
      <c r="M1688" s="43"/>
      <c r="N1688" s="43"/>
      <c r="O1688" s="43"/>
      <c r="P1688" s="43"/>
      <c r="Q1688" s="43"/>
      <c r="R1688" s="43"/>
      <c r="S1688" s="43"/>
    </row>
    <row r="1689" spans="8:19">
      <c r="H1689" s="43"/>
      <c r="I1689" s="43"/>
      <c r="J1689" s="43"/>
      <c r="K1689" s="43"/>
      <c r="L1689" s="43"/>
      <c r="M1689" s="43"/>
      <c r="N1689" s="43"/>
      <c r="O1689" s="43"/>
      <c r="P1689" s="43"/>
      <c r="Q1689" s="43"/>
      <c r="R1689" s="43"/>
      <c r="S1689" s="43"/>
    </row>
    <row r="1690" spans="8:19">
      <c r="H1690" s="43"/>
      <c r="I1690" s="43"/>
      <c r="J1690" s="43"/>
      <c r="K1690" s="43"/>
      <c r="L1690" s="43"/>
      <c r="M1690" s="43"/>
      <c r="N1690" s="43"/>
      <c r="O1690" s="43"/>
      <c r="P1690" s="43"/>
      <c r="Q1690" s="43"/>
      <c r="R1690" s="43"/>
      <c r="S1690" s="43"/>
    </row>
    <row r="1691" spans="8:19">
      <c r="H1691" s="43"/>
      <c r="I1691" s="43"/>
      <c r="J1691" s="43"/>
      <c r="K1691" s="43"/>
      <c r="L1691" s="43"/>
      <c r="M1691" s="43"/>
      <c r="N1691" s="43"/>
      <c r="O1691" s="43"/>
      <c r="P1691" s="43"/>
      <c r="Q1691" s="43"/>
      <c r="R1691" s="43"/>
      <c r="S1691" s="43"/>
    </row>
    <row r="1692" spans="8:19">
      <c r="H1692" s="43"/>
      <c r="I1692" s="43"/>
      <c r="J1692" s="43"/>
      <c r="K1692" s="43"/>
      <c r="L1692" s="43"/>
      <c r="M1692" s="43"/>
      <c r="N1692" s="43"/>
      <c r="O1692" s="43"/>
      <c r="P1692" s="43"/>
      <c r="Q1692" s="43"/>
      <c r="R1692" s="43"/>
      <c r="S1692" s="43"/>
    </row>
    <row r="1693" spans="8:19">
      <c r="H1693" s="43"/>
      <c r="I1693" s="43"/>
      <c r="J1693" s="43"/>
      <c r="K1693" s="43"/>
      <c r="L1693" s="43"/>
      <c r="M1693" s="43"/>
      <c r="N1693" s="43"/>
      <c r="O1693" s="43"/>
      <c r="P1693" s="43"/>
      <c r="Q1693" s="43"/>
      <c r="R1693" s="43"/>
      <c r="S1693" s="43"/>
    </row>
    <row r="1694" spans="8:19">
      <c r="H1694" s="43"/>
      <c r="I1694" s="43"/>
      <c r="J1694" s="43"/>
      <c r="K1694" s="43"/>
      <c r="L1694" s="43"/>
      <c r="M1694" s="43"/>
      <c r="N1694" s="43"/>
      <c r="O1694" s="43"/>
      <c r="P1694" s="43"/>
      <c r="Q1694" s="43"/>
      <c r="R1694" s="43"/>
      <c r="S1694" s="43"/>
    </row>
    <row r="1695" spans="8:19">
      <c r="H1695" s="43"/>
      <c r="I1695" s="43"/>
      <c r="J1695" s="43"/>
      <c r="K1695" s="43"/>
      <c r="L1695" s="43"/>
      <c r="M1695" s="43"/>
      <c r="N1695" s="43"/>
      <c r="O1695" s="43"/>
      <c r="P1695" s="43"/>
      <c r="Q1695" s="43"/>
      <c r="R1695" s="43"/>
      <c r="S1695" s="43"/>
    </row>
    <row r="1696" spans="8:19">
      <c r="H1696" s="43"/>
      <c r="I1696" s="43"/>
      <c r="J1696" s="43"/>
      <c r="K1696" s="43"/>
      <c r="L1696" s="43"/>
      <c r="M1696" s="43"/>
      <c r="N1696" s="43"/>
      <c r="O1696" s="43"/>
      <c r="P1696" s="43"/>
      <c r="Q1696" s="43"/>
      <c r="R1696" s="43"/>
      <c r="S1696" s="43"/>
    </row>
    <row r="1697" spans="8:19">
      <c r="H1697" s="43"/>
      <c r="I1697" s="43"/>
      <c r="J1697" s="43"/>
      <c r="K1697" s="43"/>
      <c r="L1697" s="43"/>
      <c r="M1697" s="43"/>
      <c r="N1697" s="43"/>
      <c r="O1697" s="43"/>
      <c r="P1697" s="43"/>
      <c r="Q1697" s="43"/>
      <c r="R1697" s="43"/>
      <c r="S1697" s="43"/>
    </row>
    <row r="1698" spans="8:19">
      <c r="H1698" s="43"/>
      <c r="I1698" s="43"/>
      <c r="J1698" s="43"/>
      <c r="K1698" s="43"/>
      <c r="L1698" s="43"/>
      <c r="M1698" s="43"/>
      <c r="N1698" s="43"/>
      <c r="O1698" s="43"/>
      <c r="P1698" s="43"/>
      <c r="Q1698" s="43"/>
      <c r="R1698" s="43"/>
      <c r="S1698" s="43"/>
    </row>
    <row r="1699" spans="8:19">
      <c r="H1699" s="43"/>
      <c r="I1699" s="43"/>
      <c r="J1699" s="43"/>
      <c r="K1699" s="43"/>
      <c r="L1699" s="43"/>
      <c r="M1699" s="43"/>
      <c r="N1699" s="43"/>
      <c r="O1699" s="43"/>
      <c r="P1699" s="43"/>
      <c r="Q1699" s="43"/>
      <c r="R1699" s="43"/>
      <c r="S1699" s="43"/>
    </row>
    <row r="1700" spans="8:19">
      <c r="H1700" s="43"/>
      <c r="I1700" s="43"/>
      <c r="J1700" s="43"/>
      <c r="K1700" s="43"/>
      <c r="L1700" s="43"/>
      <c r="M1700" s="43"/>
      <c r="N1700" s="43"/>
      <c r="O1700" s="43"/>
      <c r="P1700" s="43"/>
      <c r="Q1700" s="43"/>
      <c r="R1700" s="43"/>
      <c r="S1700" s="43"/>
    </row>
    <row r="1701" spans="8:19">
      <c r="H1701" s="43"/>
      <c r="I1701" s="43"/>
      <c r="J1701" s="43"/>
      <c r="K1701" s="43"/>
      <c r="L1701" s="43"/>
      <c r="M1701" s="43"/>
      <c r="N1701" s="43"/>
      <c r="O1701" s="43"/>
      <c r="P1701" s="43"/>
      <c r="Q1701" s="43"/>
      <c r="R1701" s="43"/>
      <c r="S1701" s="43"/>
    </row>
    <row r="1702" spans="8:19">
      <c r="H1702" s="43"/>
      <c r="I1702" s="43"/>
      <c r="J1702" s="43"/>
      <c r="K1702" s="43"/>
      <c r="L1702" s="43"/>
      <c r="M1702" s="43"/>
      <c r="N1702" s="43"/>
      <c r="O1702" s="43"/>
      <c r="P1702" s="43"/>
      <c r="Q1702" s="43"/>
      <c r="R1702" s="43"/>
      <c r="S1702" s="43"/>
    </row>
    <row r="1703" spans="8:19">
      <c r="H1703" s="43"/>
      <c r="I1703" s="43"/>
      <c r="J1703" s="43"/>
      <c r="K1703" s="43"/>
      <c r="L1703" s="43"/>
      <c r="M1703" s="43"/>
      <c r="N1703" s="43"/>
      <c r="O1703" s="43"/>
      <c r="P1703" s="43"/>
      <c r="Q1703" s="43"/>
      <c r="R1703" s="43"/>
      <c r="S1703" s="43"/>
    </row>
    <row r="1704" spans="8:19">
      <c r="H1704" s="43"/>
      <c r="I1704" s="43"/>
      <c r="J1704" s="43"/>
      <c r="K1704" s="43"/>
      <c r="L1704" s="43"/>
      <c r="M1704" s="43"/>
      <c r="N1704" s="43"/>
      <c r="O1704" s="43"/>
      <c r="P1704" s="43"/>
      <c r="Q1704" s="43"/>
      <c r="R1704" s="43"/>
      <c r="S1704" s="43"/>
    </row>
    <row r="1705" spans="8:19">
      <c r="H1705" s="43"/>
      <c r="I1705" s="43"/>
      <c r="J1705" s="43"/>
      <c r="K1705" s="43"/>
      <c r="L1705" s="43"/>
      <c r="M1705" s="43"/>
      <c r="N1705" s="43"/>
      <c r="O1705" s="43"/>
      <c r="P1705" s="43"/>
      <c r="Q1705" s="43"/>
      <c r="R1705" s="43"/>
      <c r="S1705" s="43"/>
    </row>
    <row r="1706" spans="8:19">
      <c r="H1706" s="43"/>
      <c r="I1706" s="43"/>
      <c r="J1706" s="43"/>
      <c r="K1706" s="43"/>
      <c r="L1706" s="43"/>
      <c r="M1706" s="43"/>
      <c r="N1706" s="43"/>
      <c r="O1706" s="43"/>
      <c r="P1706" s="43"/>
      <c r="Q1706" s="43"/>
      <c r="R1706" s="43"/>
      <c r="S1706" s="43"/>
    </row>
    <row r="1707" spans="8:19">
      <c r="H1707" s="43"/>
      <c r="I1707" s="43"/>
      <c r="J1707" s="43"/>
      <c r="K1707" s="43"/>
      <c r="L1707" s="43"/>
      <c r="M1707" s="43"/>
      <c r="N1707" s="43"/>
      <c r="O1707" s="43"/>
      <c r="P1707" s="43"/>
      <c r="Q1707" s="43"/>
      <c r="R1707" s="43"/>
      <c r="S1707" s="43"/>
    </row>
    <row r="1708" spans="8:19">
      <c r="H1708" s="43"/>
      <c r="I1708" s="43"/>
      <c r="J1708" s="43"/>
      <c r="K1708" s="43"/>
      <c r="L1708" s="43"/>
      <c r="M1708" s="43"/>
      <c r="N1708" s="43"/>
      <c r="O1708" s="43"/>
      <c r="P1708" s="43"/>
      <c r="Q1708" s="43"/>
      <c r="R1708" s="43"/>
      <c r="S1708" s="43"/>
    </row>
    <row r="1709" spans="8:19">
      <c r="H1709" s="43"/>
      <c r="I1709" s="43"/>
      <c r="J1709" s="43"/>
      <c r="K1709" s="43"/>
      <c r="L1709" s="43"/>
      <c r="M1709" s="43"/>
      <c r="N1709" s="43"/>
      <c r="O1709" s="43"/>
      <c r="P1709" s="43"/>
      <c r="Q1709" s="43"/>
      <c r="R1709" s="43"/>
      <c r="S1709" s="43"/>
    </row>
    <row r="1710" spans="8:19">
      <c r="H1710" s="43"/>
      <c r="I1710" s="43"/>
      <c r="J1710" s="43"/>
      <c r="K1710" s="43"/>
      <c r="L1710" s="43"/>
      <c r="M1710" s="43"/>
      <c r="N1710" s="43"/>
      <c r="O1710" s="43"/>
      <c r="P1710" s="43"/>
      <c r="Q1710" s="43"/>
      <c r="R1710" s="43"/>
      <c r="S1710" s="43"/>
    </row>
    <row r="1711" spans="8:19">
      <c r="H1711" s="43"/>
      <c r="I1711" s="43"/>
      <c r="J1711" s="43"/>
      <c r="K1711" s="43"/>
      <c r="L1711" s="43"/>
      <c r="M1711" s="43"/>
      <c r="N1711" s="43"/>
      <c r="O1711" s="43"/>
      <c r="P1711" s="43"/>
      <c r="Q1711" s="43"/>
      <c r="R1711" s="43"/>
      <c r="S1711" s="43"/>
    </row>
    <row r="1712" spans="8:19">
      <c r="H1712" s="43"/>
      <c r="I1712" s="43"/>
      <c r="J1712" s="43"/>
      <c r="K1712" s="43"/>
      <c r="L1712" s="43"/>
      <c r="M1712" s="43"/>
      <c r="N1712" s="43"/>
      <c r="O1712" s="43"/>
      <c r="P1712" s="43"/>
      <c r="Q1712" s="43"/>
      <c r="R1712" s="43"/>
      <c r="S1712" s="43"/>
    </row>
    <row r="1713" spans="8:19">
      <c r="H1713" s="43"/>
      <c r="I1713" s="43"/>
      <c r="J1713" s="43"/>
      <c r="K1713" s="43"/>
      <c r="L1713" s="43"/>
      <c r="M1713" s="43"/>
      <c r="N1713" s="43"/>
      <c r="O1713" s="43"/>
      <c r="P1713" s="43"/>
      <c r="Q1713" s="43"/>
      <c r="R1713" s="43"/>
      <c r="S1713" s="43"/>
    </row>
    <row r="1714" spans="8:19">
      <c r="H1714" s="43"/>
      <c r="I1714" s="43"/>
      <c r="J1714" s="43"/>
      <c r="K1714" s="43"/>
      <c r="L1714" s="43"/>
      <c r="M1714" s="43"/>
      <c r="N1714" s="43"/>
      <c r="O1714" s="43"/>
      <c r="P1714" s="43"/>
      <c r="Q1714" s="43"/>
      <c r="R1714" s="43"/>
      <c r="S1714" s="43"/>
    </row>
    <row r="1715" spans="8:19">
      <c r="H1715" s="43"/>
      <c r="I1715" s="43"/>
      <c r="J1715" s="43"/>
      <c r="K1715" s="43"/>
      <c r="L1715" s="43"/>
      <c r="M1715" s="43"/>
      <c r="N1715" s="43"/>
      <c r="O1715" s="43"/>
      <c r="P1715" s="43"/>
      <c r="Q1715" s="43"/>
      <c r="R1715" s="43"/>
      <c r="S1715" s="43"/>
    </row>
    <row r="1716" spans="8:19">
      <c r="H1716" s="43"/>
      <c r="I1716" s="43"/>
      <c r="J1716" s="43"/>
      <c r="K1716" s="43"/>
      <c r="L1716" s="43"/>
      <c r="M1716" s="43"/>
      <c r="N1716" s="43"/>
      <c r="O1716" s="43"/>
      <c r="P1716" s="43"/>
      <c r="Q1716" s="43"/>
      <c r="R1716" s="43"/>
      <c r="S1716" s="43"/>
    </row>
    <row r="1717" spans="8:19">
      <c r="H1717" s="43"/>
      <c r="I1717" s="43"/>
      <c r="J1717" s="43"/>
      <c r="K1717" s="43"/>
      <c r="L1717" s="43"/>
      <c r="M1717" s="43"/>
      <c r="N1717" s="43"/>
      <c r="O1717" s="43"/>
      <c r="P1717" s="43"/>
      <c r="Q1717" s="43"/>
      <c r="R1717" s="43"/>
      <c r="S1717" s="43"/>
    </row>
    <row r="1718" spans="8:19">
      <c r="H1718" s="43"/>
      <c r="I1718" s="43"/>
      <c r="J1718" s="43"/>
      <c r="K1718" s="43"/>
      <c r="L1718" s="43"/>
      <c r="M1718" s="43"/>
      <c r="N1718" s="43"/>
      <c r="O1718" s="43"/>
      <c r="P1718" s="43"/>
      <c r="Q1718" s="43"/>
      <c r="R1718" s="43"/>
      <c r="S1718" s="43"/>
    </row>
    <row r="1719" spans="8:19">
      <c r="H1719" s="43"/>
      <c r="I1719" s="43"/>
      <c r="J1719" s="43"/>
      <c r="K1719" s="43"/>
      <c r="L1719" s="43"/>
      <c r="M1719" s="43"/>
      <c r="N1719" s="43"/>
      <c r="O1719" s="43"/>
      <c r="P1719" s="43"/>
      <c r="Q1719" s="43"/>
      <c r="R1719" s="43"/>
      <c r="S1719" s="43"/>
    </row>
    <row r="1720" spans="8:19">
      <c r="H1720" s="43"/>
      <c r="I1720" s="43"/>
      <c r="J1720" s="43"/>
      <c r="K1720" s="43"/>
      <c r="L1720" s="43"/>
      <c r="M1720" s="43"/>
      <c r="N1720" s="43"/>
      <c r="O1720" s="43"/>
      <c r="P1720" s="43"/>
      <c r="Q1720" s="43"/>
      <c r="R1720" s="43"/>
      <c r="S1720" s="43"/>
    </row>
    <row r="1721" spans="8:19">
      <c r="H1721" s="43"/>
      <c r="I1721" s="43"/>
      <c r="J1721" s="43"/>
      <c r="K1721" s="43"/>
      <c r="L1721" s="43"/>
      <c r="M1721" s="43"/>
      <c r="N1721" s="43"/>
      <c r="O1721" s="43"/>
      <c r="P1721" s="43"/>
      <c r="Q1721" s="43"/>
      <c r="R1721" s="43"/>
      <c r="S1721" s="43"/>
    </row>
    <row r="1722" spans="8:19">
      <c r="H1722" s="43"/>
      <c r="I1722" s="43"/>
      <c r="J1722" s="43"/>
      <c r="K1722" s="43"/>
      <c r="L1722" s="43"/>
      <c r="M1722" s="43"/>
      <c r="N1722" s="43"/>
      <c r="O1722" s="43"/>
      <c r="P1722" s="43"/>
      <c r="Q1722" s="43"/>
      <c r="R1722" s="43"/>
      <c r="S1722" s="43"/>
    </row>
    <row r="1723" spans="8:19">
      <c r="H1723" s="43"/>
      <c r="I1723" s="43"/>
      <c r="J1723" s="43"/>
      <c r="K1723" s="43"/>
      <c r="L1723" s="43"/>
      <c r="M1723" s="43"/>
      <c r="N1723" s="43"/>
      <c r="O1723" s="43"/>
      <c r="P1723" s="43"/>
      <c r="Q1723" s="43"/>
      <c r="R1723" s="43"/>
      <c r="S1723" s="43"/>
    </row>
    <row r="1724" spans="8:19">
      <c r="H1724" s="43"/>
      <c r="I1724" s="43"/>
      <c r="J1724" s="43"/>
      <c r="K1724" s="43"/>
      <c r="L1724" s="43"/>
      <c r="M1724" s="43"/>
      <c r="N1724" s="43"/>
      <c r="O1724" s="43"/>
      <c r="P1724" s="43"/>
      <c r="Q1724" s="43"/>
      <c r="R1724" s="43"/>
      <c r="S1724" s="43"/>
    </row>
    <row r="1725" spans="8:19">
      <c r="H1725" s="43"/>
      <c r="I1725" s="43"/>
      <c r="J1725" s="43"/>
      <c r="K1725" s="43"/>
      <c r="L1725" s="43"/>
      <c r="M1725" s="43"/>
      <c r="N1725" s="43"/>
      <c r="O1725" s="43"/>
      <c r="P1725" s="43"/>
      <c r="Q1725" s="43"/>
      <c r="R1725" s="43"/>
      <c r="S1725" s="43"/>
    </row>
    <row r="1726" spans="8:19">
      <c r="H1726" s="43"/>
      <c r="I1726" s="43"/>
      <c r="J1726" s="43"/>
      <c r="K1726" s="43"/>
      <c r="L1726" s="43"/>
      <c r="M1726" s="43"/>
      <c r="N1726" s="43"/>
      <c r="O1726" s="43"/>
      <c r="P1726" s="43"/>
      <c r="Q1726" s="43"/>
      <c r="R1726" s="43"/>
      <c r="S1726" s="43"/>
    </row>
    <row r="1727" spans="8:19">
      <c r="H1727" s="43"/>
      <c r="I1727" s="43"/>
      <c r="J1727" s="43"/>
      <c r="K1727" s="43"/>
      <c r="L1727" s="43"/>
      <c r="M1727" s="43"/>
      <c r="N1727" s="43"/>
      <c r="O1727" s="43"/>
      <c r="P1727" s="43"/>
      <c r="Q1727" s="43"/>
      <c r="R1727" s="43"/>
      <c r="S1727" s="43"/>
    </row>
    <row r="1728" spans="8:19">
      <c r="H1728" s="43"/>
      <c r="I1728" s="43"/>
      <c r="J1728" s="43"/>
      <c r="K1728" s="43"/>
      <c r="L1728" s="43"/>
      <c r="M1728" s="43"/>
      <c r="N1728" s="43"/>
      <c r="O1728" s="43"/>
      <c r="P1728" s="43"/>
      <c r="Q1728" s="43"/>
      <c r="R1728" s="43"/>
      <c r="S1728" s="43"/>
    </row>
    <row r="1729" spans="8:19">
      <c r="H1729" s="43"/>
      <c r="I1729" s="43"/>
      <c r="J1729" s="43"/>
      <c r="K1729" s="43"/>
      <c r="L1729" s="43"/>
      <c r="M1729" s="43"/>
      <c r="N1729" s="43"/>
      <c r="O1729" s="43"/>
      <c r="P1729" s="43"/>
      <c r="Q1729" s="43"/>
      <c r="R1729" s="43"/>
      <c r="S1729" s="43"/>
    </row>
    <row r="1730" spans="8:19">
      <c r="H1730" s="43"/>
      <c r="I1730" s="43"/>
      <c r="J1730" s="43"/>
      <c r="K1730" s="43"/>
      <c r="L1730" s="43"/>
      <c r="M1730" s="43"/>
      <c r="N1730" s="43"/>
      <c r="O1730" s="43"/>
      <c r="P1730" s="43"/>
      <c r="Q1730" s="43"/>
      <c r="R1730" s="43"/>
      <c r="S1730" s="43"/>
    </row>
    <row r="1731" spans="8:19">
      <c r="H1731" s="43"/>
      <c r="I1731" s="43"/>
      <c r="J1731" s="43"/>
      <c r="K1731" s="43"/>
      <c r="L1731" s="43"/>
      <c r="M1731" s="43"/>
      <c r="N1731" s="43"/>
      <c r="O1731" s="43"/>
      <c r="P1731" s="43"/>
      <c r="Q1731" s="43"/>
      <c r="R1731" s="43"/>
      <c r="S1731" s="43"/>
    </row>
    <row r="1732" spans="8:19">
      <c r="H1732" s="43"/>
      <c r="I1732" s="43"/>
      <c r="J1732" s="43"/>
      <c r="K1732" s="43"/>
      <c r="L1732" s="43"/>
      <c r="M1732" s="43"/>
      <c r="N1732" s="43"/>
      <c r="O1732" s="43"/>
      <c r="P1732" s="43"/>
      <c r="Q1732" s="43"/>
      <c r="R1732" s="43"/>
      <c r="S1732" s="43"/>
    </row>
    <row r="1733" spans="8:19">
      <c r="H1733" s="43"/>
      <c r="I1733" s="43"/>
      <c r="J1733" s="43"/>
      <c r="K1733" s="43"/>
      <c r="L1733" s="43"/>
      <c r="M1733" s="43"/>
      <c r="N1733" s="43"/>
      <c r="O1733" s="43"/>
      <c r="P1733" s="43"/>
      <c r="Q1733" s="43"/>
      <c r="R1733" s="43"/>
      <c r="S1733" s="43"/>
    </row>
    <row r="1734" spans="8:19">
      <c r="H1734" s="43"/>
      <c r="I1734" s="43"/>
      <c r="J1734" s="43"/>
      <c r="K1734" s="43"/>
      <c r="L1734" s="43"/>
      <c r="M1734" s="43"/>
      <c r="N1734" s="43"/>
      <c r="O1734" s="43"/>
      <c r="P1734" s="43"/>
      <c r="Q1734" s="43"/>
      <c r="R1734" s="43"/>
      <c r="S1734" s="43"/>
    </row>
    <row r="1735" spans="8:19">
      <c r="H1735" s="43"/>
      <c r="I1735" s="43"/>
      <c r="J1735" s="43"/>
      <c r="K1735" s="43"/>
      <c r="L1735" s="43"/>
      <c r="M1735" s="43"/>
      <c r="N1735" s="43"/>
      <c r="O1735" s="43"/>
      <c r="P1735" s="43"/>
      <c r="Q1735" s="43"/>
      <c r="R1735" s="43"/>
      <c r="S1735" s="43"/>
    </row>
    <row r="1736" spans="8:19">
      <c r="H1736" s="43"/>
      <c r="I1736" s="43"/>
      <c r="J1736" s="43"/>
      <c r="K1736" s="43"/>
      <c r="L1736" s="43"/>
      <c r="M1736" s="43"/>
      <c r="N1736" s="43"/>
      <c r="O1736" s="43"/>
      <c r="P1736" s="43"/>
      <c r="Q1736" s="43"/>
      <c r="R1736" s="43"/>
      <c r="S1736" s="43"/>
    </row>
    <row r="1737" spans="8:19">
      <c r="H1737" s="43"/>
      <c r="I1737" s="43"/>
      <c r="J1737" s="43"/>
      <c r="K1737" s="43"/>
      <c r="L1737" s="43"/>
      <c r="M1737" s="43"/>
      <c r="N1737" s="43"/>
      <c r="O1737" s="43"/>
      <c r="P1737" s="43"/>
      <c r="Q1737" s="43"/>
      <c r="R1737" s="43"/>
      <c r="S1737" s="43"/>
    </row>
    <row r="1738" spans="8:19">
      <c r="H1738" s="43"/>
      <c r="I1738" s="43"/>
      <c r="J1738" s="43"/>
      <c r="K1738" s="43"/>
      <c r="L1738" s="43"/>
      <c r="M1738" s="43"/>
      <c r="N1738" s="43"/>
      <c r="O1738" s="43"/>
      <c r="P1738" s="43"/>
      <c r="Q1738" s="43"/>
      <c r="R1738" s="43"/>
      <c r="S1738" s="43"/>
    </row>
    <row r="1739" spans="8:19">
      <c r="H1739" s="43"/>
      <c r="I1739" s="43"/>
      <c r="J1739" s="43"/>
      <c r="K1739" s="43"/>
      <c r="L1739" s="43"/>
      <c r="M1739" s="43"/>
      <c r="N1739" s="43"/>
      <c r="O1739" s="43"/>
      <c r="P1739" s="43"/>
      <c r="Q1739" s="43"/>
      <c r="R1739" s="43"/>
      <c r="S1739" s="43"/>
    </row>
    <row r="1740" spans="8:19">
      <c r="H1740" s="43"/>
      <c r="I1740" s="43"/>
      <c r="J1740" s="43"/>
      <c r="K1740" s="43"/>
      <c r="L1740" s="43"/>
      <c r="M1740" s="43"/>
      <c r="N1740" s="43"/>
      <c r="O1740" s="43"/>
      <c r="P1740" s="43"/>
      <c r="Q1740" s="43"/>
      <c r="R1740" s="43"/>
      <c r="S1740" s="43"/>
    </row>
    <row r="1741" spans="8:19">
      <c r="H1741" s="43"/>
      <c r="I1741" s="43"/>
      <c r="J1741" s="43"/>
      <c r="K1741" s="43"/>
      <c r="L1741" s="43"/>
      <c r="M1741" s="43"/>
      <c r="N1741" s="43"/>
      <c r="O1741" s="43"/>
      <c r="P1741" s="43"/>
      <c r="Q1741" s="43"/>
      <c r="R1741" s="43"/>
      <c r="S1741" s="43"/>
    </row>
    <row r="1742" spans="8:19">
      <c r="H1742" s="43"/>
      <c r="I1742" s="43"/>
      <c r="J1742" s="43"/>
      <c r="K1742" s="43"/>
      <c r="L1742" s="43"/>
      <c r="M1742" s="43"/>
      <c r="N1742" s="43"/>
      <c r="O1742" s="43"/>
      <c r="P1742" s="43"/>
      <c r="Q1742" s="43"/>
      <c r="R1742" s="43"/>
      <c r="S1742" s="43"/>
    </row>
    <row r="1743" spans="8:19">
      <c r="H1743" s="43"/>
      <c r="I1743" s="43"/>
      <c r="J1743" s="43"/>
      <c r="K1743" s="43"/>
      <c r="L1743" s="43"/>
      <c r="M1743" s="43"/>
      <c r="N1743" s="43"/>
      <c r="O1743" s="43"/>
      <c r="P1743" s="43"/>
      <c r="Q1743" s="43"/>
      <c r="R1743" s="43"/>
      <c r="S1743" s="43"/>
    </row>
    <row r="1744" spans="8:19">
      <c r="H1744" s="43"/>
      <c r="I1744" s="43"/>
      <c r="J1744" s="43"/>
      <c r="K1744" s="43"/>
      <c r="L1744" s="43"/>
      <c r="M1744" s="43"/>
      <c r="N1744" s="43"/>
      <c r="O1744" s="43"/>
      <c r="P1744" s="43"/>
      <c r="Q1744" s="43"/>
      <c r="R1744" s="43"/>
      <c r="S1744" s="43"/>
    </row>
    <row r="1745" spans="8:19">
      <c r="H1745" s="43"/>
      <c r="I1745" s="43"/>
      <c r="J1745" s="43"/>
      <c r="K1745" s="43"/>
      <c r="L1745" s="43"/>
      <c r="M1745" s="43"/>
      <c r="N1745" s="43"/>
      <c r="O1745" s="43"/>
      <c r="P1745" s="43"/>
      <c r="Q1745" s="43"/>
      <c r="R1745" s="43"/>
      <c r="S1745" s="43"/>
    </row>
    <row r="1746" spans="8:19">
      <c r="H1746" s="43"/>
      <c r="I1746" s="43"/>
      <c r="J1746" s="43"/>
      <c r="K1746" s="43"/>
      <c r="L1746" s="43"/>
      <c r="M1746" s="43"/>
      <c r="N1746" s="43"/>
      <c r="O1746" s="43"/>
      <c r="P1746" s="43"/>
      <c r="Q1746" s="43"/>
      <c r="R1746" s="43"/>
      <c r="S1746" s="43"/>
    </row>
    <row r="1747" spans="8:19">
      <c r="H1747" s="43"/>
      <c r="I1747" s="43"/>
      <c r="J1747" s="43"/>
      <c r="K1747" s="43"/>
      <c r="L1747" s="43"/>
      <c r="M1747" s="43"/>
      <c r="N1747" s="43"/>
      <c r="O1747" s="43"/>
      <c r="P1747" s="43"/>
      <c r="Q1747" s="43"/>
      <c r="R1747" s="43"/>
      <c r="S1747" s="43"/>
    </row>
    <row r="1748" spans="8:19">
      <c r="H1748" s="43"/>
      <c r="I1748" s="43"/>
      <c r="J1748" s="43"/>
      <c r="K1748" s="43"/>
      <c r="L1748" s="43"/>
      <c r="M1748" s="43"/>
      <c r="N1748" s="43"/>
      <c r="O1748" s="43"/>
      <c r="P1748" s="43"/>
      <c r="Q1748" s="43"/>
      <c r="R1748" s="43"/>
      <c r="S1748" s="43"/>
    </row>
    <row r="1749" spans="8:19">
      <c r="H1749" s="43"/>
      <c r="I1749" s="43"/>
      <c r="J1749" s="43"/>
      <c r="K1749" s="43"/>
      <c r="L1749" s="43"/>
      <c r="M1749" s="43"/>
      <c r="N1749" s="43"/>
      <c r="O1749" s="43"/>
      <c r="P1749" s="43"/>
      <c r="Q1749" s="43"/>
      <c r="R1749" s="43"/>
      <c r="S1749" s="43"/>
    </row>
    <row r="1750" spans="8:19">
      <c r="H1750" s="43"/>
      <c r="I1750" s="43"/>
      <c r="J1750" s="43"/>
      <c r="K1750" s="43"/>
      <c r="L1750" s="43"/>
      <c r="M1750" s="43"/>
      <c r="N1750" s="43"/>
      <c r="O1750" s="43"/>
      <c r="P1750" s="43"/>
      <c r="Q1750" s="43"/>
      <c r="R1750" s="43"/>
      <c r="S1750" s="43"/>
    </row>
    <row r="1751" spans="8:19">
      <c r="H1751" s="43"/>
      <c r="I1751" s="43"/>
      <c r="J1751" s="43"/>
      <c r="K1751" s="43"/>
      <c r="L1751" s="43"/>
      <c r="M1751" s="43"/>
      <c r="N1751" s="43"/>
      <c r="O1751" s="43"/>
      <c r="P1751" s="43"/>
      <c r="Q1751" s="43"/>
      <c r="R1751" s="43"/>
      <c r="S1751" s="43"/>
    </row>
    <row r="1752" spans="8:19">
      <c r="H1752" s="43"/>
      <c r="I1752" s="43"/>
      <c r="J1752" s="43"/>
      <c r="K1752" s="43"/>
      <c r="L1752" s="43"/>
      <c r="M1752" s="43"/>
      <c r="N1752" s="43"/>
      <c r="O1752" s="43"/>
      <c r="P1752" s="43"/>
      <c r="Q1752" s="43"/>
      <c r="R1752" s="43"/>
      <c r="S1752" s="43"/>
    </row>
    <row r="1753" spans="8:19">
      <c r="H1753" s="43"/>
      <c r="I1753" s="43"/>
      <c r="J1753" s="43"/>
      <c r="K1753" s="43"/>
      <c r="L1753" s="43"/>
      <c r="M1753" s="43"/>
      <c r="N1753" s="43"/>
      <c r="O1753" s="43"/>
      <c r="P1753" s="43"/>
      <c r="Q1753" s="43"/>
      <c r="R1753" s="43"/>
      <c r="S1753" s="43"/>
    </row>
    <row r="1754" spans="8:19">
      <c r="H1754" s="43"/>
      <c r="I1754" s="43"/>
      <c r="J1754" s="43"/>
      <c r="K1754" s="43"/>
      <c r="L1754" s="43"/>
      <c r="M1754" s="43"/>
      <c r="N1754" s="43"/>
      <c r="O1754" s="43"/>
      <c r="P1754" s="43"/>
      <c r="Q1754" s="43"/>
      <c r="R1754" s="43"/>
      <c r="S1754" s="43"/>
    </row>
    <row r="1755" spans="8:19">
      <c r="H1755" s="43"/>
      <c r="I1755" s="43"/>
      <c r="J1755" s="43"/>
      <c r="K1755" s="43"/>
      <c r="L1755" s="43"/>
      <c r="M1755" s="43"/>
      <c r="N1755" s="43"/>
      <c r="O1755" s="43"/>
      <c r="P1755" s="43"/>
      <c r="Q1755" s="43"/>
      <c r="R1755" s="43"/>
      <c r="S1755" s="43"/>
    </row>
    <row r="1756" spans="8:19">
      <c r="H1756" s="43"/>
      <c r="I1756" s="43"/>
      <c r="J1756" s="43"/>
      <c r="K1756" s="43"/>
      <c r="L1756" s="43"/>
      <c r="M1756" s="43"/>
      <c r="N1756" s="43"/>
      <c r="O1756" s="43"/>
      <c r="P1756" s="43"/>
      <c r="Q1756" s="43"/>
      <c r="R1756" s="43"/>
      <c r="S1756" s="43"/>
    </row>
    <row r="1757" spans="8:19">
      <c r="H1757" s="43"/>
      <c r="I1757" s="43"/>
      <c r="J1757" s="43"/>
      <c r="K1757" s="43"/>
      <c r="L1757" s="43"/>
      <c r="M1757" s="43"/>
      <c r="N1757" s="43"/>
      <c r="O1757" s="43"/>
      <c r="P1757" s="43"/>
      <c r="Q1757" s="43"/>
      <c r="R1757" s="43"/>
      <c r="S1757" s="43"/>
    </row>
    <row r="1758" spans="8:19">
      <c r="H1758" s="43"/>
      <c r="I1758" s="43"/>
      <c r="J1758" s="43"/>
      <c r="K1758" s="43"/>
      <c r="L1758" s="43"/>
      <c r="M1758" s="43"/>
      <c r="N1758" s="43"/>
      <c r="O1758" s="43"/>
      <c r="P1758" s="43"/>
      <c r="Q1758" s="43"/>
      <c r="R1758" s="43"/>
      <c r="S1758" s="43"/>
    </row>
    <row r="1759" spans="8:19">
      <c r="H1759" s="43"/>
      <c r="I1759" s="43"/>
      <c r="J1759" s="43"/>
      <c r="K1759" s="43"/>
      <c r="L1759" s="43"/>
      <c r="M1759" s="43"/>
      <c r="N1759" s="43"/>
      <c r="O1759" s="43"/>
      <c r="P1759" s="43"/>
      <c r="Q1759" s="43"/>
      <c r="R1759" s="43"/>
      <c r="S1759" s="43"/>
    </row>
    <row r="1760" spans="8:19">
      <c r="H1760" s="43"/>
      <c r="I1760" s="43"/>
      <c r="J1760" s="43"/>
      <c r="K1760" s="43"/>
      <c r="L1760" s="43"/>
      <c r="M1760" s="43"/>
      <c r="N1760" s="43"/>
      <c r="O1760" s="43"/>
      <c r="P1760" s="43"/>
      <c r="Q1760" s="43"/>
      <c r="R1760" s="43"/>
      <c r="S1760" s="43"/>
    </row>
    <row r="1761" spans="8:19">
      <c r="H1761" s="43"/>
      <c r="I1761" s="43"/>
      <c r="J1761" s="43"/>
      <c r="K1761" s="43"/>
      <c r="L1761" s="43"/>
      <c r="M1761" s="43"/>
      <c r="N1761" s="43"/>
      <c r="O1761" s="43"/>
      <c r="P1761" s="43"/>
      <c r="Q1761" s="43"/>
      <c r="R1761" s="43"/>
      <c r="S1761" s="43"/>
    </row>
    <row r="1762" spans="8:19">
      <c r="H1762" s="43"/>
      <c r="I1762" s="43"/>
      <c r="J1762" s="43"/>
      <c r="K1762" s="43"/>
      <c r="L1762" s="43"/>
      <c r="M1762" s="43"/>
      <c r="N1762" s="43"/>
      <c r="O1762" s="43"/>
      <c r="P1762" s="43"/>
      <c r="Q1762" s="43"/>
      <c r="R1762" s="43"/>
      <c r="S1762" s="43"/>
    </row>
    <row r="1763" spans="8:19">
      <c r="H1763" s="43"/>
      <c r="I1763" s="43"/>
      <c r="J1763" s="43"/>
      <c r="K1763" s="43"/>
      <c r="L1763" s="43"/>
      <c r="M1763" s="43"/>
      <c r="N1763" s="43"/>
      <c r="O1763" s="43"/>
      <c r="P1763" s="43"/>
      <c r="Q1763" s="43"/>
      <c r="R1763" s="43"/>
      <c r="S1763" s="43"/>
    </row>
    <row r="1764" spans="8:19">
      <c r="H1764" s="43"/>
      <c r="I1764" s="43"/>
      <c r="J1764" s="43"/>
      <c r="K1764" s="43"/>
      <c r="L1764" s="43"/>
      <c r="M1764" s="43"/>
      <c r="N1764" s="43"/>
      <c r="O1764" s="43"/>
      <c r="P1764" s="43"/>
      <c r="Q1764" s="43"/>
      <c r="R1764" s="43"/>
      <c r="S1764" s="43"/>
    </row>
    <row r="1765" spans="8:19">
      <c r="H1765" s="43"/>
      <c r="I1765" s="43"/>
      <c r="J1765" s="43"/>
      <c r="K1765" s="43"/>
      <c r="L1765" s="43"/>
      <c r="M1765" s="43"/>
      <c r="N1765" s="43"/>
      <c r="O1765" s="43"/>
      <c r="P1765" s="43"/>
      <c r="Q1765" s="43"/>
      <c r="R1765" s="43"/>
      <c r="S1765" s="43"/>
    </row>
    <row r="1766" spans="8:19">
      <c r="H1766" s="43"/>
      <c r="I1766" s="43"/>
      <c r="J1766" s="43"/>
      <c r="K1766" s="43"/>
      <c r="L1766" s="43"/>
      <c r="M1766" s="43"/>
      <c r="N1766" s="43"/>
      <c r="O1766" s="43"/>
      <c r="P1766" s="43"/>
      <c r="Q1766" s="43"/>
      <c r="R1766" s="43"/>
      <c r="S1766" s="43"/>
    </row>
    <row r="1767" spans="8:19">
      <c r="H1767" s="43"/>
      <c r="I1767" s="43"/>
      <c r="J1767" s="43"/>
      <c r="K1767" s="43"/>
      <c r="L1767" s="43"/>
      <c r="M1767" s="43"/>
      <c r="N1767" s="43"/>
      <c r="O1767" s="43"/>
      <c r="P1767" s="43"/>
      <c r="Q1767" s="43"/>
      <c r="R1767" s="43"/>
      <c r="S1767" s="43"/>
    </row>
    <row r="1768" spans="8:19">
      <c r="H1768" s="43"/>
      <c r="I1768" s="43"/>
      <c r="J1768" s="43"/>
      <c r="K1768" s="43"/>
      <c r="L1768" s="43"/>
      <c r="M1768" s="43"/>
      <c r="N1768" s="43"/>
      <c r="O1768" s="43"/>
      <c r="P1768" s="43"/>
      <c r="Q1768" s="43"/>
      <c r="R1768" s="43"/>
      <c r="S1768" s="43"/>
    </row>
    <row r="1769" spans="8:19">
      <c r="H1769" s="43"/>
      <c r="I1769" s="43"/>
      <c r="J1769" s="43"/>
      <c r="K1769" s="43"/>
      <c r="L1769" s="43"/>
      <c r="M1769" s="43"/>
      <c r="N1769" s="43"/>
      <c r="O1769" s="43"/>
      <c r="P1769" s="43"/>
      <c r="Q1769" s="43"/>
      <c r="R1769" s="43"/>
      <c r="S1769" s="43"/>
    </row>
    <row r="1770" spans="8:19">
      <c r="H1770" s="43"/>
      <c r="I1770" s="43"/>
      <c r="J1770" s="43"/>
      <c r="K1770" s="43"/>
      <c r="L1770" s="43"/>
      <c r="M1770" s="43"/>
      <c r="N1770" s="43"/>
      <c r="O1770" s="43"/>
      <c r="P1770" s="43"/>
      <c r="Q1770" s="43"/>
      <c r="R1770" s="43"/>
      <c r="S1770" s="43"/>
    </row>
    <row r="1771" spans="8:19">
      <c r="H1771" s="43"/>
      <c r="I1771" s="43"/>
      <c r="J1771" s="43"/>
      <c r="K1771" s="43"/>
      <c r="L1771" s="43"/>
      <c r="M1771" s="43"/>
      <c r="N1771" s="43"/>
      <c r="O1771" s="43"/>
      <c r="P1771" s="43"/>
      <c r="Q1771" s="43"/>
      <c r="R1771" s="43"/>
      <c r="S1771" s="43"/>
    </row>
    <row r="1772" spans="8:19">
      <c r="H1772" s="43"/>
      <c r="I1772" s="43"/>
      <c r="J1772" s="43"/>
      <c r="K1772" s="43"/>
      <c r="L1772" s="43"/>
      <c r="M1772" s="43"/>
      <c r="N1772" s="43"/>
      <c r="O1772" s="43"/>
      <c r="P1772" s="43"/>
      <c r="Q1772" s="43"/>
      <c r="R1772" s="43"/>
      <c r="S1772" s="43"/>
    </row>
    <row r="1773" spans="8:19">
      <c r="H1773" s="43"/>
      <c r="I1773" s="43"/>
      <c r="J1773" s="43"/>
      <c r="K1773" s="43"/>
      <c r="L1773" s="43"/>
      <c r="M1773" s="43"/>
      <c r="N1773" s="43"/>
      <c r="O1773" s="43"/>
      <c r="P1773" s="43"/>
      <c r="Q1773" s="43"/>
      <c r="R1773" s="43"/>
      <c r="S1773" s="43"/>
    </row>
    <row r="1774" spans="8:19">
      <c r="H1774" s="43"/>
      <c r="I1774" s="43"/>
      <c r="J1774" s="43"/>
      <c r="K1774" s="43"/>
      <c r="L1774" s="43"/>
      <c r="M1774" s="43"/>
      <c r="N1774" s="43"/>
      <c r="O1774" s="43"/>
      <c r="P1774" s="43"/>
      <c r="Q1774" s="43"/>
      <c r="R1774" s="43"/>
      <c r="S1774" s="43"/>
    </row>
    <row r="1775" spans="8:19">
      <c r="H1775" s="43"/>
      <c r="I1775" s="43"/>
      <c r="J1775" s="43"/>
      <c r="K1775" s="43"/>
      <c r="L1775" s="43"/>
      <c r="M1775" s="43"/>
      <c r="N1775" s="43"/>
      <c r="O1775" s="43"/>
      <c r="P1775" s="43"/>
      <c r="Q1775" s="43"/>
      <c r="R1775" s="43"/>
      <c r="S1775" s="43"/>
    </row>
    <row r="1776" spans="8:19">
      <c r="H1776" s="43"/>
      <c r="I1776" s="43"/>
      <c r="J1776" s="43"/>
      <c r="K1776" s="43"/>
      <c r="L1776" s="43"/>
      <c r="M1776" s="43"/>
      <c r="N1776" s="43"/>
      <c r="O1776" s="43"/>
      <c r="P1776" s="43"/>
      <c r="Q1776" s="43"/>
      <c r="R1776" s="43"/>
      <c r="S1776" s="43"/>
    </row>
    <row r="1777" spans="8:19">
      <c r="H1777" s="43"/>
      <c r="I1777" s="43"/>
      <c r="J1777" s="43"/>
      <c r="K1777" s="43"/>
      <c r="L1777" s="43"/>
      <c r="M1777" s="43"/>
      <c r="N1777" s="43"/>
      <c r="O1777" s="43"/>
      <c r="P1777" s="43"/>
      <c r="Q1777" s="43"/>
      <c r="R1777" s="43"/>
      <c r="S1777" s="43"/>
    </row>
    <row r="1778" spans="8:19">
      <c r="H1778" s="43"/>
      <c r="I1778" s="43"/>
      <c r="J1778" s="43"/>
      <c r="K1778" s="43"/>
      <c r="L1778" s="43"/>
      <c r="M1778" s="43"/>
      <c r="N1778" s="43"/>
      <c r="O1778" s="43"/>
      <c r="P1778" s="43"/>
      <c r="Q1778" s="43"/>
      <c r="R1778" s="43"/>
      <c r="S1778" s="43"/>
    </row>
    <row r="1779" spans="8:19">
      <c r="H1779" s="43"/>
      <c r="I1779" s="43"/>
      <c r="J1779" s="43"/>
      <c r="K1779" s="43"/>
      <c r="L1779" s="43"/>
      <c r="M1779" s="43"/>
      <c r="N1779" s="43"/>
      <c r="O1779" s="43"/>
      <c r="P1779" s="43"/>
      <c r="Q1779" s="43"/>
      <c r="R1779" s="43"/>
      <c r="S1779" s="43"/>
    </row>
    <row r="1780" spans="8:19">
      <c r="H1780" s="43"/>
      <c r="I1780" s="43"/>
      <c r="J1780" s="43"/>
      <c r="K1780" s="43"/>
      <c r="L1780" s="43"/>
      <c r="M1780" s="43"/>
      <c r="N1780" s="43"/>
      <c r="O1780" s="43"/>
      <c r="P1780" s="43"/>
      <c r="Q1780" s="43"/>
      <c r="R1780" s="43"/>
      <c r="S1780" s="43"/>
    </row>
    <row r="1781" spans="8:19">
      <c r="H1781" s="43"/>
      <c r="I1781" s="43"/>
      <c r="J1781" s="43"/>
      <c r="K1781" s="43"/>
      <c r="L1781" s="43"/>
      <c r="M1781" s="43"/>
      <c r="N1781" s="43"/>
      <c r="O1781" s="43"/>
      <c r="P1781" s="43"/>
      <c r="Q1781" s="43"/>
      <c r="R1781" s="43"/>
      <c r="S1781" s="43"/>
    </row>
    <row r="1782" spans="8:19">
      <c r="H1782" s="43"/>
      <c r="I1782" s="43"/>
      <c r="J1782" s="43"/>
      <c r="K1782" s="43"/>
      <c r="L1782" s="43"/>
      <c r="M1782" s="43"/>
      <c r="N1782" s="43"/>
      <c r="O1782" s="43"/>
      <c r="P1782" s="43"/>
      <c r="Q1782" s="43"/>
      <c r="R1782" s="43"/>
      <c r="S1782" s="43"/>
    </row>
    <row r="1783" spans="8:19">
      <c r="H1783" s="43"/>
      <c r="I1783" s="43"/>
      <c r="J1783" s="43"/>
      <c r="K1783" s="43"/>
      <c r="L1783" s="43"/>
      <c r="M1783" s="43"/>
      <c r="N1783" s="43"/>
      <c r="O1783" s="43"/>
      <c r="P1783" s="43"/>
      <c r="Q1783" s="43"/>
      <c r="R1783" s="43"/>
      <c r="S1783" s="43"/>
    </row>
    <row r="1784" spans="8:19">
      <c r="H1784" s="43"/>
      <c r="I1784" s="43"/>
      <c r="J1784" s="43"/>
      <c r="K1784" s="43"/>
      <c r="L1784" s="43"/>
      <c r="M1784" s="43"/>
      <c r="N1784" s="43"/>
      <c r="O1784" s="43"/>
      <c r="P1784" s="43"/>
      <c r="Q1784" s="43"/>
      <c r="R1784" s="43"/>
      <c r="S1784" s="43"/>
    </row>
    <row r="1785" spans="8:19">
      <c r="H1785" s="43"/>
      <c r="I1785" s="43"/>
      <c r="J1785" s="43"/>
      <c r="K1785" s="43"/>
      <c r="L1785" s="43"/>
      <c r="M1785" s="43"/>
      <c r="N1785" s="43"/>
      <c r="O1785" s="43"/>
      <c r="P1785" s="43"/>
      <c r="Q1785" s="43"/>
      <c r="R1785" s="43"/>
      <c r="S1785" s="43"/>
    </row>
    <row r="1786" spans="8:19">
      <c r="H1786" s="43"/>
      <c r="I1786" s="43"/>
      <c r="J1786" s="43"/>
      <c r="K1786" s="43"/>
      <c r="L1786" s="43"/>
      <c r="M1786" s="43"/>
      <c r="N1786" s="43"/>
      <c r="O1786" s="43"/>
      <c r="P1786" s="43"/>
      <c r="Q1786" s="43"/>
      <c r="R1786" s="43"/>
      <c r="S1786" s="43"/>
    </row>
    <row r="1787" spans="8:19">
      <c r="H1787" s="43"/>
      <c r="I1787" s="43"/>
      <c r="J1787" s="43"/>
      <c r="K1787" s="43"/>
      <c r="L1787" s="43"/>
      <c r="M1787" s="43"/>
      <c r="N1787" s="43"/>
      <c r="O1787" s="43"/>
      <c r="P1787" s="43"/>
      <c r="Q1787" s="43"/>
      <c r="R1787" s="43"/>
      <c r="S1787" s="43"/>
    </row>
    <row r="1788" spans="8:19">
      <c r="H1788" s="43"/>
      <c r="I1788" s="43"/>
      <c r="J1788" s="43"/>
      <c r="K1788" s="43"/>
      <c r="L1788" s="43"/>
      <c r="M1788" s="43"/>
      <c r="N1788" s="43"/>
      <c r="O1788" s="43"/>
      <c r="P1788" s="43"/>
      <c r="Q1788" s="43"/>
      <c r="R1788" s="43"/>
      <c r="S1788" s="43"/>
    </row>
    <row r="1789" spans="8:19">
      <c r="H1789" s="43"/>
      <c r="I1789" s="43"/>
      <c r="J1789" s="43"/>
      <c r="K1789" s="43"/>
      <c r="L1789" s="43"/>
      <c r="M1789" s="43"/>
      <c r="N1789" s="43"/>
      <c r="O1789" s="43"/>
      <c r="P1789" s="43"/>
      <c r="Q1789" s="43"/>
      <c r="R1789" s="43"/>
      <c r="S1789" s="43"/>
    </row>
    <row r="1790" spans="8:19">
      <c r="H1790" s="43"/>
      <c r="I1790" s="43"/>
      <c r="J1790" s="43"/>
      <c r="K1790" s="43"/>
      <c r="L1790" s="43"/>
      <c r="M1790" s="43"/>
      <c r="N1790" s="43"/>
      <c r="O1790" s="43"/>
      <c r="P1790" s="43"/>
      <c r="Q1790" s="43"/>
      <c r="R1790" s="43"/>
      <c r="S1790" s="43"/>
    </row>
    <row r="1791" spans="8:19">
      <c r="H1791" s="43"/>
      <c r="I1791" s="43"/>
      <c r="J1791" s="43"/>
      <c r="K1791" s="43"/>
      <c r="L1791" s="43"/>
      <c r="M1791" s="43"/>
      <c r="N1791" s="43"/>
      <c r="O1791" s="43"/>
      <c r="P1791" s="43"/>
      <c r="Q1791" s="43"/>
      <c r="R1791" s="43"/>
      <c r="S1791" s="43"/>
    </row>
    <row r="1792" spans="8:19">
      <c r="H1792" s="43"/>
      <c r="I1792" s="43"/>
      <c r="J1792" s="43"/>
      <c r="K1792" s="43"/>
      <c r="L1792" s="43"/>
      <c r="M1792" s="43"/>
      <c r="N1792" s="43"/>
      <c r="O1792" s="43"/>
      <c r="P1792" s="43"/>
      <c r="Q1792" s="43"/>
      <c r="R1792" s="43"/>
      <c r="S1792" s="43"/>
    </row>
    <row r="1793" spans="8:19">
      <c r="H1793" s="43"/>
      <c r="I1793" s="43"/>
      <c r="J1793" s="43"/>
      <c r="K1793" s="43"/>
      <c r="L1793" s="43"/>
      <c r="M1793" s="43"/>
      <c r="N1793" s="43"/>
      <c r="O1793" s="43"/>
      <c r="P1793" s="43"/>
      <c r="Q1793" s="43"/>
      <c r="R1793" s="43"/>
      <c r="S1793" s="43"/>
    </row>
    <row r="1794" spans="8:19">
      <c r="H1794" s="43"/>
      <c r="I1794" s="43"/>
      <c r="J1794" s="43"/>
      <c r="K1794" s="43"/>
      <c r="L1794" s="43"/>
      <c r="M1794" s="43"/>
      <c r="N1794" s="43"/>
      <c r="O1794" s="43"/>
      <c r="P1794" s="43"/>
      <c r="Q1794" s="43"/>
      <c r="R1794" s="43"/>
      <c r="S1794" s="43"/>
    </row>
    <row r="1795" spans="8:19">
      <c r="H1795" s="43"/>
      <c r="I1795" s="43"/>
      <c r="J1795" s="43"/>
      <c r="K1795" s="43"/>
      <c r="L1795" s="43"/>
      <c r="M1795" s="43"/>
      <c r="N1795" s="43"/>
      <c r="O1795" s="43"/>
      <c r="P1795" s="43"/>
      <c r="Q1795" s="43"/>
      <c r="R1795" s="43"/>
      <c r="S1795" s="43"/>
    </row>
    <row r="1796" spans="8:19">
      <c r="H1796" s="43"/>
      <c r="I1796" s="43"/>
      <c r="J1796" s="43"/>
      <c r="K1796" s="43"/>
      <c r="L1796" s="43"/>
      <c r="M1796" s="43"/>
      <c r="N1796" s="43"/>
      <c r="O1796" s="43"/>
      <c r="P1796" s="43"/>
      <c r="Q1796" s="43"/>
      <c r="R1796" s="43"/>
      <c r="S1796" s="43"/>
    </row>
    <row r="1797" spans="8:19">
      <c r="H1797" s="43"/>
      <c r="I1797" s="43"/>
      <c r="J1797" s="43"/>
      <c r="K1797" s="43"/>
      <c r="L1797" s="43"/>
      <c r="M1797" s="43"/>
      <c r="N1797" s="43"/>
      <c r="O1797" s="43"/>
      <c r="P1797" s="43"/>
      <c r="Q1797" s="43"/>
      <c r="R1797" s="43"/>
      <c r="S1797" s="43"/>
    </row>
    <row r="1798" spans="8:19">
      <c r="H1798" s="43"/>
      <c r="I1798" s="43"/>
      <c r="J1798" s="43"/>
      <c r="K1798" s="43"/>
      <c r="L1798" s="43"/>
      <c r="M1798" s="43"/>
      <c r="N1798" s="43"/>
      <c r="O1798" s="43"/>
      <c r="P1798" s="43"/>
      <c r="Q1798" s="43"/>
      <c r="R1798" s="43"/>
      <c r="S1798" s="43"/>
    </row>
    <row r="1799" spans="8:19">
      <c r="H1799" s="43"/>
      <c r="I1799" s="43"/>
      <c r="J1799" s="43"/>
      <c r="K1799" s="43"/>
      <c r="L1799" s="43"/>
      <c r="M1799" s="43"/>
      <c r="N1799" s="43"/>
      <c r="O1799" s="43"/>
      <c r="P1799" s="43"/>
      <c r="Q1799" s="43"/>
      <c r="R1799" s="43"/>
      <c r="S1799" s="43"/>
    </row>
    <row r="1800" spans="8:19">
      <c r="H1800" s="43"/>
      <c r="I1800" s="43"/>
      <c r="J1800" s="43"/>
      <c r="K1800" s="43"/>
      <c r="L1800" s="43"/>
      <c r="M1800" s="43"/>
      <c r="N1800" s="43"/>
      <c r="O1800" s="43"/>
      <c r="P1800" s="43"/>
      <c r="Q1800" s="43"/>
      <c r="R1800" s="43"/>
      <c r="S1800" s="43"/>
    </row>
    <row r="1801" spans="8:19">
      <c r="H1801" s="43"/>
      <c r="I1801" s="43"/>
      <c r="J1801" s="43"/>
      <c r="K1801" s="43"/>
      <c r="L1801" s="43"/>
      <c r="M1801" s="43"/>
      <c r="N1801" s="43"/>
      <c r="O1801" s="43"/>
      <c r="P1801" s="43"/>
      <c r="Q1801" s="43"/>
      <c r="R1801" s="43"/>
      <c r="S1801" s="43"/>
    </row>
    <row r="1802" spans="8:19">
      <c r="H1802" s="43"/>
      <c r="I1802" s="43"/>
      <c r="J1802" s="43"/>
      <c r="K1802" s="43"/>
      <c r="L1802" s="43"/>
      <c r="M1802" s="43"/>
      <c r="N1802" s="43"/>
      <c r="O1802" s="43"/>
      <c r="P1802" s="43"/>
      <c r="Q1802" s="43"/>
      <c r="R1802" s="43"/>
      <c r="S1802" s="43"/>
    </row>
    <row r="1803" spans="8:19">
      <c r="H1803" s="43"/>
      <c r="I1803" s="43"/>
      <c r="J1803" s="43"/>
      <c r="K1803" s="43"/>
      <c r="L1803" s="43"/>
      <c r="M1803" s="43"/>
      <c r="N1803" s="43"/>
      <c r="O1803" s="43"/>
      <c r="P1803" s="43"/>
      <c r="Q1803" s="43"/>
      <c r="R1803" s="43"/>
      <c r="S1803" s="43"/>
    </row>
    <row r="1804" spans="8:19">
      <c r="H1804" s="43"/>
      <c r="I1804" s="43"/>
      <c r="J1804" s="43"/>
      <c r="K1804" s="43"/>
      <c r="L1804" s="43"/>
      <c r="M1804" s="43"/>
      <c r="N1804" s="43"/>
      <c r="O1804" s="43"/>
      <c r="P1804" s="43"/>
      <c r="Q1804" s="43"/>
      <c r="R1804" s="43"/>
      <c r="S1804" s="43"/>
    </row>
    <row r="1805" spans="8:19">
      <c r="H1805" s="43"/>
      <c r="I1805" s="43"/>
      <c r="J1805" s="43"/>
      <c r="K1805" s="43"/>
      <c r="L1805" s="43"/>
      <c r="M1805" s="43"/>
      <c r="N1805" s="43"/>
      <c r="O1805" s="43"/>
      <c r="P1805" s="43"/>
      <c r="Q1805" s="43"/>
      <c r="R1805" s="43"/>
      <c r="S1805" s="43"/>
    </row>
    <row r="1806" spans="8:19">
      <c r="H1806" s="43"/>
      <c r="I1806" s="43"/>
      <c r="J1806" s="43"/>
      <c r="K1806" s="43"/>
      <c r="L1806" s="43"/>
      <c r="M1806" s="43"/>
      <c r="N1806" s="43"/>
      <c r="O1806" s="43"/>
      <c r="P1806" s="43"/>
      <c r="Q1806" s="43"/>
      <c r="R1806" s="43"/>
      <c r="S1806" s="43"/>
    </row>
    <row r="1807" spans="8:19">
      <c r="H1807" s="43"/>
      <c r="I1807" s="43"/>
      <c r="J1807" s="43"/>
      <c r="K1807" s="43"/>
      <c r="L1807" s="43"/>
      <c r="M1807" s="43"/>
      <c r="N1807" s="43"/>
      <c r="O1807" s="43"/>
      <c r="P1807" s="43"/>
      <c r="Q1807" s="43"/>
      <c r="R1807" s="43"/>
      <c r="S1807" s="43"/>
    </row>
    <row r="1808" spans="8:19">
      <c r="H1808" s="43"/>
      <c r="I1808" s="43"/>
      <c r="J1808" s="43"/>
      <c r="K1808" s="43"/>
      <c r="L1808" s="43"/>
      <c r="M1808" s="43"/>
      <c r="N1808" s="43"/>
      <c r="O1808" s="43"/>
      <c r="P1808" s="43"/>
      <c r="Q1808" s="43"/>
      <c r="R1808" s="43"/>
      <c r="S1808" s="43"/>
    </row>
    <row r="1809" spans="8:19">
      <c r="H1809" s="43"/>
      <c r="I1809" s="43"/>
      <c r="J1809" s="43"/>
      <c r="K1809" s="43"/>
      <c r="L1809" s="43"/>
      <c r="M1809" s="43"/>
      <c r="N1809" s="43"/>
      <c r="O1809" s="43"/>
      <c r="P1809" s="43"/>
      <c r="Q1809" s="43"/>
      <c r="R1809" s="43"/>
      <c r="S1809" s="43"/>
    </row>
    <row r="1810" spans="8:19">
      <c r="H1810" s="43"/>
      <c r="I1810" s="43"/>
      <c r="J1810" s="43"/>
      <c r="K1810" s="43"/>
      <c r="L1810" s="43"/>
      <c r="M1810" s="43"/>
      <c r="N1810" s="43"/>
      <c r="O1810" s="43"/>
      <c r="P1810" s="43"/>
      <c r="Q1810" s="43"/>
      <c r="R1810" s="43"/>
      <c r="S1810" s="43"/>
    </row>
    <row r="1811" spans="8:19">
      <c r="H1811" s="43"/>
      <c r="I1811" s="43"/>
      <c r="J1811" s="43"/>
      <c r="K1811" s="43"/>
      <c r="L1811" s="43"/>
      <c r="M1811" s="43"/>
      <c r="N1811" s="43"/>
      <c r="O1811" s="43"/>
      <c r="P1811" s="43"/>
      <c r="Q1811" s="43"/>
      <c r="R1811" s="43"/>
      <c r="S1811" s="43"/>
    </row>
    <row r="1812" spans="8:19">
      <c r="H1812" s="43"/>
      <c r="I1812" s="43"/>
      <c r="J1812" s="43"/>
      <c r="K1812" s="43"/>
      <c r="L1812" s="43"/>
      <c r="M1812" s="43"/>
      <c r="N1812" s="43"/>
      <c r="O1812" s="43"/>
      <c r="P1812" s="43"/>
      <c r="Q1812" s="43"/>
      <c r="R1812" s="43"/>
      <c r="S1812" s="43"/>
    </row>
    <row r="1813" spans="8:19">
      <c r="H1813" s="43"/>
      <c r="I1813" s="43"/>
      <c r="J1813" s="43"/>
      <c r="K1813" s="43"/>
      <c r="L1813" s="43"/>
      <c r="M1813" s="43"/>
      <c r="N1813" s="43"/>
      <c r="O1813" s="43"/>
      <c r="P1813" s="43"/>
      <c r="Q1813" s="43"/>
      <c r="R1813" s="43"/>
      <c r="S1813" s="43"/>
    </row>
    <row r="1814" spans="8:19">
      <c r="H1814" s="43"/>
      <c r="I1814" s="43"/>
      <c r="J1814" s="43"/>
      <c r="K1814" s="43"/>
      <c r="L1814" s="43"/>
      <c r="M1814" s="43"/>
      <c r="N1814" s="43"/>
      <c r="O1814" s="43"/>
      <c r="P1814" s="43"/>
      <c r="Q1814" s="43"/>
      <c r="R1814" s="43"/>
      <c r="S1814" s="43"/>
    </row>
    <row r="1815" spans="8:19">
      <c r="H1815" s="43"/>
      <c r="I1815" s="43"/>
      <c r="J1815" s="43"/>
      <c r="K1815" s="43"/>
      <c r="L1815" s="43"/>
      <c r="M1815" s="43"/>
      <c r="N1815" s="43"/>
      <c r="O1815" s="43"/>
      <c r="P1815" s="43"/>
      <c r="Q1815" s="43"/>
      <c r="R1815" s="43"/>
      <c r="S1815" s="43"/>
    </row>
    <row r="1816" spans="8:19">
      <c r="H1816" s="43"/>
      <c r="I1816" s="43"/>
      <c r="J1816" s="43"/>
      <c r="K1816" s="43"/>
      <c r="L1816" s="43"/>
      <c r="M1816" s="43"/>
      <c r="N1816" s="43"/>
      <c r="O1816" s="43"/>
      <c r="P1816" s="43"/>
      <c r="Q1816" s="43"/>
      <c r="R1816" s="43"/>
      <c r="S1816" s="43"/>
    </row>
    <row r="1817" spans="8:19">
      <c r="H1817" s="43"/>
      <c r="I1817" s="43"/>
      <c r="J1817" s="43"/>
      <c r="K1817" s="43"/>
      <c r="L1817" s="43"/>
      <c r="M1817" s="43"/>
      <c r="N1817" s="43"/>
      <c r="O1817" s="43"/>
      <c r="P1817" s="43"/>
      <c r="Q1817" s="43"/>
      <c r="R1817" s="43"/>
      <c r="S1817" s="43"/>
    </row>
    <row r="1818" spans="8:19">
      <c r="H1818" s="43"/>
      <c r="I1818" s="43"/>
      <c r="J1818" s="43"/>
      <c r="K1818" s="43"/>
      <c r="L1818" s="43"/>
      <c r="M1818" s="43"/>
      <c r="N1818" s="43"/>
      <c r="O1818" s="43"/>
      <c r="P1818" s="43"/>
      <c r="Q1818" s="43"/>
      <c r="R1818" s="43"/>
      <c r="S1818" s="43"/>
    </row>
    <row r="1819" spans="8:19">
      <c r="H1819" s="43"/>
      <c r="I1819" s="43"/>
      <c r="J1819" s="43"/>
      <c r="K1819" s="43"/>
      <c r="L1819" s="43"/>
      <c r="M1819" s="43"/>
      <c r="N1819" s="43"/>
      <c r="O1819" s="43"/>
      <c r="P1819" s="43"/>
      <c r="Q1819" s="43"/>
      <c r="R1819" s="43"/>
      <c r="S1819" s="43"/>
    </row>
    <row r="1820" spans="8:19">
      <c r="H1820" s="43"/>
      <c r="I1820" s="43"/>
      <c r="J1820" s="43"/>
      <c r="K1820" s="43"/>
      <c r="L1820" s="43"/>
      <c r="M1820" s="43"/>
      <c r="N1820" s="43"/>
      <c r="O1820" s="43"/>
      <c r="P1820" s="43"/>
      <c r="Q1820" s="43"/>
      <c r="R1820" s="43"/>
      <c r="S1820" s="43"/>
    </row>
    <row r="1821" spans="8:19">
      <c r="H1821" s="43"/>
      <c r="I1821" s="43"/>
      <c r="J1821" s="43"/>
      <c r="K1821" s="43"/>
      <c r="L1821" s="43"/>
      <c r="M1821" s="43"/>
      <c r="N1821" s="43"/>
      <c r="O1821" s="43"/>
      <c r="P1821" s="43"/>
      <c r="Q1821" s="43"/>
      <c r="R1821" s="43"/>
      <c r="S1821" s="43"/>
    </row>
    <row r="1822" spans="8:19">
      <c r="H1822" s="43"/>
      <c r="I1822" s="43"/>
      <c r="J1822" s="43"/>
      <c r="K1822" s="43"/>
      <c r="L1822" s="43"/>
      <c r="M1822" s="43"/>
      <c r="N1822" s="43"/>
      <c r="O1822" s="43"/>
      <c r="P1822" s="43"/>
      <c r="Q1822" s="43"/>
      <c r="R1822" s="43"/>
      <c r="S1822" s="43"/>
    </row>
    <row r="1823" spans="8:19">
      <c r="H1823" s="43"/>
      <c r="I1823" s="43"/>
      <c r="J1823" s="43"/>
      <c r="K1823" s="43"/>
      <c r="L1823" s="43"/>
      <c r="M1823" s="43"/>
      <c r="N1823" s="43"/>
      <c r="O1823" s="43"/>
      <c r="P1823" s="43"/>
      <c r="Q1823" s="43"/>
      <c r="R1823" s="43"/>
      <c r="S1823" s="43"/>
    </row>
    <row r="1824" spans="8:19">
      <c r="H1824" s="43"/>
      <c r="I1824" s="43"/>
      <c r="J1824" s="43"/>
      <c r="K1824" s="43"/>
      <c r="L1824" s="43"/>
      <c r="M1824" s="43"/>
      <c r="N1824" s="43"/>
      <c r="O1824" s="43"/>
      <c r="P1824" s="43"/>
      <c r="Q1824" s="43"/>
      <c r="R1824" s="43"/>
      <c r="S1824" s="43"/>
    </row>
    <row r="1825" spans="8:19">
      <c r="H1825" s="43"/>
      <c r="I1825" s="43"/>
      <c r="J1825" s="43"/>
      <c r="K1825" s="43"/>
      <c r="L1825" s="43"/>
      <c r="M1825" s="43"/>
      <c r="N1825" s="43"/>
      <c r="O1825" s="43"/>
      <c r="P1825" s="43"/>
      <c r="Q1825" s="43"/>
      <c r="R1825" s="43"/>
      <c r="S1825" s="43"/>
    </row>
    <row r="1826" spans="8:19">
      <c r="H1826" s="43"/>
      <c r="I1826" s="43"/>
      <c r="J1826" s="43"/>
      <c r="K1826" s="43"/>
      <c r="L1826" s="43"/>
      <c r="M1826" s="43"/>
      <c r="N1826" s="43"/>
      <c r="O1826" s="43"/>
      <c r="P1826" s="43"/>
      <c r="Q1826" s="43"/>
      <c r="R1826" s="43"/>
      <c r="S1826" s="43"/>
    </row>
    <row r="1827" spans="8:19">
      <c r="H1827" s="43"/>
      <c r="I1827" s="43"/>
      <c r="J1827" s="43"/>
      <c r="K1827" s="43"/>
      <c r="L1827" s="43"/>
      <c r="M1827" s="43"/>
      <c r="N1827" s="43"/>
      <c r="O1827" s="43"/>
      <c r="P1827" s="43"/>
      <c r="Q1827" s="43"/>
      <c r="R1827" s="43"/>
      <c r="S1827" s="43"/>
    </row>
    <row r="1828" spans="8:19">
      <c r="H1828" s="43"/>
      <c r="I1828" s="43"/>
      <c r="J1828" s="43"/>
      <c r="K1828" s="43"/>
      <c r="L1828" s="43"/>
      <c r="M1828" s="43"/>
      <c r="N1828" s="43"/>
      <c r="O1828" s="43"/>
      <c r="P1828" s="43"/>
      <c r="Q1828" s="43"/>
      <c r="R1828" s="43"/>
      <c r="S1828" s="43"/>
    </row>
    <row r="1829" spans="8:19">
      <c r="H1829" s="43"/>
      <c r="I1829" s="43"/>
      <c r="J1829" s="43"/>
      <c r="K1829" s="43"/>
      <c r="L1829" s="43"/>
      <c r="M1829" s="43"/>
      <c r="N1829" s="43"/>
      <c r="O1829" s="43"/>
      <c r="P1829" s="43"/>
      <c r="Q1829" s="43"/>
      <c r="R1829" s="43"/>
      <c r="S1829" s="43"/>
    </row>
    <row r="1830" spans="8:19">
      <c r="H1830" s="43"/>
      <c r="I1830" s="43"/>
      <c r="J1830" s="43"/>
      <c r="K1830" s="43"/>
      <c r="L1830" s="43"/>
      <c r="M1830" s="43"/>
      <c r="N1830" s="43"/>
      <c r="O1830" s="43"/>
      <c r="P1830" s="43"/>
      <c r="Q1830" s="43"/>
      <c r="R1830" s="43"/>
      <c r="S1830" s="43"/>
    </row>
    <row r="1831" spans="8:19">
      <c r="H1831" s="43"/>
      <c r="I1831" s="43"/>
      <c r="J1831" s="43"/>
      <c r="K1831" s="43"/>
      <c r="L1831" s="43"/>
      <c r="M1831" s="43"/>
      <c r="N1831" s="43"/>
      <c r="O1831" s="43"/>
      <c r="P1831" s="43"/>
      <c r="Q1831" s="43"/>
      <c r="R1831" s="43"/>
      <c r="S1831" s="43"/>
    </row>
    <row r="1832" spans="8:19">
      <c r="H1832" s="43"/>
      <c r="I1832" s="43"/>
      <c r="J1832" s="43"/>
      <c r="K1832" s="43"/>
      <c r="L1832" s="43"/>
      <c r="M1832" s="43"/>
      <c r="N1832" s="43"/>
      <c r="O1832" s="43"/>
      <c r="P1832" s="43"/>
      <c r="Q1832" s="43"/>
      <c r="R1832" s="43"/>
      <c r="S1832" s="43"/>
    </row>
    <row r="1833" spans="8:19">
      <c r="H1833" s="43"/>
      <c r="I1833" s="43"/>
      <c r="J1833" s="43"/>
      <c r="K1833" s="43"/>
      <c r="L1833" s="43"/>
      <c r="M1833" s="43"/>
      <c r="N1833" s="43"/>
      <c r="O1833" s="43"/>
      <c r="P1833" s="43"/>
      <c r="Q1833" s="43"/>
      <c r="R1833" s="43"/>
      <c r="S1833" s="43"/>
    </row>
    <row r="1834" spans="8:19">
      <c r="H1834" s="43"/>
      <c r="I1834" s="43"/>
      <c r="J1834" s="43"/>
      <c r="K1834" s="43"/>
      <c r="L1834" s="43"/>
      <c r="M1834" s="43"/>
      <c r="N1834" s="43"/>
      <c r="O1834" s="43"/>
      <c r="P1834" s="43"/>
      <c r="Q1834" s="43"/>
      <c r="R1834" s="43"/>
      <c r="S1834" s="43"/>
    </row>
    <row r="1835" spans="8:19">
      <c r="H1835" s="43"/>
      <c r="I1835" s="43"/>
      <c r="J1835" s="43"/>
      <c r="K1835" s="43"/>
      <c r="L1835" s="43"/>
      <c r="M1835" s="43"/>
      <c r="N1835" s="43"/>
      <c r="O1835" s="43"/>
      <c r="P1835" s="43"/>
      <c r="Q1835" s="43"/>
      <c r="R1835" s="43"/>
      <c r="S1835" s="43"/>
    </row>
    <row r="1836" spans="8:19">
      <c r="H1836" s="43"/>
      <c r="I1836" s="43"/>
      <c r="J1836" s="43"/>
      <c r="K1836" s="43"/>
      <c r="L1836" s="43"/>
      <c r="M1836" s="43"/>
      <c r="N1836" s="43"/>
      <c r="O1836" s="43"/>
      <c r="P1836" s="43"/>
      <c r="Q1836" s="43"/>
      <c r="R1836" s="43"/>
      <c r="S1836" s="43"/>
    </row>
    <row r="1837" spans="8:19">
      <c r="H1837" s="43"/>
      <c r="I1837" s="43"/>
      <c r="J1837" s="43"/>
      <c r="K1837" s="43"/>
      <c r="L1837" s="43"/>
      <c r="M1837" s="43"/>
      <c r="N1837" s="43"/>
      <c r="O1837" s="43"/>
      <c r="P1837" s="43"/>
      <c r="Q1837" s="43"/>
      <c r="R1837" s="43"/>
      <c r="S1837" s="43"/>
    </row>
    <row r="1838" spans="8:19">
      <c r="H1838" s="43"/>
      <c r="I1838" s="43"/>
      <c r="J1838" s="43"/>
      <c r="K1838" s="43"/>
      <c r="L1838" s="43"/>
      <c r="M1838" s="43"/>
      <c r="N1838" s="43"/>
      <c r="O1838" s="43"/>
      <c r="P1838" s="43"/>
      <c r="Q1838" s="43"/>
      <c r="R1838" s="43"/>
      <c r="S1838" s="43"/>
    </row>
    <row r="1839" spans="8:19">
      <c r="H1839" s="43"/>
      <c r="I1839" s="43"/>
      <c r="J1839" s="43"/>
      <c r="K1839" s="43"/>
      <c r="L1839" s="43"/>
      <c r="M1839" s="43"/>
      <c r="N1839" s="43"/>
      <c r="O1839" s="43"/>
      <c r="P1839" s="43"/>
      <c r="Q1839" s="43"/>
      <c r="R1839" s="43"/>
      <c r="S1839" s="43"/>
    </row>
    <row r="1840" spans="8:19">
      <c r="H1840" s="43"/>
      <c r="I1840" s="43"/>
      <c r="J1840" s="43"/>
      <c r="K1840" s="43"/>
      <c r="L1840" s="43"/>
      <c r="M1840" s="43"/>
      <c r="N1840" s="43"/>
      <c r="O1840" s="43"/>
      <c r="P1840" s="43"/>
      <c r="Q1840" s="43"/>
      <c r="R1840" s="43"/>
      <c r="S1840" s="43"/>
    </row>
    <row r="1841" spans="8:19">
      <c r="H1841" s="43"/>
      <c r="I1841" s="43"/>
      <c r="J1841" s="43"/>
      <c r="K1841" s="43"/>
      <c r="L1841" s="43"/>
      <c r="M1841" s="43"/>
      <c r="N1841" s="43"/>
      <c r="O1841" s="43"/>
      <c r="P1841" s="43"/>
      <c r="Q1841" s="43"/>
      <c r="R1841" s="43"/>
      <c r="S1841" s="43"/>
    </row>
    <row r="1842" spans="8:19">
      <c r="H1842" s="43"/>
      <c r="I1842" s="43"/>
      <c r="J1842" s="43"/>
      <c r="K1842" s="43"/>
      <c r="L1842" s="43"/>
      <c r="M1842" s="43"/>
      <c r="N1842" s="43"/>
      <c r="O1842" s="43"/>
      <c r="P1842" s="43"/>
      <c r="Q1842" s="43"/>
      <c r="R1842" s="43"/>
      <c r="S1842" s="43"/>
    </row>
    <row r="1843" spans="8:19">
      <c r="H1843" s="43"/>
      <c r="I1843" s="43"/>
      <c r="J1843" s="43"/>
      <c r="K1843" s="43"/>
      <c r="L1843" s="43"/>
      <c r="M1843" s="43"/>
      <c r="N1843" s="43"/>
      <c r="O1843" s="43"/>
      <c r="P1843" s="43"/>
      <c r="Q1843" s="43"/>
      <c r="R1843" s="43"/>
      <c r="S1843" s="43"/>
    </row>
    <row r="1844" spans="8:19">
      <c r="H1844" s="43"/>
      <c r="I1844" s="43"/>
      <c r="J1844" s="43"/>
      <c r="K1844" s="43"/>
      <c r="L1844" s="43"/>
      <c r="M1844" s="43"/>
      <c r="N1844" s="43"/>
      <c r="O1844" s="43"/>
      <c r="P1844" s="43"/>
      <c r="Q1844" s="43"/>
      <c r="R1844" s="43"/>
      <c r="S1844" s="43"/>
    </row>
    <row r="1845" spans="8:19">
      <c r="H1845" s="43"/>
      <c r="I1845" s="43"/>
      <c r="J1845" s="43"/>
      <c r="K1845" s="43"/>
      <c r="L1845" s="43"/>
      <c r="M1845" s="43"/>
      <c r="N1845" s="43"/>
      <c r="O1845" s="43"/>
      <c r="P1845" s="43"/>
      <c r="Q1845" s="43"/>
      <c r="R1845" s="43"/>
      <c r="S1845" s="43"/>
    </row>
    <row r="1846" spans="8:19">
      <c r="H1846" s="43"/>
      <c r="I1846" s="43"/>
      <c r="J1846" s="43"/>
      <c r="K1846" s="43"/>
      <c r="L1846" s="43"/>
      <c r="M1846" s="43"/>
      <c r="N1846" s="43"/>
      <c r="O1846" s="43"/>
      <c r="P1846" s="43"/>
      <c r="Q1846" s="43"/>
      <c r="R1846" s="43"/>
      <c r="S1846" s="43"/>
    </row>
    <row r="1847" spans="8:19">
      <c r="H1847" s="43"/>
      <c r="I1847" s="43"/>
      <c r="J1847" s="43"/>
      <c r="K1847" s="43"/>
      <c r="L1847" s="43"/>
      <c r="M1847" s="43"/>
      <c r="N1847" s="43"/>
      <c r="O1847" s="43"/>
      <c r="P1847" s="43"/>
      <c r="Q1847" s="43"/>
      <c r="R1847" s="43"/>
      <c r="S1847" s="43"/>
    </row>
    <row r="1848" spans="8:19">
      <c r="H1848" s="43"/>
      <c r="I1848" s="43"/>
      <c r="J1848" s="43"/>
      <c r="K1848" s="43"/>
      <c r="L1848" s="43"/>
      <c r="M1848" s="43"/>
      <c r="N1848" s="43"/>
      <c r="O1848" s="43"/>
      <c r="P1848" s="43"/>
      <c r="Q1848" s="43"/>
      <c r="R1848" s="43"/>
      <c r="S1848" s="43"/>
    </row>
    <row r="1849" spans="8:19">
      <c r="H1849" s="43"/>
      <c r="I1849" s="43"/>
      <c r="J1849" s="43"/>
      <c r="K1849" s="43"/>
      <c r="L1849" s="43"/>
      <c r="M1849" s="43"/>
      <c r="N1849" s="43"/>
      <c r="O1849" s="43"/>
      <c r="P1849" s="43"/>
      <c r="Q1849" s="43"/>
      <c r="R1849" s="43"/>
      <c r="S1849" s="43"/>
    </row>
    <row r="1850" spans="8:19">
      <c r="H1850" s="43"/>
      <c r="I1850" s="43"/>
      <c r="J1850" s="43"/>
      <c r="K1850" s="43"/>
      <c r="L1850" s="43"/>
      <c r="M1850" s="43"/>
      <c r="N1850" s="43"/>
      <c r="O1850" s="43"/>
      <c r="P1850" s="43"/>
      <c r="Q1850" s="43"/>
      <c r="R1850" s="43"/>
      <c r="S1850" s="43"/>
    </row>
    <row r="1851" spans="8:19">
      <c r="H1851" s="43"/>
      <c r="I1851" s="43"/>
      <c r="J1851" s="43"/>
      <c r="K1851" s="43"/>
      <c r="L1851" s="43"/>
      <c r="M1851" s="43"/>
      <c r="N1851" s="43"/>
      <c r="O1851" s="43"/>
      <c r="P1851" s="43"/>
      <c r="Q1851" s="43"/>
      <c r="R1851" s="43"/>
      <c r="S1851" s="43"/>
    </row>
    <row r="1852" spans="8:19">
      <c r="H1852" s="43"/>
      <c r="I1852" s="43"/>
      <c r="J1852" s="43"/>
      <c r="K1852" s="43"/>
      <c r="L1852" s="43"/>
      <c r="M1852" s="43"/>
      <c r="N1852" s="43"/>
      <c r="O1852" s="43"/>
      <c r="P1852" s="43"/>
      <c r="Q1852" s="43"/>
      <c r="R1852" s="43"/>
      <c r="S1852" s="43"/>
    </row>
    <row r="1853" spans="8:19">
      <c r="H1853" s="43"/>
      <c r="I1853" s="43"/>
      <c r="J1853" s="43"/>
      <c r="K1853" s="43"/>
      <c r="L1853" s="43"/>
      <c r="M1853" s="43"/>
      <c r="N1853" s="43"/>
      <c r="O1853" s="43"/>
      <c r="P1853" s="43"/>
      <c r="Q1853" s="43"/>
      <c r="R1853" s="43"/>
      <c r="S1853" s="43"/>
    </row>
    <row r="1854" spans="8:19">
      <c r="H1854" s="43"/>
      <c r="I1854" s="43"/>
      <c r="J1854" s="43"/>
      <c r="K1854" s="43"/>
      <c r="L1854" s="43"/>
      <c r="M1854" s="43"/>
      <c r="N1854" s="43"/>
      <c r="O1854" s="43"/>
      <c r="P1854" s="43"/>
      <c r="Q1854" s="43"/>
      <c r="R1854" s="43"/>
      <c r="S1854" s="43"/>
    </row>
    <row r="1855" spans="8:19">
      <c r="H1855" s="43"/>
      <c r="I1855" s="43"/>
      <c r="J1855" s="43"/>
      <c r="K1855" s="43"/>
      <c r="L1855" s="43"/>
      <c r="M1855" s="43"/>
      <c r="N1855" s="43"/>
      <c r="O1855" s="43"/>
      <c r="P1855" s="43"/>
      <c r="Q1855" s="43"/>
      <c r="R1855" s="43"/>
      <c r="S1855" s="43"/>
    </row>
    <row r="1856" spans="8:19">
      <c r="H1856" s="43"/>
      <c r="I1856" s="43"/>
      <c r="J1856" s="43"/>
      <c r="K1856" s="43"/>
      <c r="L1856" s="43"/>
      <c r="M1856" s="43"/>
      <c r="N1856" s="43"/>
      <c r="O1856" s="43"/>
      <c r="P1856" s="43"/>
      <c r="Q1856" s="43"/>
      <c r="R1856" s="43"/>
      <c r="S1856" s="43"/>
    </row>
    <row r="1857" spans="8:19">
      <c r="H1857" s="43"/>
      <c r="I1857" s="43"/>
      <c r="J1857" s="43"/>
      <c r="K1857" s="43"/>
      <c r="L1857" s="43"/>
      <c r="M1857" s="43"/>
      <c r="N1857" s="43"/>
      <c r="O1857" s="43"/>
      <c r="P1857" s="43"/>
      <c r="Q1857" s="43"/>
      <c r="R1857" s="43"/>
      <c r="S1857" s="43"/>
    </row>
    <row r="1858" spans="8:19">
      <c r="H1858" s="43"/>
      <c r="I1858" s="43"/>
      <c r="J1858" s="43"/>
      <c r="K1858" s="43"/>
      <c r="L1858" s="43"/>
      <c r="M1858" s="43"/>
      <c r="N1858" s="43"/>
      <c r="O1858" s="43"/>
      <c r="P1858" s="43"/>
      <c r="Q1858" s="43"/>
      <c r="R1858" s="43"/>
      <c r="S1858" s="43"/>
    </row>
    <row r="1859" spans="8:19">
      <c r="H1859" s="43"/>
      <c r="I1859" s="43"/>
      <c r="J1859" s="43"/>
      <c r="K1859" s="43"/>
      <c r="L1859" s="43"/>
      <c r="M1859" s="43"/>
      <c r="N1859" s="43"/>
      <c r="O1859" s="43"/>
      <c r="P1859" s="43"/>
      <c r="Q1859" s="43"/>
      <c r="R1859" s="43"/>
      <c r="S1859" s="43"/>
    </row>
    <row r="1860" spans="8:19">
      <c r="H1860" s="43"/>
      <c r="I1860" s="43"/>
      <c r="J1860" s="43"/>
      <c r="K1860" s="43"/>
      <c r="L1860" s="43"/>
      <c r="M1860" s="43"/>
      <c r="N1860" s="43"/>
      <c r="O1860" s="43"/>
      <c r="P1860" s="43"/>
      <c r="Q1860" s="43"/>
      <c r="R1860" s="43"/>
      <c r="S1860" s="43"/>
    </row>
    <row r="1861" spans="8:19">
      <c r="H1861" s="43"/>
      <c r="I1861" s="43"/>
      <c r="J1861" s="43"/>
      <c r="K1861" s="43"/>
      <c r="L1861" s="43"/>
      <c r="M1861" s="43"/>
      <c r="N1861" s="43"/>
      <c r="O1861" s="43"/>
      <c r="P1861" s="43"/>
      <c r="Q1861" s="43"/>
      <c r="R1861" s="43"/>
      <c r="S1861" s="43"/>
    </row>
    <row r="1862" spans="8:19">
      <c r="H1862" s="43"/>
      <c r="I1862" s="43"/>
      <c r="J1862" s="43"/>
      <c r="K1862" s="43"/>
      <c r="L1862" s="43"/>
      <c r="M1862" s="43"/>
      <c r="N1862" s="43"/>
      <c r="O1862" s="43"/>
      <c r="P1862" s="43"/>
      <c r="Q1862" s="43"/>
      <c r="R1862" s="43"/>
      <c r="S1862" s="43"/>
    </row>
    <row r="1863" spans="8:19">
      <c r="H1863" s="43"/>
      <c r="I1863" s="43"/>
      <c r="J1863" s="43"/>
      <c r="K1863" s="43"/>
      <c r="L1863" s="43"/>
      <c r="M1863" s="43"/>
      <c r="N1863" s="43"/>
      <c r="O1863" s="43"/>
      <c r="P1863" s="43"/>
      <c r="Q1863" s="43"/>
      <c r="R1863" s="43"/>
      <c r="S1863" s="43"/>
    </row>
    <row r="1864" spans="8:19">
      <c r="H1864" s="43"/>
      <c r="I1864" s="43"/>
      <c r="J1864" s="43"/>
      <c r="K1864" s="43"/>
      <c r="L1864" s="43"/>
      <c r="M1864" s="43"/>
      <c r="N1864" s="43"/>
      <c r="O1864" s="43"/>
      <c r="P1864" s="43"/>
      <c r="Q1864" s="43"/>
      <c r="R1864" s="43"/>
      <c r="S1864" s="43"/>
    </row>
    <row r="1865" spans="8:19">
      <c r="H1865" s="43"/>
      <c r="I1865" s="43"/>
      <c r="J1865" s="43"/>
      <c r="K1865" s="43"/>
      <c r="L1865" s="43"/>
      <c r="M1865" s="43"/>
      <c r="N1865" s="43"/>
      <c r="O1865" s="43"/>
      <c r="P1865" s="43"/>
      <c r="Q1865" s="43"/>
      <c r="R1865" s="43"/>
      <c r="S1865" s="43"/>
    </row>
    <row r="1866" spans="8:19">
      <c r="H1866" s="43"/>
      <c r="I1866" s="43"/>
      <c r="J1866" s="43"/>
      <c r="K1866" s="43"/>
      <c r="L1866" s="43"/>
      <c r="M1866" s="43"/>
      <c r="N1866" s="43"/>
      <c r="O1866" s="43"/>
      <c r="P1866" s="43"/>
      <c r="Q1866" s="43"/>
      <c r="R1866" s="43"/>
      <c r="S1866" s="43"/>
    </row>
    <row r="1867" spans="8:19">
      <c r="H1867" s="43"/>
      <c r="I1867" s="43"/>
      <c r="J1867" s="43"/>
      <c r="K1867" s="43"/>
      <c r="L1867" s="43"/>
      <c r="M1867" s="43"/>
      <c r="N1867" s="43"/>
      <c r="O1867" s="43"/>
      <c r="P1867" s="43"/>
      <c r="Q1867" s="43"/>
      <c r="R1867" s="43"/>
      <c r="S1867" s="43"/>
    </row>
    <row r="1868" spans="8:19">
      <c r="H1868" s="43"/>
      <c r="I1868" s="43"/>
      <c r="J1868" s="43"/>
      <c r="K1868" s="43"/>
      <c r="L1868" s="43"/>
      <c r="M1868" s="43"/>
      <c r="N1868" s="43"/>
      <c r="O1868" s="43"/>
      <c r="P1868" s="43"/>
      <c r="Q1868" s="43"/>
      <c r="R1868" s="43"/>
      <c r="S1868" s="43"/>
    </row>
    <row r="1869" spans="8:19">
      <c r="H1869" s="43"/>
      <c r="I1869" s="43"/>
      <c r="J1869" s="43"/>
      <c r="K1869" s="43"/>
      <c r="L1869" s="43"/>
      <c r="M1869" s="43"/>
      <c r="N1869" s="43"/>
      <c r="O1869" s="43"/>
      <c r="P1869" s="43"/>
      <c r="Q1869" s="43"/>
      <c r="R1869" s="43"/>
      <c r="S1869" s="43"/>
    </row>
    <row r="1870" spans="8:19">
      <c r="H1870" s="43"/>
      <c r="I1870" s="43"/>
      <c r="J1870" s="43"/>
      <c r="K1870" s="43"/>
      <c r="L1870" s="43"/>
      <c r="M1870" s="43"/>
      <c r="N1870" s="43"/>
      <c r="O1870" s="43"/>
      <c r="P1870" s="43"/>
      <c r="Q1870" s="43"/>
      <c r="R1870" s="43"/>
      <c r="S1870" s="43"/>
    </row>
    <row r="1871" spans="8:19">
      <c r="H1871" s="43"/>
      <c r="I1871" s="43"/>
      <c r="J1871" s="43"/>
      <c r="K1871" s="43"/>
      <c r="L1871" s="43"/>
      <c r="M1871" s="43"/>
      <c r="N1871" s="43"/>
      <c r="O1871" s="43"/>
      <c r="P1871" s="43"/>
      <c r="Q1871" s="43"/>
      <c r="R1871" s="43"/>
      <c r="S1871" s="43"/>
    </row>
    <row r="1872" spans="8:19">
      <c r="H1872" s="43"/>
      <c r="I1872" s="43"/>
      <c r="J1872" s="43"/>
      <c r="K1872" s="43"/>
      <c r="L1872" s="43"/>
      <c r="M1872" s="43"/>
      <c r="N1872" s="43"/>
      <c r="O1872" s="43"/>
      <c r="P1872" s="43"/>
      <c r="Q1872" s="43"/>
      <c r="R1872" s="43"/>
      <c r="S1872" s="43"/>
    </row>
    <row r="1873" spans="8:19">
      <c r="H1873" s="43"/>
      <c r="I1873" s="43"/>
      <c r="J1873" s="43"/>
      <c r="K1873" s="43"/>
      <c r="L1873" s="43"/>
      <c r="M1873" s="43"/>
      <c r="N1873" s="43"/>
      <c r="O1873" s="43"/>
      <c r="P1873" s="43"/>
      <c r="Q1873" s="43"/>
      <c r="R1873" s="43"/>
      <c r="S1873" s="43"/>
    </row>
    <row r="1874" spans="8:19">
      <c r="H1874" s="43"/>
      <c r="I1874" s="43"/>
      <c r="J1874" s="43"/>
      <c r="K1874" s="43"/>
      <c r="L1874" s="43"/>
      <c r="M1874" s="43"/>
      <c r="N1874" s="43"/>
      <c r="O1874" s="43"/>
      <c r="P1874" s="43"/>
      <c r="Q1874" s="43"/>
      <c r="R1874" s="43"/>
      <c r="S1874" s="43"/>
    </row>
    <row r="1875" spans="8:19">
      <c r="H1875" s="43"/>
      <c r="I1875" s="43"/>
      <c r="J1875" s="43"/>
      <c r="K1875" s="43"/>
      <c r="L1875" s="43"/>
      <c r="M1875" s="43"/>
      <c r="N1875" s="43"/>
      <c r="O1875" s="43"/>
      <c r="P1875" s="43"/>
      <c r="Q1875" s="43"/>
      <c r="R1875" s="43"/>
      <c r="S1875" s="43"/>
    </row>
    <row r="1876" spans="8:19">
      <c r="H1876" s="43"/>
      <c r="I1876" s="43"/>
      <c r="J1876" s="43"/>
      <c r="K1876" s="43"/>
      <c r="L1876" s="43"/>
      <c r="M1876" s="43"/>
      <c r="N1876" s="43"/>
      <c r="O1876" s="43"/>
      <c r="P1876" s="43"/>
      <c r="Q1876" s="43"/>
      <c r="R1876" s="43"/>
      <c r="S1876" s="43"/>
    </row>
    <row r="1877" spans="8:19">
      <c r="H1877" s="43"/>
      <c r="I1877" s="43"/>
      <c r="J1877" s="43"/>
      <c r="K1877" s="43"/>
      <c r="L1877" s="43"/>
      <c r="M1877" s="43"/>
      <c r="N1877" s="43"/>
      <c r="O1877" s="43"/>
      <c r="P1877" s="43"/>
      <c r="Q1877" s="43"/>
      <c r="R1877" s="43"/>
      <c r="S1877" s="43"/>
    </row>
    <row r="1878" spans="8:19">
      <c r="H1878" s="43"/>
      <c r="I1878" s="43"/>
      <c r="J1878" s="43"/>
      <c r="K1878" s="43"/>
      <c r="L1878" s="43"/>
      <c r="M1878" s="43"/>
      <c r="N1878" s="43"/>
      <c r="O1878" s="43"/>
      <c r="P1878" s="43"/>
      <c r="Q1878" s="43"/>
      <c r="R1878" s="43"/>
      <c r="S1878" s="43"/>
    </row>
    <row r="1879" spans="8:19">
      <c r="H1879" s="43"/>
      <c r="I1879" s="43"/>
      <c r="J1879" s="43"/>
      <c r="K1879" s="43"/>
      <c r="L1879" s="43"/>
      <c r="M1879" s="43"/>
      <c r="N1879" s="43"/>
      <c r="O1879" s="43"/>
      <c r="P1879" s="43"/>
      <c r="Q1879" s="43"/>
      <c r="R1879" s="43"/>
      <c r="S1879" s="43"/>
    </row>
    <row r="1880" spans="8:19">
      <c r="H1880" s="43"/>
      <c r="I1880" s="43"/>
      <c r="J1880" s="43"/>
      <c r="K1880" s="43"/>
      <c r="L1880" s="43"/>
      <c r="M1880" s="43"/>
      <c r="N1880" s="43"/>
      <c r="O1880" s="43"/>
      <c r="P1880" s="43"/>
      <c r="Q1880" s="43"/>
      <c r="R1880" s="43"/>
      <c r="S1880" s="43"/>
    </row>
    <row r="1881" spans="8:19">
      <c r="H1881" s="43"/>
      <c r="I1881" s="43"/>
      <c r="J1881" s="43"/>
      <c r="K1881" s="43"/>
      <c r="L1881" s="43"/>
      <c r="M1881" s="43"/>
      <c r="N1881" s="43"/>
      <c r="O1881" s="43"/>
      <c r="P1881" s="43"/>
      <c r="Q1881" s="43"/>
      <c r="R1881" s="43"/>
      <c r="S1881" s="43"/>
    </row>
    <row r="1882" spans="8:19">
      <c r="H1882" s="43"/>
      <c r="I1882" s="43"/>
      <c r="J1882" s="43"/>
      <c r="K1882" s="43"/>
      <c r="L1882" s="43"/>
      <c r="M1882" s="43"/>
      <c r="N1882" s="43"/>
      <c r="O1882" s="43"/>
      <c r="P1882" s="43"/>
      <c r="Q1882" s="43"/>
      <c r="R1882" s="43"/>
      <c r="S1882" s="43"/>
    </row>
    <row r="1883" spans="8:19">
      <c r="H1883" s="43"/>
      <c r="I1883" s="43"/>
      <c r="J1883" s="43"/>
      <c r="K1883" s="43"/>
      <c r="L1883" s="43"/>
      <c r="M1883" s="43"/>
      <c r="N1883" s="43"/>
      <c r="O1883" s="43"/>
      <c r="P1883" s="43"/>
      <c r="Q1883" s="43"/>
      <c r="R1883" s="43"/>
      <c r="S1883" s="43"/>
    </row>
    <row r="1884" spans="8:19">
      <c r="H1884" s="43"/>
      <c r="I1884" s="43"/>
      <c r="J1884" s="43"/>
      <c r="K1884" s="43"/>
      <c r="L1884" s="43"/>
      <c r="M1884" s="43"/>
      <c r="N1884" s="43"/>
      <c r="O1884" s="43"/>
      <c r="P1884" s="43"/>
      <c r="Q1884" s="43"/>
      <c r="R1884" s="43"/>
      <c r="S1884" s="43"/>
    </row>
    <row r="1885" spans="8:19">
      <c r="H1885" s="43"/>
      <c r="I1885" s="43"/>
      <c r="J1885" s="43"/>
      <c r="K1885" s="43"/>
      <c r="L1885" s="43"/>
      <c r="M1885" s="43"/>
      <c r="N1885" s="43"/>
      <c r="O1885" s="43"/>
      <c r="P1885" s="43"/>
      <c r="Q1885" s="43"/>
      <c r="R1885" s="43"/>
      <c r="S1885" s="43"/>
    </row>
    <row r="1886" spans="8:19">
      <c r="H1886" s="43"/>
      <c r="I1886" s="43"/>
      <c r="J1886" s="43"/>
      <c r="K1886" s="43"/>
      <c r="L1886" s="43"/>
      <c r="M1886" s="43"/>
      <c r="N1886" s="43"/>
      <c r="O1886" s="43"/>
      <c r="P1886" s="43"/>
      <c r="Q1886" s="43"/>
      <c r="R1886" s="43"/>
      <c r="S1886" s="43"/>
    </row>
    <row r="1887" spans="8:19">
      <c r="H1887" s="43"/>
      <c r="I1887" s="43"/>
      <c r="J1887" s="43"/>
      <c r="K1887" s="43"/>
      <c r="L1887" s="43"/>
      <c r="M1887" s="43"/>
      <c r="N1887" s="43"/>
      <c r="O1887" s="43"/>
      <c r="P1887" s="43"/>
      <c r="Q1887" s="43"/>
      <c r="R1887" s="43"/>
      <c r="S1887" s="43"/>
    </row>
    <row r="1888" spans="8:19">
      <c r="H1888" s="43"/>
      <c r="I1888" s="43"/>
      <c r="J1888" s="43"/>
      <c r="K1888" s="43"/>
      <c r="L1888" s="43"/>
      <c r="M1888" s="43"/>
      <c r="N1888" s="43"/>
      <c r="O1888" s="43"/>
      <c r="P1888" s="43"/>
      <c r="Q1888" s="43"/>
      <c r="R1888" s="43"/>
      <c r="S1888" s="43"/>
    </row>
    <row r="1889" spans="8:19">
      <c r="H1889" s="43"/>
      <c r="I1889" s="43"/>
      <c r="J1889" s="43"/>
      <c r="K1889" s="43"/>
      <c r="L1889" s="43"/>
      <c r="M1889" s="43"/>
      <c r="N1889" s="43"/>
      <c r="O1889" s="43"/>
      <c r="P1889" s="43"/>
      <c r="Q1889" s="43"/>
      <c r="R1889" s="43"/>
      <c r="S1889" s="43"/>
    </row>
    <row r="1890" spans="8:19">
      <c r="H1890" s="43"/>
      <c r="I1890" s="43"/>
      <c r="J1890" s="43"/>
      <c r="K1890" s="43"/>
      <c r="L1890" s="43"/>
      <c r="M1890" s="43"/>
      <c r="N1890" s="43"/>
      <c r="O1890" s="43"/>
      <c r="P1890" s="43"/>
      <c r="Q1890" s="43"/>
      <c r="R1890" s="43"/>
      <c r="S1890" s="43"/>
    </row>
    <row r="1891" spans="8:19">
      <c r="H1891" s="43"/>
      <c r="I1891" s="43"/>
      <c r="J1891" s="43"/>
      <c r="K1891" s="43"/>
      <c r="L1891" s="43"/>
      <c r="M1891" s="43"/>
      <c r="N1891" s="43"/>
      <c r="O1891" s="43"/>
      <c r="P1891" s="43"/>
      <c r="Q1891" s="43"/>
      <c r="R1891" s="43"/>
      <c r="S1891" s="43"/>
    </row>
    <row r="1892" spans="8:19">
      <c r="H1892" s="43"/>
      <c r="I1892" s="43"/>
      <c r="J1892" s="43"/>
      <c r="K1892" s="43"/>
      <c r="L1892" s="43"/>
      <c r="M1892" s="43"/>
      <c r="N1892" s="43"/>
      <c r="O1892" s="43"/>
      <c r="P1892" s="43"/>
      <c r="Q1892" s="43"/>
      <c r="R1892" s="43"/>
      <c r="S1892" s="43"/>
    </row>
    <row r="1893" spans="8:19">
      <c r="H1893" s="43"/>
      <c r="I1893" s="43"/>
      <c r="J1893" s="43"/>
      <c r="K1893" s="43"/>
      <c r="L1893" s="43"/>
      <c r="M1893" s="43"/>
      <c r="N1893" s="43"/>
      <c r="O1893" s="43"/>
      <c r="P1893" s="43"/>
      <c r="Q1893" s="43"/>
      <c r="R1893" s="43"/>
      <c r="S1893" s="43"/>
    </row>
    <row r="1894" spans="8:19">
      <c r="H1894" s="43"/>
      <c r="I1894" s="43"/>
      <c r="J1894" s="43"/>
      <c r="K1894" s="43"/>
      <c r="L1894" s="43"/>
      <c r="M1894" s="43"/>
      <c r="N1894" s="43"/>
      <c r="O1894" s="43"/>
      <c r="P1894" s="43"/>
      <c r="Q1894" s="43"/>
      <c r="R1894" s="43"/>
      <c r="S1894" s="43"/>
    </row>
    <row r="1895" spans="8:19">
      <c r="H1895" s="43"/>
      <c r="I1895" s="43"/>
      <c r="J1895" s="43"/>
      <c r="K1895" s="43"/>
      <c r="L1895" s="43"/>
      <c r="M1895" s="43"/>
      <c r="N1895" s="43"/>
      <c r="O1895" s="43"/>
      <c r="P1895" s="43"/>
      <c r="Q1895" s="43"/>
      <c r="R1895" s="43"/>
      <c r="S1895" s="43"/>
    </row>
    <row r="1896" spans="8:19">
      <c r="H1896" s="43"/>
      <c r="I1896" s="43"/>
      <c r="J1896" s="43"/>
      <c r="K1896" s="43"/>
      <c r="L1896" s="43"/>
      <c r="M1896" s="43"/>
      <c r="N1896" s="43"/>
      <c r="O1896" s="43"/>
      <c r="P1896" s="43"/>
      <c r="Q1896" s="43"/>
      <c r="R1896" s="43"/>
      <c r="S1896" s="43"/>
    </row>
    <row r="1897" spans="8:19">
      <c r="H1897" s="43"/>
      <c r="I1897" s="43"/>
      <c r="J1897" s="43"/>
      <c r="K1897" s="43"/>
      <c r="L1897" s="43"/>
      <c r="M1897" s="43"/>
      <c r="N1897" s="43"/>
      <c r="O1897" s="43"/>
      <c r="P1897" s="43"/>
      <c r="Q1897" s="43"/>
      <c r="R1897" s="43"/>
      <c r="S1897" s="43"/>
    </row>
    <row r="1898" spans="8:19">
      <c r="H1898" s="43"/>
      <c r="I1898" s="43"/>
      <c r="J1898" s="43"/>
      <c r="K1898" s="43"/>
      <c r="L1898" s="43"/>
      <c r="M1898" s="43"/>
      <c r="N1898" s="43"/>
      <c r="O1898" s="43"/>
      <c r="P1898" s="43"/>
      <c r="Q1898" s="43"/>
      <c r="R1898" s="43"/>
      <c r="S1898" s="43"/>
    </row>
    <row r="1899" spans="8:19">
      <c r="H1899" s="43"/>
      <c r="I1899" s="43"/>
      <c r="J1899" s="43"/>
      <c r="K1899" s="43"/>
      <c r="L1899" s="43"/>
      <c r="M1899" s="43"/>
      <c r="N1899" s="43"/>
      <c r="O1899" s="43"/>
      <c r="P1899" s="43"/>
      <c r="Q1899" s="43"/>
      <c r="R1899" s="43"/>
      <c r="S1899" s="43"/>
    </row>
    <row r="1900" spans="8:19">
      <c r="H1900" s="43"/>
      <c r="I1900" s="43"/>
      <c r="J1900" s="43"/>
      <c r="K1900" s="43"/>
      <c r="L1900" s="43"/>
      <c r="M1900" s="43"/>
      <c r="N1900" s="43"/>
      <c r="O1900" s="43"/>
      <c r="P1900" s="43"/>
      <c r="Q1900" s="43"/>
      <c r="R1900" s="43"/>
      <c r="S1900" s="43"/>
    </row>
    <row r="1901" spans="8:19">
      <c r="H1901" s="43"/>
      <c r="I1901" s="43"/>
      <c r="J1901" s="43"/>
      <c r="K1901" s="43"/>
      <c r="L1901" s="43"/>
      <c r="M1901" s="43"/>
      <c r="N1901" s="43"/>
      <c r="O1901" s="43"/>
      <c r="P1901" s="43"/>
      <c r="Q1901" s="43"/>
      <c r="R1901" s="43"/>
      <c r="S1901" s="43"/>
    </row>
    <row r="1902" spans="8:19">
      <c r="H1902" s="43"/>
      <c r="I1902" s="43"/>
      <c r="J1902" s="43"/>
      <c r="K1902" s="43"/>
      <c r="L1902" s="43"/>
      <c r="M1902" s="43"/>
      <c r="N1902" s="43"/>
      <c r="O1902" s="43"/>
      <c r="P1902" s="43"/>
      <c r="Q1902" s="43"/>
      <c r="R1902" s="43"/>
      <c r="S1902" s="43"/>
    </row>
    <row r="1903" spans="8:19">
      <c r="H1903" s="43"/>
      <c r="I1903" s="43"/>
      <c r="J1903" s="43"/>
      <c r="K1903" s="43"/>
      <c r="L1903" s="43"/>
      <c r="M1903" s="43"/>
      <c r="N1903" s="43"/>
      <c r="O1903" s="43"/>
      <c r="P1903" s="43"/>
      <c r="Q1903" s="43"/>
      <c r="R1903" s="43"/>
      <c r="S1903" s="43"/>
    </row>
    <row r="1904" spans="8:19">
      <c r="H1904" s="43"/>
      <c r="I1904" s="43"/>
      <c r="J1904" s="43"/>
      <c r="K1904" s="43"/>
      <c r="L1904" s="43"/>
      <c r="M1904" s="43"/>
      <c r="N1904" s="43"/>
      <c r="O1904" s="43"/>
      <c r="P1904" s="43"/>
      <c r="Q1904" s="43"/>
      <c r="R1904" s="43"/>
      <c r="S1904" s="43"/>
    </row>
    <row r="1905" spans="8:19">
      <c r="H1905" s="43"/>
      <c r="I1905" s="43"/>
      <c r="J1905" s="43"/>
      <c r="K1905" s="43"/>
      <c r="L1905" s="43"/>
      <c r="M1905" s="43"/>
      <c r="N1905" s="43"/>
      <c r="O1905" s="43"/>
      <c r="P1905" s="43"/>
      <c r="Q1905" s="43"/>
      <c r="R1905" s="43"/>
      <c r="S1905" s="43"/>
    </row>
    <row r="1906" spans="8:19">
      <c r="H1906" s="43"/>
      <c r="I1906" s="43"/>
      <c r="J1906" s="43"/>
      <c r="K1906" s="43"/>
      <c r="L1906" s="43"/>
      <c r="M1906" s="43"/>
      <c r="N1906" s="43"/>
      <c r="O1906" s="43"/>
      <c r="P1906" s="43"/>
      <c r="Q1906" s="43"/>
      <c r="R1906" s="43"/>
      <c r="S1906" s="43"/>
    </row>
    <row r="1907" spans="8:19">
      <c r="H1907" s="43"/>
      <c r="I1907" s="43"/>
      <c r="J1907" s="43"/>
      <c r="K1907" s="43"/>
      <c r="L1907" s="43"/>
      <c r="M1907" s="43"/>
      <c r="N1907" s="43"/>
      <c r="O1907" s="43"/>
      <c r="P1907" s="43"/>
      <c r="Q1907" s="43"/>
      <c r="R1907" s="43"/>
      <c r="S1907" s="43"/>
    </row>
    <row r="1908" spans="8:19">
      <c r="H1908" s="43"/>
      <c r="I1908" s="43"/>
      <c r="J1908" s="43"/>
      <c r="K1908" s="43"/>
      <c r="L1908" s="43"/>
      <c r="M1908" s="43"/>
      <c r="N1908" s="43"/>
      <c r="O1908" s="43"/>
      <c r="P1908" s="43"/>
      <c r="Q1908" s="43"/>
      <c r="R1908" s="43"/>
      <c r="S1908" s="43"/>
    </row>
    <row r="1909" spans="8:19">
      <c r="H1909" s="43"/>
      <c r="I1909" s="43"/>
      <c r="J1909" s="43"/>
      <c r="K1909" s="43"/>
      <c r="L1909" s="43"/>
      <c r="M1909" s="43"/>
      <c r="N1909" s="43"/>
      <c r="O1909" s="43"/>
      <c r="P1909" s="43"/>
      <c r="Q1909" s="43"/>
      <c r="R1909" s="43"/>
      <c r="S1909" s="43"/>
    </row>
    <row r="1910" spans="8:19">
      <c r="H1910" s="43"/>
      <c r="I1910" s="43"/>
      <c r="J1910" s="43"/>
      <c r="K1910" s="43"/>
      <c r="L1910" s="43"/>
      <c r="M1910" s="43"/>
      <c r="N1910" s="43"/>
      <c r="O1910" s="43"/>
      <c r="P1910" s="43"/>
      <c r="Q1910" s="43"/>
      <c r="R1910" s="43"/>
      <c r="S1910" s="43"/>
    </row>
    <row r="1911" spans="8:19">
      <c r="H1911" s="43"/>
      <c r="I1911" s="43"/>
      <c r="J1911" s="43"/>
      <c r="K1911" s="43"/>
      <c r="L1911" s="43"/>
      <c r="M1911" s="43"/>
      <c r="N1911" s="43"/>
      <c r="O1911" s="43"/>
      <c r="P1911" s="43"/>
      <c r="Q1911" s="43"/>
      <c r="R1911" s="43"/>
      <c r="S1911" s="43"/>
    </row>
    <row r="1912" spans="8:19">
      <c r="H1912" s="43"/>
      <c r="I1912" s="43"/>
      <c r="J1912" s="43"/>
      <c r="K1912" s="43"/>
      <c r="L1912" s="43"/>
      <c r="M1912" s="43"/>
      <c r="N1912" s="43"/>
      <c r="O1912" s="43"/>
      <c r="P1912" s="43"/>
      <c r="Q1912" s="43"/>
      <c r="R1912" s="43"/>
      <c r="S1912" s="43"/>
    </row>
    <row r="1913" spans="8:19">
      <c r="H1913" s="43"/>
      <c r="I1913" s="43"/>
      <c r="J1913" s="43"/>
      <c r="K1913" s="43"/>
      <c r="L1913" s="43"/>
      <c r="M1913" s="43"/>
      <c r="N1913" s="43"/>
      <c r="O1913" s="43"/>
      <c r="P1913" s="43"/>
      <c r="Q1913" s="43"/>
      <c r="R1913" s="43"/>
      <c r="S1913" s="43"/>
    </row>
    <row r="1914" spans="8:19">
      <c r="H1914" s="43"/>
      <c r="I1914" s="43"/>
      <c r="J1914" s="43"/>
      <c r="K1914" s="43"/>
      <c r="L1914" s="43"/>
      <c r="M1914" s="43"/>
      <c r="N1914" s="43"/>
      <c r="O1914" s="43"/>
      <c r="P1914" s="43"/>
      <c r="Q1914" s="43"/>
      <c r="R1914" s="43"/>
      <c r="S1914" s="43"/>
    </row>
    <row r="1915" spans="8:19">
      <c r="H1915" s="43"/>
      <c r="I1915" s="43"/>
      <c r="J1915" s="43"/>
      <c r="K1915" s="43"/>
      <c r="L1915" s="43"/>
      <c r="M1915" s="43"/>
      <c r="N1915" s="43"/>
      <c r="O1915" s="43"/>
      <c r="P1915" s="43"/>
      <c r="Q1915" s="43"/>
      <c r="R1915" s="43"/>
      <c r="S1915" s="43"/>
    </row>
    <row r="1916" spans="8:19">
      <c r="H1916" s="43"/>
      <c r="I1916" s="43"/>
      <c r="J1916" s="43"/>
      <c r="K1916" s="43"/>
      <c r="L1916" s="43"/>
      <c r="M1916" s="43"/>
      <c r="N1916" s="43"/>
      <c r="O1916" s="43"/>
      <c r="P1916" s="43"/>
      <c r="Q1916" s="43"/>
      <c r="R1916" s="43"/>
      <c r="S1916" s="43"/>
    </row>
    <row r="1917" spans="8:19">
      <c r="H1917" s="43"/>
      <c r="I1917" s="43"/>
      <c r="J1917" s="43"/>
      <c r="K1917" s="43"/>
      <c r="L1917" s="43"/>
      <c r="M1917" s="43"/>
      <c r="N1917" s="43"/>
      <c r="O1917" s="43"/>
      <c r="P1917" s="43"/>
      <c r="Q1917" s="43"/>
      <c r="R1917" s="43"/>
      <c r="S1917" s="43"/>
    </row>
    <row r="1918" spans="8:19">
      <c r="H1918" s="43"/>
      <c r="I1918" s="43"/>
      <c r="J1918" s="43"/>
      <c r="K1918" s="43"/>
      <c r="L1918" s="43"/>
      <c r="M1918" s="43"/>
      <c r="N1918" s="43"/>
      <c r="O1918" s="43"/>
      <c r="P1918" s="43"/>
      <c r="Q1918" s="43"/>
      <c r="R1918" s="43"/>
      <c r="S1918" s="43"/>
    </row>
    <row r="1919" spans="8:19">
      <c r="H1919" s="43"/>
      <c r="I1919" s="43"/>
      <c r="J1919" s="43"/>
      <c r="K1919" s="43"/>
      <c r="L1919" s="43"/>
      <c r="M1919" s="43"/>
      <c r="N1919" s="43"/>
      <c r="O1919" s="43"/>
      <c r="P1919" s="43"/>
      <c r="Q1919" s="43"/>
      <c r="R1919" s="43"/>
      <c r="S1919" s="43"/>
    </row>
    <row r="1920" spans="8:19">
      <c r="H1920" s="43"/>
      <c r="I1920" s="43"/>
      <c r="J1920" s="43"/>
      <c r="K1920" s="43"/>
      <c r="L1920" s="43"/>
      <c r="M1920" s="43"/>
      <c r="N1920" s="43"/>
      <c r="O1920" s="43"/>
      <c r="P1920" s="43"/>
      <c r="Q1920" s="43"/>
      <c r="R1920" s="43"/>
      <c r="S1920" s="43"/>
    </row>
    <row r="1921" spans="8:19">
      <c r="H1921" s="43"/>
      <c r="I1921" s="43"/>
      <c r="J1921" s="43"/>
      <c r="K1921" s="43"/>
      <c r="L1921" s="43"/>
      <c r="M1921" s="43"/>
      <c r="N1921" s="43"/>
      <c r="O1921" s="43"/>
      <c r="P1921" s="43"/>
      <c r="Q1921" s="43"/>
      <c r="R1921" s="43"/>
      <c r="S1921" s="43"/>
    </row>
    <row r="1922" spans="8:19">
      <c r="H1922" s="43"/>
      <c r="I1922" s="43"/>
      <c r="J1922" s="43"/>
      <c r="K1922" s="43"/>
      <c r="L1922" s="43"/>
      <c r="M1922" s="43"/>
      <c r="N1922" s="43"/>
      <c r="O1922" s="43"/>
      <c r="P1922" s="43"/>
      <c r="Q1922" s="43"/>
      <c r="R1922" s="43"/>
      <c r="S1922" s="43"/>
    </row>
    <row r="1923" spans="8:19">
      <c r="H1923" s="43"/>
      <c r="I1923" s="43"/>
      <c r="J1923" s="43"/>
      <c r="K1923" s="43"/>
      <c r="L1923" s="43"/>
      <c r="M1923" s="43"/>
      <c r="N1923" s="43"/>
      <c r="O1923" s="43"/>
      <c r="P1923" s="43"/>
      <c r="Q1923" s="43"/>
      <c r="R1923" s="43"/>
      <c r="S1923" s="43"/>
    </row>
    <row r="1924" spans="8:19">
      <c r="H1924" s="43"/>
      <c r="I1924" s="43"/>
      <c r="J1924" s="43"/>
      <c r="K1924" s="43"/>
      <c r="L1924" s="43"/>
      <c r="M1924" s="43"/>
      <c r="N1924" s="43"/>
      <c r="O1924" s="43"/>
      <c r="P1924" s="43"/>
      <c r="Q1924" s="43"/>
      <c r="R1924" s="43"/>
      <c r="S1924" s="43"/>
    </row>
    <row r="1925" spans="8:19">
      <c r="H1925" s="43"/>
      <c r="I1925" s="43"/>
      <c r="J1925" s="43"/>
      <c r="K1925" s="43"/>
      <c r="L1925" s="43"/>
      <c r="M1925" s="43"/>
      <c r="N1925" s="43"/>
      <c r="O1925" s="43"/>
      <c r="P1925" s="43"/>
      <c r="Q1925" s="43"/>
      <c r="R1925" s="43"/>
      <c r="S1925" s="43"/>
    </row>
    <row r="1926" spans="8:19">
      <c r="H1926" s="43"/>
      <c r="I1926" s="43"/>
      <c r="J1926" s="43"/>
      <c r="K1926" s="43"/>
      <c r="L1926" s="43"/>
      <c r="M1926" s="43"/>
      <c r="N1926" s="43"/>
      <c r="O1926" s="43"/>
      <c r="P1926" s="43"/>
      <c r="Q1926" s="43"/>
      <c r="R1926" s="43"/>
      <c r="S1926" s="43"/>
    </row>
    <row r="1927" spans="8:19">
      <c r="H1927" s="43"/>
      <c r="I1927" s="43"/>
      <c r="J1927" s="43"/>
      <c r="K1927" s="43"/>
      <c r="L1927" s="43"/>
      <c r="M1927" s="43"/>
      <c r="N1927" s="43"/>
      <c r="O1927" s="43"/>
      <c r="P1927" s="43"/>
      <c r="Q1927" s="43"/>
      <c r="R1927" s="43"/>
      <c r="S1927" s="43"/>
    </row>
    <row r="1928" spans="8:19">
      <c r="H1928" s="43"/>
      <c r="I1928" s="43"/>
      <c r="J1928" s="43"/>
      <c r="K1928" s="43"/>
      <c r="L1928" s="43"/>
      <c r="M1928" s="43"/>
      <c r="N1928" s="43"/>
      <c r="O1928" s="43"/>
      <c r="P1928" s="43"/>
      <c r="Q1928" s="43"/>
      <c r="R1928" s="43"/>
      <c r="S1928" s="43"/>
    </row>
    <row r="1929" spans="8:19">
      <c r="H1929" s="43"/>
      <c r="I1929" s="43"/>
      <c r="J1929" s="43"/>
      <c r="K1929" s="43"/>
      <c r="L1929" s="43"/>
      <c r="M1929" s="43"/>
      <c r="N1929" s="43"/>
      <c r="O1929" s="43"/>
      <c r="P1929" s="43"/>
      <c r="Q1929" s="43"/>
      <c r="R1929" s="43"/>
      <c r="S1929" s="43"/>
    </row>
    <row r="1930" spans="8:19">
      <c r="H1930" s="43"/>
      <c r="I1930" s="43"/>
      <c r="J1930" s="43"/>
      <c r="K1930" s="43"/>
      <c r="L1930" s="43"/>
      <c r="M1930" s="43"/>
      <c r="N1930" s="43"/>
      <c r="O1930" s="43"/>
      <c r="P1930" s="43"/>
      <c r="Q1930" s="43"/>
      <c r="R1930" s="43"/>
      <c r="S1930" s="43"/>
    </row>
    <row r="1931" spans="8:19">
      <c r="H1931" s="43"/>
      <c r="I1931" s="43"/>
      <c r="J1931" s="43"/>
      <c r="K1931" s="43"/>
      <c r="L1931" s="43"/>
      <c r="M1931" s="43"/>
      <c r="N1931" s="43"/>
      <c r="O1931" s="43"/>
      <c r="P1931" s="43"/>
      <c r="Q1931" s="43"/>
      <c r="R1931" s="43"/>
      <c r="S1931" s="43"/>
    </row>
    <row r="1932" spans="8:19">
      <c r="H1932" s="43"/>
      <c r="I1932" s="43"/>
      <c r="J1932" s="43"/>
      <c r="K1932" s="43"/>
      <c r="L1932" s="43"/>
      <c r="M1932" s="43"/>
      <c r="N1932" s="43"/>
      <c r="O1932" s="43"/>
      <c r="P1932" s="43"/>
      <c r="Q1932" s="43"/>
      <c r="R1932" s="43"/>
      <c r="S1932" s="43"/>
    </row>
    <row r="1933" spans="8:19">
      <c r="H1933" s="43"/>
      <c r="I1933" s="43"/>
      <c r="J1933" s="43"/>
      <c r="K1933" s="43"/>
      <c r="L1933" s="43"/>
      <c r="M1933" s="43"/>
      <c r="N1933" s="43"/>
      <c r="O1933" s="43"/>
      <c r="P1933" s="43"/>
      <c r="Q1933" s="43"/>
      <c r="R1933" s="43"/>
      <c r="S1933" s="43"/>
    </row>
    <row r="1934" spans="8:19">
      <c r="H1934" s="43"/>
      <c r="I1934" s="43"/>
      <c r="J1934" s="43"/>
      <c r="K1934" s="43"/>
      <c r="L1934" s="43"/>
      <c r="M1934" s="43"/>
      <c r="N1934" s="43"/>
      <c r="O1934" s="43"/>
      <c r="P1934" s="43"/>
      <c r="Q1934" s="43"/>
      <c r="R1934" s="43"/>
      <c r="S1934" s="43"/>
    </row>
    <row r="1935" spans="8:19">
      <c r="H1935" s="43"/>
      <c r="I1935" s="43"/>
      <c r="J1935" s="43"/>
      <c r="K1935" s="43"/>
      <c r="L1935" s="43"/>
      <c r="M1935" s="43"/>
      <c r="N1935" s="43"/>
      <c r="O1935" s="43"/>
      <c r="P1935" s="43"/>
      <c r="Q1935" s="43"/>
      <c r="R1935" s="43"/>
      <c r="S1935" s="43"/>
    </row>
    <row r="1936" spans="8:19">
      <c r="H1936" s="43"/>
      <c r="I1936" s="43"/>
      <c r="J1936" s="43"/>
      <c r="K1936" s="43"/>
      <c r="L1936" s="43"/>
      <c r="M1936" s="43"/>
      <c r="N1936" s="43"/>
      <c r="O1936" s="43"/>
      <c r="P1936" s="43"/>
      <c r="Q1936" s="43"/>
      <c r="R1936" s="43"/>
      <c r="S1936" s="43"/>
    </row>
    <row r="1937" spans="8:19">
      <c r="H1937" s="43"/>
      <c r="I1937" s="43"/>
      <c r="J1937" s="43"/>
      <c r="K1937" s="43"/>
      <c r="L1937" s="43"/>
      <c r="M1937" s="43"/>
      <c r="N1937" s="43"/>
      <c r="O1937" s="43"/>
      <c r="P1937" s="43"/>
      <c r="Q1937" s="43"/>
      <c r="R1937" s="43"/>
      <c r="S1937" s="43"/>
    </row>
    <row r="1938" spans="8:19">
      <c r="H1938" s="43"/>
      <c r="I1938" s="43"/>
      <c r="J1938" s="43"/>
      <c r="K1938" s="43"/>
      <c r="L1938" s="43"/>
      <c r="M1938" s="43"/>
      <c r="N1938" s="43"/>
      <c r="O1938" s="43"/>
      <c r="P1938" s="43"/>
      <c r="Q1938" s="43"/>
      <c r="R1938" s="43"/>
      <c r="S1938" s="43"/>
    </row>
    <row r="1939" spans="8:19">
      <c r="H1939" s="43"/>
      <c r="I1939" s="43"/>
      <c r="J1939" s="43"/>
      <c r="K1939" s="43"/>
      <c r="L1939" s="43"/>
      <c r="M1939" s="43"/>
      <c r="N1939" s="43"/>
      <c r="O1939" s="43"/>
      <c r="P1939" s="43"/>
      <c r="Q1939" s="43"/>
      <c r="R1939" s="43"/>
      <c r="S1939" s="43"/>
    </row>
    <row r="1940" spans="8:19">
      <c r="H1940" s="43"/>
      <c r="I1940" s="43"/>
      <c r="J1940" s="43"/>
      <c r="K1940" s="43"/>
      <c r="L1940" s="43"/>
      <c r="M1940" s="43"/>
      <c r="N1940" s="43"/>
      <c r="O1940" s="43"/>
      <c r="P1940" s="43"/>
      <c r="Q1940" s="43"/>
      <c r="R1940" s="43"/>
      <c r="S1940" s="43"/>
    </row>
    <row r="1941" spans="8:19">
      <c r="H1941" s="43"/>
      <c r="I1941" s="43"/>
      <c r="J1941" s="43"/>
      <c r="K1941" s="43"/>
      <c r="L1941" s="43"/>
      <c r="M1941" s="43"/>
      <c r="N1941" s="43"/>
      <c r="O1941" s="43"/>
      <c r="P1941" s="43"/>
      <c r="Q1941" s="43"/>
      <c r="R1941" s="43"/>
      <c r="S1941" s="43"/>
    </row>
    <row r="1942" spans="8:19">
      <c r="H1942" s="43"/>
      <c r="I1942" s="43"/>
      <c r="J1942" s="43"/>
      <c r="K1942" s="43"/>
      <c r="L1942" s="43"/>
      <c r="M1942" s="43"/>
      <c r="N1942" s="43"/>
      <c r="O1942" s="43"/>
      <c r="P1942" s="43"/>
      <c r="Q1942" s="43"/>
      <c r="R1942" s="43"/>
      <c r="S1942" s="43"/>
    </row>
    <row r="1943" spans="8:19">
      <c r="H1943" s="43"/>
      <c r="I1943" s="43"/>
      <c r="J1943" s="43"/>
      <c r="K1943" s="43"/>
      <c r="L1943" s="43"/>
      <c r="M1943" s="43"/>
      <c r="N1943" s="43"/>
      <c r="O1943" s="43"/>
      <c r="P1943" s="43"/>
      <c r="Q1943" s="43"/>
      <c r="R1943" s="43"/>
      <c r="S1943" s="43"/>
    </row>
    <row r="1944" spans="8:19">
      <c r="H1944" s="43"/>
      <c r="I1944" s="43"/>
      <c r="J1944" s="43"/>
      <c r="K1944" s="43"/>
      <c r="L1944" s="43"/>
      <c r="M1944" s="43"/>
      <c r="N1944" s="43"/>
      <c r="O1944" s="43"/>
      <c r="P1944" s="43"/>
      <c r="Q1944" s="43"/>
      <c r="R1944" s="43"/>
      <c r="S1944" s="43"/>
    </row>
    <row r="1945" spans="8:19">
      <c r="H1945" s="43"/>
      <c r="I1945" s="43"/>
      <c r="J1945" s="43"/>
      <c r="K1945" s="43"/>
      <c r="L1945" s="43"/>
      <c r="M1945" s="43"/>
      <c r="N1945" s="43"/>
      <c r="O1945" s="43"/>
      <c r="P1945" s="43"/>
      <c r="Q1945" s="43"/>
      <c r="R1945" s="43"/>
      <c r="S1945" s="43"/>
    </row>
    <row r="1946" spans="8:19">
      <c r="H1946" s="43"/>
      <c r="I1946" s="43"/>
      <c r="J1946" s="43"/>
      <c r="K1946" s="43"/>
      <c r="L1946" s="43"/>
      <c r="M1946" s="43"/>
      <c r="N1946" s="43"/>
      <c r="O1946" s="43"/>
      <c r="P1946" s="43"/>
      <c r="Q1946" s="43"/>
      <c r="R1946" s="43"/>
      <c r="S1946" s="43"/>
    </row>
    <row r="1947" spans="8:19">
      <c r="H1947" s="43"/>
      <c r="I1947" s="43"/>
      <c r="J1947" s="43"/>
      <c r="K1947" s="43"/>
      <c r="L1947" s="43"/>
      <c r="M1947" s="43"/>
      <c r="N1947" s="43"/>
      <c r="O1947" s="43"/>
      <c r="P1947" s="43"/>
      <c r="Q1947" s="43"/>
      <c r="R1947" s="43"/>
      <c r="S1947" s="43"/>
    </row>
    <row r="1948" spans="8:19">
      <c r="H1948" s="43"/>
      <c r="I1948" s="43"/>
      <c r="J1948" s="43"/>
      <c r="K1948" s="43"/>
      <c r="L1948" s="43"/>
      <c r="M1948" s="43"/>
      <c r="N1948" s="43"/>
      <c r="O1948" s="43"/>
      <c r="P1948" s="43"/>
      <c r="Q1948" s="43"/>
      <c r="R1948" s="43"/>
      <c r="S1948" s="43"/>
    </row>
    <row r="1949" spans="8:19">
      <c r="H1949" s="43"/>
      <c r="I1949" s="43"/>
      <c r="J1949" s="43"/>
      <c r="K1949" s="43"/>
      <c r="L1949" s="43"/>
      <c r="M1949" s="43"/>
      <c r="N1949" s="43"/>
      <c r="O1949" s="43"/>
      <c r="P1949" s="43"/>
      <c r="Q1949" s="43"/>
      <c r="R1949" s="43"/>
      <c r="S1949" s="43"/>
    </row>
    <row r="1950" spans="8:19">
      <c r="H1950" s="43"/>
      <c r="I1950" s="43"/>
      <c r="J1950" s="43"/>
      <c r="K1950" s="43"/>
      <c r="L1950" s="43"/>
      <c r="M1950" s="43"/>
      <c r="N1950" s="43"/>
      <c r="O1950" s="43"/>
      <c r="P1950" s="43"/>
      <c r="Q1950" s="43"/>
      <c r="R1950" s="43"/>
      <c r="S1950" s="43"/>
    </row>
    <row r="1951" spans="8:19">
      <c r="H1951" s="43"/>
      <c r="I1951" s="43"/>
      <c r="J1951" s="43"/>
      <c r="K1951" s="43"/>
      <c r="L1951" s="43"/>
      <c r="M1951" s="43"/>
      <c r="N1951" s="43"/>
      <c r="O1951" s="43"/>
      <c r="P1951" s="43"/>
      <c r="Q1951" s="43"/>
      <c r="R1951" s="43"/>
      <c r="S1951" s="43"/>
    </row>
    <row r="1952" spans="8:19">
      <c r="H1952" s="43"/>
      <c r="I1952" s="43"/>
      <c r="J1952" s="43"/>
      <c r="K1952" s="43"/>
      <c r="L1952" s="43"/>
      <c r="M1952" s="43"/>
      <c r="N1952" s="43"/>
      <c r="O1952" s="43"/>
      <c r="P1952" s="43"/>
      <c r="Q1952" s="43"/>
      <c r="R1952" s="43"/>
      <c r="S1952" s="43"/>
    </row>
    <row r="1953" spans="8:19">
      <c r="H1953" s="43"/>
      <c r="I1953" s="43"/>
      <c r="J1953" s="43"/>
      <c r="K1953" s="43"/>
      <c r="L1953" s="43"/>
      <c r="M1953" s="43"/>
      <c r="N1953" s="43"/>
      <c r="O1953" s="43"/>
      <c r="P1953" s="43"/>
      <c r="Q1953" s="43"/>
      <c r="R1953" s="43"/>
      <c r="S1953" s="43"/>
    </row>
    <row r="1954" spans="8:19">
      <c r="H1954" s="43"/>
      <c r="I1954" s="43"/>
      <c r="J1954" s="43"/>
      <c r="K1954" s="43"/>
      <c r="L1954" s="43"/>
      <c r="M1954" s="43"/>
      <c r="N1954" s="43"/>
      <c r="O1954" s="43"/>
      <c r="P1954" s="43"/>
      <c r="Q1954" s="43"/>
      <c r="R1954" s="43"/>
      <c r="S1954" s="43"/>
    </row>
    <row r="1955" spans="8:19">
      <c r="H1955" s="43"/>
      <c r="I1955" s="43"/>
      <c r="J1955" s="43"/>
      <c r="K1955" s="43"/>
      <c r="L1955" s="43"/>
      <c r="M1955" s="43"/>
      <c r="N1955" s="43"/>
      <c r="O1955" s="43"/>
      <c r="P1955" s="43"/>
      <c r="Q1955" s="43"/>
      <c r="R1955" s="43"/>
      <c r="S1955" s="43"/>
    </row>
    <row r="1956" spans="8:19">
      <c r="H1956" s="43"/>
      <c r="I1956" s="43"/>
      <c r="J1956" s="43"/>
      <c r="K1956" s="43"/>
      <c r="L1956" s="43"/>
      <c r="M1956" s="43"/>
      <c r="N1956" s="43"/>
      <c r="O1956" s="43"/>
      <c r="P1956" s="43"/>
      <c r="Q1956" s="43"/>
      <c r="R1956" s="43"/>
      <c r="S1956" s="43"/>
    </row>
    <row r="1957" spans="8:19">
      <c r="H1957" s="43"/>
      <c r="I1957" s="43"/>
      <c r="J1957" s="43"/>
      <c r="K1957" s="43"/>
      <c r="L1957" s="43"/>
      <c r="M1957" s="43"/>
      <c r="N1957" s="43"/>
      <c r="O1957" s="43"/>
      <c r="P1957" s="43"/>
      <c r="Q1957" s="43"/>
      <c r="R1957" s="43"/>
      <c r="S1957" s="43"/>
    </row>
    <row r="1958" spans="8:19">
      <c r="H1958" s="43"/>
      <c r="I1958" s="43"/>
      <c r="J1958" s="43"/>
      <c r="K1958" s="43"/>
      <c r="L1958" s="43"/>
      <c r="M1958" s="43"/>
      <c r="N1958" s="43"/>
      <c r="O1958" s="43"/>
      <c r="P1958" s="43"/>
      <c r="Q1958" s="43"/>
      <c r="R1958" s="43"/>
      <c r="S1958" s="43"/>
    </row>
    <row r="1959" spans="8:19">
      <c r="H1959" s="43"/>
      <c r="I1959" s="43"/>
      <c r="J1959" s="43"/>
      <c r="K1959" s="43"/>
      <c r="L1959" s="43"/>
      <c r="M1959" s="43"/>
      <c r="N1959" s="43"/>
      <c r="O1959" s="43"/>
      <c r="P1959" s="43"/>
      <c r="Q1959" s="43"/>
      <c r="R1959" s="43"/>
      <c r="S1959" s="43"/>
    </row>
    <row r="1960" spans="8:19">
      <c r="H1960" s="43"/>
      <c r="I1960" s="43"/>
      <c r="J1960" s="43"/>
      <c r="K1960" s="43"/>
      <c r="L1960" s="43"/>
      <c r="M1960" s="43"/>
      <c r="N1960" s="43"/>
      <c r="O1960" s="43"/>
      <c r="P1960" s="43"/>
      <c r="Q1960" s="43"/>
      <c r="R1960" s="43"/>
      <c r="S1960" s="43"/>
    </row>
    <row r="1961" spans="8:19">
      <c r="H1961" s="43"/>
      <c r="I1961" s="43"/>
      <c r="J1961" s="43"/>
      <c r="K1961" s="43"/>
      <c r="L1961" s="43"/>
      <c r="M1961" s="43"/>
      <c r="N1961" s="43"/>
      <c r="O1961" s="43"/>
      <c r="P1961" s="43"/>
      <c r="Q1961" s="43"/>
      <c r="R1961" s="43"/>
      <c r="S1961" s="43"/>
    </row>
    <row r="1962" spans="8:19">
      <c r="H1962" s="43"/>
      <c r="I1962" s="43"/>
      <c r="J1962" s="43"/>
      <c r="K1962" s="43"/>
      <c r="L1962" s="43"/>
      <c r="M1962" s="43"/>
      <c r="N1962" s="43"/>
      <c r="O1962" s="43"/>
      <c r="P1962" s="43"/>
      <c r="Q1962" s="43"/>
      <c r="R1962" s="43"/>
      <c r="S1962" s="43"/>
    </row>
    <row r="1963" spans="8:19">
      <c r="H1963" s="43"/>
      <c r="I1963" s="43"/>
      <c r="J1963" s="43"/>
      <c r="K1963" s="43"/>
      <c r="L1963" s="43"/>
      <c r="M1963" s="43"/>
      <c r="N1963" s="43"/>
      <c r="O1963" s="43"/>
      <c r="P1963" s="43"/>
      <c r="Q1963" s="43"/>
      <c r="R1963" s="43"/>
      <c r="S1963" s="43"/>
    </row>
    <row r="1964" spans="8:19">
      <c r="H1964" s="43"/>
      <c r="I1964" s="43"/>
      <c r="J1964" s="43"/>
      <c r="K1964" s="43"/>
      <c r="L1964" s="43"/>
      <c r="M1964" s="43"/>
      <c r="N1964" s="43"/>
      <c r="O1964" s="43"/>
      <c r="P1964" s="43"/>
      <c r="Q1964" s="43"/>
      <c r="R1964" s="43"/>
      <c r="S1964" s="43"/>
    </row>
    <row r="1965" spans="8:19">
      <c r="H1965" s="43"/>
      <c r="I1965" s="43"/>
      <c r="J1965" s="43"/>
      <c r="K1965" s="43"/>
      <c r="L1965" s="43"/>
      <c r="M1965" s="43"/>
      <c r="N1965" s="43"/>
      <c r="O1965" s="43"/>
      <c r="P1965" s="43"/>
      <c r="Q1965" s="43"/>
      <c r="R1965" s="43"/>
      <c r="S1965" s="43"/>
    </row>
    <row r="1966" spans="8:19">
      <c r="H1966" s="43"/>
      <c r="I1966" s="43"/>
      <c r="J1966" s="43"/>
      <c r="K1966" s="43"/>
      <c r="L1966" s="43"/>
      <c r="M1966" s="43"/>
      <c r="N1966" s="43"/>
      <c r="O1966" s="43"/>
      <c r="P1966" s="43"/>
      <c r="Q1966" s="43"/>
      <c r="R1966" s="43"/>
      <c r="S1966" s="43"/>
    </row>
    <row r="1967" spans="8:19">
      <c r="H1967" s="43"/>
      <c r="I1967" s="43"/>
      <c r="J1967" s="43"/>
      <c r="K1967" s="43"/>
      <c r="L1967" s="43"/>
      <c r="M1967" s="43"/>
      <c r="N1967" s="43"/>
      <c r="O1967" s="43"/>
      <c r="P1967" s="43"/>
      <c r="Q1967" s="43"/>
      <c r="R1967" s="43"/>
      <c r="S1967" s="43"/>
    </row>
    <row r="1968" spans="8:19">
      <c r="H1968" s="43"/>
      <c r="I1968" s="43"/>
      <c r="J1968" s="43"/>
      <c r="K1968" s="43"/>
      <c r="L1968" s="43"/>
      <c r="M1968" s="43"/>
      <c r="N1968" s="43"/>
      <c r="O1968" s="43"/>
      <c r="P1968" s="43"/>
      <c r="Q1968" s="43"/>
      <c r="R1968" s="43"/>
      <c r="S1968" s="43"/>
    </row>
    <row r="1969" spans="8:19">
      <c r="H1969" s="43"/>
      <c r="I1969" s="43"/>
      <c r="J1969" s="43"/>
      <c r="K1969" s="43"/>
      <c r="L1969" s="43"/>
      <c r="M1969" s="43"/>
      <c r="N1969" s="43"/>
      <c r="O1969" s="43"/>
      <c r="P1969" s="43"/>
      <c r="Q1969" s="43"/>
      <c r="R1969" s="43"/>
      <c r="S1969" s="43"/>
    </row>
    <row r="1970" spans="8:19">
      <c r="H1970" s="43"/>
      <c r="I1970" s="43"/>
      <c r="J1970" s="43"/>
      <c r="K1970" s="43"/>
      <c r="L1970" s="43"/>
      <c r="M1970" s="43"/>
      <c r="N1970" s="43"/>
      <c r="O1970" s="43"/>
      <c r="P1970" s="43"/>
      <c r="Q1970" s="43"/>
      <c r="R1970" s="43"/>
      <c r="S1970" s="43"/>
    </row>
    <row r="1971" spans="8:19">
      <c r="H1971" s="43"/>
      <c r="I1971" s="43"/>
      <c r="J1971" s="43"/>
      <c r="K1971" s="43"/>
      <c r="L1971" s="43"/>
      <c r="M1971" s="43"/>
      <c r="N1971" s="43"/>
      <c r="O1971" s="43"/>
      <c r="P1971" s="43"/>
      <c r="Q1971" s="43"/>
      <c r="R1971" s="43"/>
      <c r="S1971" s="43"/>
    </row>
    <row r="1972" spans="8:19">
      <c r="H1972" s="43"/>
      <c r="I1972" s="43"/>
      <c r="J1972" s="43"/>
      <c r="K1972" s="43"/>
      <c r="L1972" s="43"/>
      <c r="M1972" s="43"/>
      <c r="N1972" s="43"/>
      <c r="O1972" s="43"/>
      <c r="P1972" s="43"/>
      <c r="Q1972" s="43"/>
      <c r="R1972" s="43"/>
      <c r="S1972" s="43"/>
    </row>
    <row r="1973" spans="8:19">
      <c r="H1973" s="43"/>
      <c r="I1973" s="43"/>
      <c r="J1973" s="43"/>
      <c r="K1973" s="43"/>
      <c r="L1973" s="43"/>
      <c r="M1973" s="43"/>
      <c r="N1973" s="43"/>
      <c r="O1973" s="43"/>
      <c r="P1973" s="43"/>
      <c r="Q1973" s="43"/>
      <c r="R1973" s="43"/>
      <c r="S1973" s="43"/>
    </row>
    <row r="1974" spans="8:19">
      <c r="H1974" s="43"/>
      <c r="I1974" s="43"/>
      <c r="J1974" s="43"/>
      <c r="K1974" s="43"/>
      <c r="L1974" s="43"/>
      <c r="M1974" s="43"/>
      <c r="N1974" s="43"/>
      <c r="O1974" s="43"/>
      <c r="P1974" s="43"/>
      <c r="Q1974" s="43"/>
      <c r="R1974" s="43"/>
      <c r="S1974" s="43"/>
    </row>
    <row r="1975" spans="8:19">
      <c r="H1975" s="43"/>
      <c r="I1975" s="43"/>
      <c r="J1975" s="43"/>
      <c r="K1975" s="43"/>
      <c r="L1975" s="43"/>
      <c r="M1975" s="43"/>
      <c r="N1975" s="43"/>
      <c r="O1975" s="43"/>
      <c r="P1975" s="43"/>
      <c r="Q1975" s="43"/>
      <c r="R1975" s="43"/>
      <c r="S1975" s="43"/>
    </row>
    <row r="1976" spans="8:19">
      <c r="H1976" s="43"/>
      <c r="I1976" s="43"/>
      <c r="J1976" s="43"/>
      <c r="K1976" s="43"/>
      <c r="L1976" s="43"/>
      <c r="M1976" s="43"/>
      <c r="N1976" s="43"/>
      <c r="O1976" s="43"/>
      <c r="P1976" s="43"/>
      <c r="Q1976" s="43"/>
      <c r="R1976" s="43"/>
      <c r="S1976" s="43"/>
    </row>
    <row r="1977" spans="8:19">
      <c r="H1977" s="43"/>
      <c r="I1977" s="43"/>
      <c r="J1977" s="43"/>
      <c r="K1977" s="43"/>
      <c r="L1977" s="43"/>
      <c r="M1977" s="43"/>
      <c r="N1977" s="43"/>
      <c r="O1977" s="43"/>
      <c r="P1977" s="43"/>
      <c r="Q1977" s="43"/>
      <c r="R1977" s="43"/>
      <c r="S1977" s="43"/>
    </row>
    <row r="1978" spans="8:19">
      <c r="H1978" s="43"/>
      <c r="I1978" s="43"/>
      <c r="J1978" s="43"/>
      <c r="K1978" s="43"/>
      <c r="L1978" s="43"/>
      <c r="M1978" s="43"/>
      <c r="N1978" s="43"/>
      <c r="O1978" s="43"/>
      <c r="P1978" s="43"/>
      <c r="Q1978" s="43"/>
      <c r="R1978" s="43"/>
      <c r="S1978" s="43"/>
    </row>
    <row r="1979" spans="8:19">
      <c r="H1979" s="43"/>
      <c r="I1979" s="43"/>
      <c r="J1979" s="43"/>
      <c r="K1979" s="43"/>
      <c r="L1979" s="43"/>
      <c r="M1979" s="43"/>
      <c r="N1979" s="43"/>
      <c r="O1979" s="43"/>
      <c r="P1979" s="43"/>
      <c r="Q1979" s="43"/>
      <c r="R1979" s="43"/>
      <c r="S1979" s="43"/>
    </row>
    <row r="1980" spans="8:19">
      <c r="H1980" s="43"/>
      <c r="I1980" s="43"/>
      <c r="J1980" s="43"/>
      <c r="K1980" s="43"/>
      <c r="L1980" s="43"/>
      <c r="M1980" s="43"/>
      <c r="N1980" s="43"/>
      <c r="O1980" s="43"/>
      <c r="P1980" s="43"/>
      <c r="Q1980" s="43"/>
      <c r="R1980" s="43"/>
      <c r="S1980" s="43"/>
    </row>
    <row r="1981" spans="8:19">
      <c r="H1981" s="43"/>
      <c r="I1981" s="43"/>
      <c r="J1981" s="43"/>
      <c r="K1981" s="43"/>
      <c r="L1981" s="43"/>
      <c r="M1981" s="43"/>
      <c r="N1981" s="43"/>
      <c r="O1981" s="43"/>
      <c r="P1981" s="43"/>
      <c r="Q1981" s="43"/>
      <c r="R1981" s="43"/>
      <c r="S1981" s="43"/>
    </row>
    <row r="1982" spans="8:19">
      <c r="H1982" s="43"/>
      <c r="I1982" s="43"/>
      <c r="J1982" s="43"/>
      <c r="K1982" s="43"/>
      <c r="L1982" s="43"/>
      <c r="M1982" s="43"/>
      <c r="N1982" s="43"/>
      <c r="O1982" s="43"/>
      <c r="P1982" s="43"/>
      <c r="Q1982" s="43"/>
      <c r="R1982" s="43"/>
      <c r="S1982" s="43"/>
    </row>
    <row r="1983" spans="8:19">
      <c r="H1983" s="43"/>
      <c r="I1983" s="43"/>
      <c r="J1983" s="43"/>
      <c r="K1983" s="43"/>
      <c r="L1983" s="43"/>
      <c r="M1983" s="43"/>
      <c r="N1983" s="43"/>
      <c r="O1983" s="43"/>
      <c r="P1983" s="43"/>
      <c r="Q1983" s="43"/>
      <c r="R1983" s="43"/>
      <c r="S1983" s="43"/>
    </row>
    <row r="1984" spans="8:19">
      <c r="H1984" s="43"/>
      <c r="I1984" s="43"/>
      <c r="J1984" s="43"/>
      <c r="K1984" s="43"/>
      <c r="L1984" s="43"/>
      <c r="M1984" s="43"/>
      <c r="N1984" s="43"/>
      <c r="O1984" s="43"/>
      <c r="P1984" s="43"/>
      <c r="Q1984" s="43"/>
      <c r="R1984" s="43"/>
      <c r="S1984" s="43"/>
    </row>
    <row r="1985" spans="8:19">
      <c r="H1985" s="43"/>
      <c r="I1985" s="43"/>
      <c r="J1985" s="43"/>
      <c r="K1985" s="43"/>
      <c r="L1985" s="43"/>
      <c r="M1985" s="43"/>
      <c r="N1985" s="43"/>
      <c r="O1985" s="43"/>
      <c r="P1985" s="43"/>
      <c r="Q1985" s="43"/>
      <c r="R1985" s="43"/>
      <c r="S1985" s="43"/>
    </row>
    <row r="1986" spans="8:19">
      <c r="H1986" s="43"/>
      <c r="I1986" s="43"/>
      <c r="J1986" s="43"/>
      <c r="K1986" s="43"/>
      <c r="L1986" s="43"/>
      <c r="M1986" s="43"/>
      <c r="N1986" s="43"/>
      <c r="O1986" s="43"/>
      <c r="P1986" s="43"/>
      <c r="Q1986" s="43"/>
      <c r="R1986" s="43"/>
      <c r="S1986" s="43"/>
    </row>
    <row r="1987" spans="8:19">
      <c r="H1987" s="43"/>
      <c r="I1987" s="43"/>
      <c r="J1987" s="43"/>
      <c r="K1987" s="43"/>
      <c r="L1987" s="43"/>
      <c r="M1987" s="43"/>
      <c r="N1987" s="43"/>
      <c r="O1987" s="43"/>
      <c r="P1987" s="43"/>
      <c r="Q1987" s="43"/>
      <c r="R1987" s="43"/>
      <c r="S1987" s="43"/>
    </row>
    <row r="1988" spans="8:19">
      <c r="H1988" s="43"/>
      <c r="I1988" s="43"/>
      <c r="J1988" s="43"/>
      <c r="K1988" s="43"/>
      <c r="L1988" s="43"/>
      <c r="M1988" s="43"/>
      <c r="N1988" s="43"/>
      <c r="O1988" s="43"/>
      <c r="P1988" s="43"/>
      <c r="Q1988" s="43"/>
      <c r="R1988" s="43"/>
      <c r="S1988" s="43"/>
    </row>
    <row r="1989" spans="8:19">
      <c r="H1989" s="43"/>
      <c r="I1989" s="43"/>
      <c r="J1989" s="43"/>
      <c r="K1989" s="43"/>
      <c r="L1989" s="43"/>
      <c r="M1989" s="43"/>
      <c r="N1989" s="43"/>
      <c r="O1989" s="43"/>
      <c r="P1989" s="43"/>
      <c r="Q1989" s="43"/>
      <c r="R1989" s="43"/>
      <c r="S1989" s="43"/>
    </row>
    <row r="1990" spans="8:19">
      <c r="H1990" s="43"/>
      <c r="I1990" s="43"/>
      <c r="J1990" s="43"/>
      <c r="K1990" s="43"/>
      <c r="L1990" s="43"/>
      <c r="M1990" s="43"/>
      <c r="N1990" s="43"/>
      <c r="O1990" s="43"/>
      <c r="P1990" s="43"/>
      <c r="Q1990" s="43"/>
      <c r="R1990" s="43"/>
      <c r="S1990" s="43"/>
    </row>
    <row r="1991" spans="8:19">
      <c r="H1991" s="43"/>
      <c r="I1991" s="43"/>
      <c r="J1991" s="43"/>
      <c r="K1991" s="43"/>
      <c r="L1991" s="43"/>
      <c r="M1991" s="43"/>
      <c r="N1991" s="43"/>
      <c r="O1991" s="43"/>
      <c r="P1991" s="43"/>
      <c r="Q1991" s="43"/>
      <c r="R1991" s="43"/>
      <c r="S1991" s="43"/>
    </row>
    <row r="1992" spans="8:19">
      <c r="H1992" s="43"/>
      <c r="I1992" s="43"/>
      <c r="J1992" s="43"/>
      <c r="K1992" s="43"/>
      <c r="L1992" s="43"/>
      <c r="M1992" s="43"/>
      <c r="N1992" s="43"/>
      <c r="O1992" s="43"/>
      <c r="P1992" s="43"/>
      <c r="Q1992" s="43"/>
      <c r="R1992" s="43"/>
      <c r="S1992" s="43"/>
    </row>
    <row r="1993" spans="8:19">
      <c r="H1993" s="43"/>
      <c r="I1993" s="43"/>
      <c r="J1993" s="43"/>
      <c r="K1993" s="43"/>
      <c r="L1993" s="43"/>
      <c r="M1993" s="43"/>
      <c r="N1993" s="43"/>
      <c r="O1993" s="43"/>
      <c r="P1993" s="43"/>
      <c r="Q1993" s="43"/>
      <c r="R1993" s="43"/>
      <c r="S1993" s="43"/>
    </row>
    <row r="1994" spans="8:19">
      <c r="H1994" s="43"/>
      <c r="I1994" s="43"/>
      <c r="J1994" s="43"/>
      <c r="K1994" s="43"/>
      <c r="L1994" s="43"/>
      <c r="M1994" s="43"/>
      <c r="N1994" s="43"/>
      <c r="O1994" s="43"/>
      <c r="P1994" s="43"/>
      <c r="Q1994" s="43"/>
      <c r="R1994" s="43"/>
      <c r="S1994" s="43"/>
    </row>
    <row r="1995" spans="8:19">
      <c r="H1995" s="43"/>
      <c r="I1995" s="43"/>
      <c r="J1995" s="43"/>
      <c r="K1995" s="43"/>
      <c r="L1995" s="43"/>
      <c r="M1995" s="43"/>
      <c r="N1995" s="43"/>
      <c r="O1995" s="43"/>
      <c r="P1995" s="43"/>
      <c r="Q1995" s="43"/>
      <c r="R1995" s="43"/>
      <c r="S1995" s="43"/>
    </row>
    <row r="1996" spans="8:19">
      <c r="H1996" s="43"/>
      <c r="I1996" s="43"/>
      <c r="J1996" s="43"/>
      <c r="K1996" s="43"/>
      <c r="L1996" s="43"/>
      <c r="M1996" s="43"/>
      <c r="N1996" s="43"/>
      <c r="O1996" s="43"/>
      <c r="P1996" s="43"/>
      <c r="Q1996" s="43"/>
      <c r="R1996" s="43"/>
      <c r="S1996" s="43"/>
    </row>
    <row r="1997" spans="8:19">
      <c r="H1997" s="43"/>
      <c r="I1997" s="43"/>
      <c r="J1997" s="43"/>
      <c r="K1997" s="43"/>
      <c r="L1997" s="43"/>
      <c r="M1997" s="43"/>
      <c r="N1997" s="43"/>
      <c r="O1997" s="43"/>
      <c r="P1997" s="43"/>
      <c r="Q1997" s="43"/>
      <c r="R1997" s="43"/>
      <c r="S1997" s="43"/>
    </row>
    <row r="1998" spans="8:19">
      <c r="H1998" s="43"/>
      <c r="I1998" s="43"/>
      <c r="J1998" s="43"/>
      <c r="K1998" s="43"/>
      <c r="L1998" s="43"/>
      <c r="M1998" s="43"/>
      <c r="N1998" s="43"/>
      <c r="O1998" s="43"/>
      <c r="P1998" s="43"/>
      <c r="Q1998" s="43"/>
      <c r="R1998" s="43"/>
      <c r="S1998" s="43"/>
    </row>
    <row r="1999" spans="8:19">
      <c r="H1999" s="43"/>
      <c r="I1999" s="43"/>
      <c r="J1999" s="43"/>
      <c r="K1999" s="43"/>
      <c r="L1999" s="43"/>
      <c r="M1999" s="43"/>
      <c r="N1999" s="43"/>
      <c r="O1999" s="43"/>
      <c r="P1999" s="43"/>
      <c r="Q1999" s="43"/>
      <c r="R1999" s="43"/>
      <c r="S1999" s="43"/>
    </row>
    <row r="2000" spans="8:19">
      <c r="H2000" s="43"/>
      <c r="I2000" s="43"/>
      <c r="J2000" s="43"/>
      <c r="K2000" s="43"/>
      <c r="L2000" s="43"/>
      <c r="M2000" s="43"/>
      <c r="N2000" s="43"/>
      <c r="O2000" s="43"/>
      <c r="P2000" s="43"/>
      <c r="Q2000" s="43"/>
      <c r="R2000" s="43"/>
      <c r="S2000" s="43"/>
    </row>
    <row r="2001" spans="8:19">
      <c r="H2001" s="43"/>
      <c r="I2001" s="43"/>
      <c r="J2001" s="43"/>
      <c r="K2001" s="43"/>
      <c r="L2001" s="43"/>
      <c r="M2001" s="43"/>
      <c r="N2001" s="43"/>
      <c r="O2001" s="43"/>
      <c r="P2001" s="43"/>
      <c r="Q2001" s="43"/>
      <c r="R2001" s="43"/>
      <c r="S2001" s="43"/>
    </row>
    <row r="2002" spans="8:19">
      <c r="H2002" s="43"/>
      <c r="I2002" s="43"/>
      <c r="J2002" s="43"/>
      <c r="K2002" s="43"/>
      <c r="L2002" s="43"/>
      <c r="M2002" s="43"/>
      <c r="N2002" s="43"/>
      <c r="O2002" s="43"/>
      <c r="P2002" s="43"/>
      <c r="Q2002" s="43"/>
      <c r="R2002" s="43"/>
      <c r="S2002" s="43"/>
    </row>
    <row r="2003" spans="8:19">
      <c r="H2003" s="43"/>
      <c r="I2003" s="43"/>
      <c r="J2003" s="43"/>
      <c r="K2003" s="43"/>
      <c r="L2003" s="43"/>
      <c r="M2003" s="43"/>
      <c r="N2003" s="43"/>
      <c r="O2003" s="43"/>
      <c r="P2003" s="43"/>
      <c r="Q2003" s="43"/>
      <c r="R2003" s="43"/>
      <c r="S2003" s="43"/>
    </row>
    <row r="2004" spans="8:19">
      <c r="H2004" s="43"/>
      <c r="I2004" s="43"/>
      <c r="J2004" s="43"/>
      <c r="K2004" s="43"/>
      <c r="L2004" s="43"/>
      <c r="M2004" s="43"/>
      <c r="N2004" s="43"/>
      <c r="O2004" s="43"/>
      <c r="P2004" s="43"/>
      <c r="Q2004" s="43"/>
      <c r="R2004" s="43"/>
      <c r="S2004" s="43"/>
    </row>
    <row r="2005" spans="8:19">
      <c r="H2005" s="43"/>
      <c r="I2005" s="43"/>
      <c r="J2005" s="43"/>
      <c r="K2005" s="43"/>
      <c r="L2005" s="43"/>
      <c r="M2005" s="43"/>
      <c r="N2005" s="43"/>
      <c r="O2005" s="43"/>
      <c r="P2005" s="43"/>
      <c r="Q2005" s="43"/>
      <c r="R2005" s="43"/>
      <c r="S2005" s="43"/>
    </row>
    <row r="2006" spans="8:19">
      <c r="H2006" s="43"/>
      <c r="I2006" s="43"/>
      <c r="J2006" s="43"/>
      <c r="K2006" s="43"/>
      <c r="L2006" s="43"/>
      <c r="M2006" s="43"/>
      <c r="N2006" s="43"/>
      <c r="O2006" s="43"/>
      <c r="P2006" s="43"/>
      <c r="Q2006" s="43"/>
      <c r="R2006" s="43"/>
      <c r="S2006" s="43"/>
    </row>
    <row r="2007" spans="8:19">
      <c r="H2007" s="43"/>
      <c r="I2007" s="43"/>
      <c r="J2007" s="43"/>
      <c r="K2007" s="43"/>
      <c r="L2007" s="43"/>
      <c r="M2007" s="43"/>
      <c r="N2007" s="43"/>
      <c r="O2007" s="43"/>
      <c r="P2007" s="43"/>
      <c r="Q2007" s="43"/>
      <c r="R2007" s="43"/>
      <c r="S2007" s="43"/>
    </row>
    <row r="2008" spans="8:19">
      <c r="H2008" s="43"/>
      <c r="I2008" s="43"/>
      <c r="J2008" s="43"/>
      <c r="K2008" s="43"/>
      <c r="L2008" s="43"/>
      <c r="M2008" s="43"/>
      <c r="N2008" s="43"/>
      <c r="O2008" s="43"/>
      <c r="P2008" s="43"/>
      <c r="Q2008" s="43"/>
      <c r="R2008" s="43"/>
      <c r="S2008" s="43"/>
    </row>
    <row r="2009" spans="8:19">
      <c r="H2009" s="43"/>
      <c r="I2009" s="43"/>
      <c r="J2009" s="43"/>
      <c r="K2009" s="43"/>
      <c r="L2009" s="43"/>
      <c r="M2009" s="43"/>
      <c r="N2009" s="43"/>
      <c r="O2009" s="43"/>
      <c r="P2009" s="43"/>
      <c r="Q2009" s="43"/>
      <c r="R2009" s="43"/>
      <c r="S2009" s="43"/>
    </row>
    <row r="2010" spans="8:19">
      <c r="H2010" s="43"/>
      <c r="I2010" s="43"/>
      <c r="J2010" s="43"/>
      <c r="K2010" s="43"/>
      <c r="L2010" s="43"/>
      <c r="M2010" s="43"/>
      <c r="N2010" s="43"/>
      <c r="O2010" s="43"/>
      <c r="P2010" s="43"/>
      <c r="Q2010" s="43"/>
      <c r="R2010" s="43"/>
      <c r="S2010" s="43"/>
    </row>
    <row r="2011" spans="8:19">
      <c r="H2011" s="43"/>
      <c r="I2011" s="43"/>
      <c r="J2011" s="43"/>
      <c r="K2011" s="43"/>
      <c r="L2011" s="43"/>
      <c r="M2011" s="43"/>
      <c r="N2011" s="43"/>
      <c r="O2011" s="43"/>
      <c r="P2011" s="43"/>
      <c r="Q2011" s="43"/>
      <c r="R2011" s="43"/>
      <c r="S2011" s="43"/>
    </row>
    <row r="2012" spans="8:19">
      <c r="H2012" s="43"/>
      <c r="I2012" s="43"/>
      <c r="J2012" s="43"/>
      <c r="K2012" s="43"/>
      <c r="L2012" s="43"/>
      <c r="M2012" s="43"/>
      <c r="N2012" s="43"/>
      <c r="O2012" s="43"/>
      <c r="P2012" s="43"/>
      <c r="Q2012" s="43"/>
      <c r="R2012" s="43"/>
      <c r="S2012" s="43"/>
    </row>
    <row r="2013" spans="8:19">
      <c r="H2013" s="43"/>
      <c r="I2013" s="43"/>
      <c r="J2013" s="43"/>
      <c r="K2013" s="43"/>
      <c r="L2013" s="43"/>
      <c r="M2013" s="43"/>
      <c r="N2013" s="43"/>
      <c r="O2013" s="43"/>
      <c r="P2013" s="43"/>
      <c r="Q2013" s="43"/>
      <c r="R2013" s="43"/>
      <c r="S2013" s="43"/>
    </row>
    <row r="2014" spans="8:19">
      <c r="H2014" s="43"/>
      <c r="I2014" s="43"/>
      <c r="J2014" s="43"/>
      <c r="K2014" s="43"/>
      <c r="L2014" s="43"/>
      <c r="M2014" s="43"/>
      <c r="N2014" s="43"/>
      <c r="O2014" s="43"/>
      <c r="P2014" s="43"/>
      <c r="Q2014" s="43"/>
      <c r="R2014" s="43"/>
      <c r="S2014" s="43"/>
    </row>
    <row r="2015" spans="8:19">
      <c r="H2015" s="43"/>
      <c r="I2015" s="43"/>
      <c r="J2015" s="43"/>
      <c r="K2015" s="43"/>
      <c r="L2015" s="43"/>
      <c r="M2015" s="43"/>
      <c r="N2015" s="43"/>
      <c r="O2015" s="43"/>
      <c r="P2015" s="43"/>
      <c r="Q2015" s="43"/>
      <c r="R2015" s="43"/>
      <c r="S2015" s="43"/>
    </row>
    <row r="2016" spans="8:19">
      <c r="H2016" s="43"/>
      <c r="I2016" s="43"/>
      <c r="J2016" s="43"/>
      <c r="K2016" s="43"/>
      <c r="L2016" s="43"/>
      <c r="M2016" s="43"/>
      <c r="N2016" s="43"/>
      <c r="O2016" s="43"/>
      <c r="P2016" s="43"/>
      <c r="Q2016" s="43"/>
      <c r="R2016" s="43"/>
      <c r="S2016" s="43"/>
    </row>
    <row r="2017" spans="8:19">
      <c r="H2017" s="43"/>
      <c r="I2017" s="43"/>
      <c r="J2017" s="43"/>
      <c r="K2017" s="43"/>
      <c r="L2017" s="43"/>
      <c r="M2017" s="43"/>
      <c r="N2017" s="43"/>
      <c r="O2017" s="43"/>
      <c r="P2017" s="43"/>
      <c r="Q2017" s="43"/>
      <c r="R2017" s="43"/>
      <c r="S2017" s="43"/>
    </row>
    <row r="2018" spans="8:19">
      <c r="H2018" s="43"/>
      <c r="I2018" s="43"/>
      <c r="J2018" s="43"/>
      <c r="K2018" s="43"/>
      <c r="L2018" s="43"/>
      <c r="M2018" s="43"/>
      <c r="N2018" s="43"/>
      <c r="O2018" s="43"/>
      <c r="P2018" s="43"/>
      <c r="Q2018" s="43"/>
      <c r="R2018" s="43"/>
      <c r="S2018" s="43"/>
    </row>
    <row r="2019" spans="8:19">
      <c r="H2019" s="43"/>
      <c r="I2019" s="43"/>
      <c r="J2019" s="43"/>
      <c r="K2019" s="43"/>
      <c r="L2019" s="43"/>
      <c r="M2019" s="43"/>
      <c r="N2019" s="43"/>
      <c r="O2019" s="43"/>
      <c r="P2019" s="43"/>
      <c r="Q2019" s="43"/>
      <c r="R2019" s="43"/>
      <c r="S2019" s="43"/>
    </row>
    <row r="2020" spans="8:19">
      <c r="H2020" s="43"/>
      <c r="I2020" s="43"/>
      <c r="J2020" s="43"/>
      <c r="K2020" s="43"/>
      <c r="L2020" s="43"/>
      <c r="M2020" s="43"/>
      <c r="N2020" s="43"/>
      <c r="O2020" s="43"/>
      <c r="P2020" s="43"/>
      <c r="Q2020" s="43"/>
      <c r="R2020" s="43"/>
      <c r="S2020" s="43"/>
    </row>
    <row r="2021" spans="8:19">
      <c r="H2021" s="43"/>
      <c r="I2021" s="43"/>
      <c r="J2021" s="43"/>
      <c r="K2021" s="43"/>
      <c r="L2021" s="43"/>
      <c r="M2021" s="43"/>
      <c r="N2021" s="43"/>
      <c r="O2021" s="43"/>
      <c r="P2021" s="43"/>
      <c r="Q2021" s="43"/>
      <c r="R2021" s="43"/>
      <c r="S2021" s="43"/>
    </row>
    <row r="2022" spans="8:19">
      <c r="H2022" s="43"/>
      <c r="I2022" s="43"/>
      <c r="J2022" s="43"/>
      <c r="K2022" s="43"/>
      <c r="L2022" s="43"/>
      <c r="M2022" s="43"/>
      <c r="N2022" s="43"/>
      <c r="O2022" s="43"/>
      <c r="P2022" s="43"/>
      <c r="Q2022" s="43"/>
      <c r="R2022" s="43"/>
      <c r="S2022" s="43"/>
    </row>
    <row r="2023" spans="8:19">
      <c r="H2023" s="43"/>
      <c r="I2023" s="43"/>
      <c r="J2023" s="43"/>
      <c r="K2023" s="43"/>
      <c r="L2023" s="43"/>
      <c r="M2023" s="43"/>
      <c r="N2023" s="43"/>
      <c r="O2023" s="43"/>
      <c r="P2023" s="43"/>
      <c r="Q2023" s="43"/>
      <c r="R2023" s="43"/>
      <c r="S2023" s="43"/>
    </row>
    <row r="2024" spans="8:19">
      <c r="H2024" s="43"/>
      <c r="I2024" s="43"/>
      <c r="J2024" s="43"/>
      <c r="K2024" s="43"/>
      <c r="L2024" s="43"/>
      <c r="M2024" s="43"/>
      <c r="N2024" s="43"/>
      <c r="O2024" s="43"/>
      <c r="P2024" s="43"/>
      <c r="Q2024" s="43"/>
      <c r="R2024" s="43"/>
      <c r="S2024" s="43"/>
    </row>
    <row r="2025" spans="8:19">
      <c r="H2025" s="43"/>
      <c r="I2025" s="43"/>
      <c r="J2025" s="43"/>
      <c r="K2025" s="43"/>
      <c r="L2025" s="43"/>
      <c r="M2025" s="43"/>
      <c r="N2025" s="43"/>
      <c r="O2025" s="43"/>
      <c r="P2025" s="43"/>
      <c r="Q2025" s="43"/>
      <c r="R2025" s="43"/>
      <c r="S2025" s="43"/>
    </row>
    <row r="2026" spans="8:19">
      <c r="H2026" s="43"/>
      <c r="I2026" s="43"/>
      <c r="J2026" s="43"/>
      <c r="K2026" s="43"/>
      <c r="L2026" s="43"/>
      <c r="M2026" s="43"/>
      <c r="N2026" s="43"/>
      <c r="O2026" s="43"/>
      <c r="P2026" s="43"/>
      <c r="Q2026" s="43"/>
      <c r="R2026" s="43"/>
      <c r="S2026" s="43"/>
    </row>
    <row r="2027" spans="8:19">
      <c r="H2027" s="43"/>
      <c r="I2027" s="43"/>
      <c r="J2027" s="43"/>
      <c r="K2027" s="43"/>
      <c r="L2027" s="43"/>
      <c r="M2027" s="43"/>
      <c r="N2027" s="43"/>
      <c r="O2027" s="43"/>
      <c r="P2027" s="43"/>
      <c r="Q2027" s="43"/>
      <c r="R2027" s="43"/>
      <c r="S2027" s="43"/>
    </row>
    <row r="2028" spans="8:19">
      <c r="H2028" s="43"/>
      <c r="I2028" s="43"/>
      <c r="J2028" s="43"/>
      <c r="K2028" s="43"/>
      <c r="L2028" s="43"/>
      <c r="M2028" s="43"/>
      <c r="N2028" s="43"/>
      <c r="O2028" s="43"/>
      <c r="P2028" s="43"/>
      <c r="Q2028" s="43"/>
      <c r="R2028" s="43"/>
      <c r="S2028" s="43"/>
    </row>
    <row r="2029" spans="8:19">
      <c r="H2029" s="43"/>
      <c r="I2029" s="43"/>
      <c r="J2029" s="43"/>
      <c r="K2029" s="43"/>
      <c r="L2029" s="43"/>
      <c r="M2029" s="43"/>
      <c r="N2029" s="43"/>
      <c r="O2029" s="43"/>
      <c r="P2029" s="43"/>
      <c r="Q2029" s="43"/>
      <c r="R2029" s="43"/>
      <c r="S2029" s="43"/>
    </row>
    <row r="2030" spans="8:19">
      <c r="H2030" s="43"/>
      <c r="I2030" s="43"/>
      <c r="J2030" s="43"/>
      <c r="K2030" s="43"/>
      <c r="L2030" s="43"/>
      <c r="M2030" s="43"/>
      <c r="N2030" s="43"/>
      <c r="O2030" s="43"/>
      <c r="P2030" s="43"/>
      <c r="Q2030" s="43"/>
      <c r="R2030" s="43"/>
      <c r="S2030" s="43"/>
    </row>
    <row r="2031" spans="8:19">
      <c r="H2031" s="43"/>
      <c r="I2031" s="43"/>
      <c r="J2031" s="43"/>
      <c r="K2031" s="43"/>
      <c r="L2031" s="43"/>
      <c r="M2031" s="43"/>
      <c r="N2031" s="43"/>
      <c r="O2031" s="43"/>
      <c r="P2031" s="43"/>
      <c r="Q2031" s="43"/>
      <c r="R2031" s="43"/>
      <c r="S2031" s="43"/>
    </row>
    <row r="2032" spans="8:19">
      <c r="H2032" s="43"/>
      <c r="I2032" s="43"/>
      <c r="J2032" s="43"/>
      <c r="K2032" s="43"/>
      <c r="L2032" s="43"/>
      <c r="M2032" s="43"/>
      <c r="N2032" s="43"/>
      <c r="O2032" s="43"/>
      <c r="P2032" s="43"/>
      <c r="Q2032" s="43"/>
      <c r="R2032" s="43"/>
      <c r="S2032" s="43"/>
    </row>
    <row r="2033" spans="8:19">
      <c r="H2033" s="43"/>
      <c r="I2033" s="43"/>
      <c r="J2033" s="43"/>
      <c r="K2033" s="43"/>
      <c r="L2033" s="43"/>
      <c r="M2033" s="43"/>
      <c r="N2033" s="43"/>
      <c r="O2033" s="43"/>
      <c r="P2033" s="43"/>
      <c r="Q2033" s="43"/>
      <c r="R2033" s="43"/>
      <c r="S2033" s="43"/>
    </row>
    <row r="2034" spans="8:19">
      <c r="H2034" s="43"/>
      <c r="I2034" s="43"/>
      <c r="J2034" s="43"/>
      <c r="K2034" s="43"/>
      <c r="L2034" s="43"/>
      <c r="M2034" s="43"/>
      <c r="N2034" s="43"/>
      <c r="O2034" s="43"/>
      <c r="P2034" s="43"/>
      <c r="Q2034" s="43"/>
      <c r="R2034" s="43"/>
      <c r="S2034" s="43"/>
    </row>
    <row r="2035" spans="8:19">
      <c r="H2035" s="43"/>
      <c r="I2035" s="43"/>
      <c r="J2035" s="43"/>
      <c r="K2035" s="43"/>
      <c r="L2035" s="43"/>
      <c r="M2035" s="43"/>
      <c r="N2035" s="43"/>
      <c r="O2035" s="43"/>
      <c r="P2035" s="43"/>
      <c r="Q2035" s="43"/>
      <c r="R2035" s="43"/>
      <c r="S2035" s="43"/>
    </row>
    <row r="2036" spans="8:19">
      <c r="H2036" s="43"/>
      <c r="I2036" s="43"/>
      <c r="J2036" s="43"/>
      <c r="K2036" s="43"/>
      <c r="L2036" s="43"/>
      <c r="M2036" s="43"/>
      <c r="N2036" s="43"/>
      <c r="O2036" s="43"/>
      <c r="P2036" s="43"/>
      <c r="Q2036" s="43"/>
      <c r="R2036" s="43"/>
      <c r="S2036" s="43"/>
    </row>
    <row r="2037" spans="8:19">
      <c r="H2037" s="43"/>
      <c r="I2037" s="43"/>
      <c r="J2037" s="43"/>
      <c r="K2037" s="43"/>
      <c r="L2037" s="43"/>
      <c r="M2037" s="43"/>
      <c r="N2037" s="43"/>
      <c r="O2037" s="43"/>
      <c r="P2037" s="43"/>
      <c r="Q2037" s="43"/>
      <c r="R2037" s="43"/>
      <c r="S2037" s="43"/>
    </row>
    <row r="2038" spans="8:19">
      <c r="H2038" s="43"/>
      <c r="I2038" s="43"/>
      <c r="J2038" s="43"/>
      <c r="K2038" s="43"/>
      <c r="L2038" s="43"/>
      <c r="M2038" s="43"/>
      <c r="N2038" s="43"/>
      <c r="O2038" s="43"/>
      <c r="P2038" s="43"/>
      <c r="Q2038" s="43"/>
      <c r="R2038" s="43"/>
      <c r="S2038" s="43"/>
    </row>
    <row r="2039" spans="8:19">
      <c r="H2039" s="43"/>
      <c r="I2039" s="43"/>
      <c r="J2039" s="43"/>
      <c r="K2039" s="43"/>
      <c r="L2039" s="43"/>
      <c r="M2039" s="43"/>
      <c r="N2039" s="43"/>
      <c r="O2039" s="43"/>
      <c r="P2039" s="43"/>
      <c r="Q2039" s="43"/>
      <c r="R2039" s="43"/>
      <c r="S2039" s="43"/>
    </row>
    <row r="2040" spans="8:19">
      <c r="H2040" s="43"/>
      <c r="I2040" s="43"/>
      <c r="J2040" s="43"/>
      <c r="K2040" s="43"/>
      <c r="L2040" s="43"/>
      <c r="M2040" s="43"/>
      <c r="N2040" s="43"/>
      <c r="O2040" s="43"/>
      <c r="P2040" s="43"/>
      <c r="Q2040" s="43"/>
      <c r="R2040" s="43"/>
      <c r="S2040" s="43"/>
    </row>
    <row r="2041" spans="8:19">
      <c r="H2041" s="43"/>
      <c r="I2041" s="43"/>
      <c r="J2041" s="43"/>
      <c r="K2041" s="43"/>
      <c r="L2041" s="43"/>
      <c r="M2041" s="43"/>
      <c r="N2041" s="43"/>
      <c r="O2041" s="43"/>
      <c r="P2041" s="43"/>
      <c r="Q2041" s="43"/>
      <c r="R2041" s="43"/>
      <c r="S2041" s="43"/>
    </row>
    <row r="2042" spans="8:19">
      <c r="H2042" s="43"/>
      <c r="I2042" s="43"/>
      <c r="J2042" s="43"/>
      <c r="K2042" s="43"/>
      <c r="L2042" s="43"/>
      <c r="M2042" s="43"/>
      <c r="N2042" s="43"/>
      <c r="O2042" s="43"/>
      <c r="P2042" s="43"/>
      <c r="Q2042" s="43"/>
      <c r="R2042" s="43"/>
      <c r="S2042" s="43"/>
    </row>
    <row r="2043" spans="8:19">
      <c r="H2043" s="43"/>
      <c r="I2043" s="43"/>
      <c r="J2043" s="43"/>
      <c r="K2043" s="43"/>
      <c r="L2043" s="43"/>
      <c r="M2043" s="43"/>
      <c r="N2043" s="43"/>
      <c r="O2043" s="43"/>
      <c r="P2043" s="43"/>
      <c r="Q2043" s="43"/>
      <c r="R2043" s="43"/>
      <c r="S2043" s="43"/>
    </row>
    <row r="2044" spans="8:19">
      <c r="H2044" s="43"/>
      <c r="I2044" s="43"/>
      <c r="J2044" s="43"/>
      <c r="K2044" s="43"/>
      <c r="L2044" s="43"/>
      <c r="M2044" s="43"/>
      <c r="N2044" s="43"/>
      <c r="O2044" s="43"/>
      <c r="P2044" s="43"/>
      <c r="Q2044" s="43"/>
      <c r="R2044" s="43"/>
      <c r="S2044" s="43"/>
    </row>
    <row r="2045" spans="8:19">
      <c r="H2045" s="43"/>
      <c r="I2045" s="43"/>
      <c r="J2045" s="43"/>
      <c r="K2045" s="43"/>
      <c r="L2045" s="43"/>
      <c r="M2045" s="43"/>
      <c r="N2045" s="43"/>
      <c r="O2045" s="43"/>
      <c r="P2045" s="43"/>
      <c r="Q2045" s="43"/>
      <c r="R2045" s="43"/>
      <c r="S2045" s="43"/>
    </row>
    <row r="2046" spans="8:19">
      <c r="H2046" s="43"/>
      <c r="I2046" s="43"/>
      <c r="J2046" s="43"/>
      <c r="K2046" s="43"/>
      <c r="L2046" s="43"/>
      <c r="M2046" s="43"/>
      <c r="N2046" s="43"/>
      <c r="O2046" s="43"/>
      <c r="P2046" s="43"/>
      <c r="Q2046" s="43"/>
      <c r="R2046" s="43"/>
      <c r="S2046" s="43"/>
    </row>
    <row r="2047" spans="8:19">
      <c r="H2047" s="43"/>
      <c r="I2047" s="43"/>
      <c r="J2047" s="43"/>
      <c r="K2047" s="43"/>
      <c r="L2047" s="43"/>
      <c r="M2047" s="43"/>
      <c r="N2047" s="43"/>
      <c r="O2047" s="43"/>
      <c r="P2047" s="43"/>
      <c r="Q2047" s="43"/>
      <c r="R2047" s="43"/>
      <c r="S2047" s="43"/>
    </row>
    <row r="2048" spans="8:19">
      <c r="H2048" s="43"/>
      <c r="I2048" s="43"/>
      <c r="J2048" s="43"/>
      <c r="K2048" s="43"/>
      <c r="L2048" s="43"/>
      <c r="M2048" s="43"/>
      <c r="N2048" s="43"/>
      <c r="O2048" s="43"/>
      <c r="P2048" s="43"/>
      <c r="Q2048" s="43"/>
      <c r="R2048" s="43"/>
      <c r="S2048" s="43"/>
    </row>
    <row r="2049" spans="8:19">
      <c r="H2049" s="43"/>
      <c r="I2049" s="43"/>
      <c r="J2049" s="43"/>
      <c r="K2049" s="43"/>
      <c r="L2049" s="43"/>
      <c r="M2049" s="43"/>
      <c r="N2049" s="43"/>
      <c r="O2049" s="43"/>
      <c r="P2049" s="43"/>
      <c r="Q2049" s="43"/>
      <c r="R2049" s="43"/>
      <c r="S2049" s="43"/>
    </row>
    <row r="2050" spans="8:19">
      <c r="H2050" s="43"/>
      <c r="I2050" s="43"/>
      <c r="J2050" s="43"/>
      <c r="K2050" s="43"/>
      <c r="L2050" s="43"/>
      <c r="M2050" s="43"/>
      <c r="N2050" s="43"/>
      <c r="O2050" s="43"/>
      <c r="P2050" s="43"/>
      <c r="Q2050" s="43"/>
      <c r="R2050" s="43"/>
      <c r="S2050" s="43"/>
    </row>
    <row r="2051" spans="8:19">
      <c r="H2051" s="43"/>
      <c r="I2051" s="43"/>
      <c r="J2051" s="43"/>
      <c r="K2051" s="43"/>
      <c r="L2051" s="43"/>
      <c r="M2051" s="43"/>
      <c r="N2051" s="43"/>
      <c r="O2051" s="43"/>
      <c r="P2051" s="43"/>
      <c r="Q2051" s="43"/>
      <c r="R2051" s="43"/>
      <c r="S2051" s="43"/>
    </row>
    <row r="2052" spans="8:19">
      <c r="H2052" s="43"/>
      <c r="I2052" s="43"/>
      <c r="J2052" s="43"/>
      <c r="K2052" s="43"/>
      <c r="L2052" s="43"/>
      <c r="M2052" s="43"/>
      <c r="N2052" s="43"/>
      <c r="O2052" s="43"/>
      <c r="P2052" s="43"/>
      <c r="Q2052" s="43"/>
      <c r="R2052" s="43"/>
      <c r="S2052" s="43"/>
    </row>
    <row r="2053" spans="8:19">
      <c r="H2053" s="43"/>
      <c r="I2053" s="43"/>
      <c r="J2053" s="43"/>
      <c r="K2053" s="43"/>
      <c r="L2053" s="43"/>
      <c r="M2053" s="43"/>
      <c r="N2053" s="43"/>
      <c r="O2053" s="43"/>
      <c r="P2053" s="43"/>
      <c r="Q2053" s="43"/>
      <c r="R2053" s="43"/>
      <c r="S2053" s="43"/>
    </row>
    <row r="2054" spans="8:19">
      <c r="H2054" s="43"/>
      <c r="I2054" s="43"/>
      <c r="J2054" s="43"/>
      <c r="K2054" s="43"/>
      <c r="L2054" s="43"/>
      <c r="M2054" s="43"/>
      <c r="N2054" s="43"/>
      <c r="O2054" s="43"/>
      <c r="P2054" s="43"/>
      <c r="Q2054" s="43"/>
      <c r="R2054" s="43"/>
      <c r="S2054" s="43"/>
    </row>
    <row r="2055" spans="8:19">
      <c r="H2055" s="43"/>
      <c r="I2055" s="43"/>
      <c r="J2055" s="43"/>
      <c r="K2055" s="43"/>
      <c r="L2055" s="43"/>
      <c r="M2055" s="43"/>
      <c r="N2055" s="43"/>
      <c r="O2055" s="43"/>
      <c r="P2055" s="43"/>
      <c r="Q2055" s="43"/>
      <c r="R2055" s="43"/>
      <c r="S2055" s="43"/>
    </row>
    <row r="2056" spans="8:19">
      <c r="H2056" s="43"/>
      <c r="I2056" s="43"/>
      <c r="J2056" s="43"/>
      <c r="K2056" s="43"/>
      <c r="L2056" s="43"/>
      <c r="M2056" s="43"/>
      <c r="N2056" s="43"/>
      <c r="O2056" s="43"/>
      <c r="P2056" s="43"/>
      <c r="Q2056" s="43"/>
      <c r="R2056" s="43"/>
      <c r="S2056" s="43"/>
    </row>
    <row r="2057" spans="8:19">
      <c r="H2057" s="43"/>
      <c r="I2057" s="43"/>
      <c r="J2057" s="43"/>
      <c r="K2057" s="43"/>
      <c r="L2057" s="43"/>
      <c r="M2057" s="43"/>
      <c r="N2057" s="43"/>
      <c r="O2057" s="43"/>
      <c r="P2057" s="43"/>
      <c r="Q2057" s="43"/>
      <c r="R2057" s="43"/>
      <c r="S2057" s="43"/>
    </row>
    <row r="2058" spans="8:19">
      <c r="H2058" s="43"/>
      <c r="I2058" s="43"/>
      <c r="J2058" s="43"/>
      <c r="K2058" s="43"/>
      <c r="L2058" s="43"/>
      <c r="M2058" s="43"/>
      <c r="N2058" s="43"/>
      <c r="O2058" s="43"/>
      <c r="P2058" s="43"/>
      <c r="Q2058" s="43"/>
      <c r="R2058" s="43"/>
      <c r="S2058" s="43"/>
    </row>
    <row r="2059" spans="8:19">
      <c r="H2059" s="43"/>
      <c r="I2059" s="43"/>
      <c r="J2059" s="43"/>
      <c r="K2059" s="43"/>
      <c r="L2059" s="43"/>
      <c r="M2059" s="43"/>
      <c r="N2059" s="43"/>
      <c r="O2059" s="43"/>
      <c r="P2059" s="43"/>
      <c r="Q2059" s="43"/>
      <c r="R2059" s="43"/>
      <c r="S2059" s="43"/>
    </row>
    <row r="2060" spans="8:19">
      <c r="H2060" s="43"/>
      <c r="I2060" s="43"/>
      <c r="J2060" s="43"/>
      <c r="K2060" s="43"/>
      <c r="L2060" s="43"/>
      <c r="M2060" s="43"/>
      <c r="N2060" s="43"/>
      <c r="O2060" s="43"/>
      <c r="P2060" s="43"/>
      <c r="Q2060" s="43"/>
      <c r="R2060" s="43"/>
      <c r="S2060" s="43"/>
    </row>
    <row r="2061" spans="8:19">
      <c r="H2061" s="43"/>
      <c r="I2061" s="43"/>
      <c r="J2061" s="43"/>
      <c r="K2061" s="43"/>
      <c r="L2061" s="43"/>
      <c r="M2061" s="43"/>
      <c r="N2061" s="43"/>
      <c r="O2061" s="43"/>
      <c r="P2061" s="43"/>
      <c r="Q2061" s="43"/>
      <c r="R2061" s="43"/>
      <c r="S2061" s="43"/>
    </row>
    <row r="2062" spans="8:19">
      <c r="H2062" s="43"/>
      <c r="I2062" s="43"/>
      <c r="J2062" s="43"/>
      <c r="K2062" s="43"/>
      <c r="L2062" s="43"/>
      <c r="M2062" s="43"/>
      <c r="N2062" s="43"/>
      <c r="O2062" s="43"/>
      <c r="P2062" s="43"/>
      <c r="Q2062" s="43"/>
      <c r="R2062" s="43"/>
      <c r="S2062" s="43"/>
    </row>
    <row r="2063" spans="8:19">
      <c r="H2063" s="43"/>
      <c r="I2063" s="43"/>
      <c r="J2063" s="43"/>
      <c r="K2063" s="43"/>
      <c r="L2063" s="43"/>
      <c r="M2063" s="43"/>
      <c r="N2063" s="43"/>
      <c r="O2063" s="43"/>
      <c r="P2063" s="43"/>
      <c r="Q2063" s="43"/>
      <c r="R2063" s="43"/>
      <c r="S2063" s="43"/>
    </row>
    <row r="2064" spans="8:19">
      <c r="H2064" s="43"/>
      <c r="I2064" s="43"/>
      <c r="J2064" s="43"/>
      <c r="K2064" s="43"/>
      <c r="L2064" s="43"/>
      <c r="M2064" s="43"/>
      <c r="N2064" s="43"/>
      <c r="O2064" s="43"/>
      <c r="P2064" s="43"/>
      <c r="Q2064" s="43"/>
      <c r="R2064" s="43"/>
      <c r="S2064" s="43"/>
    </row>
    <row r="2065" spans="8:19">
      <c r="H2065" s="43"/>
      <c r="I2065" s="43"/>
      <c r="J2065" s="43"/>
      <c r="K2065" s="43"/>
      <c r="L2065" s="43"/>
      <c r="M2065" s="43"/>
      <c r="N2065" s="43"/>
      <c r="O2065" s="43"/>
      <c r="P2065" s="43"/>
      <c r="Q2065" s="43"/>
      <c r="R2065" s="43"/>
      <c r="S2065" s="43"/>
    </row>
    <row r="2066" spans="8:19">
      <c r="H2066" s="43"/>
      <c r="I2066" s="43"/>
      <c r="J2066" s="43"/>
      <c r="K2066" s="43"/>
      <c r="L2066" s="43"/>
      <c r="M2066" s="43"/>
      <c r="N2066" s="43"/>
      <c r="O2066" s="43"/>
      <c r="P2066" s="43"/>
      <c r="Q2066" s="43"/>
      <c r="R2066" s="43"/>
      <c r="S2066" s="43"/>
    </row>
    <row r="2067" spans="8:19">
      <c r="H2067" s="43"/>
      <c r="I2067" s="43"/>
      <c r="J2067" s="43"/>
      <c r="K2067" s="43"/>
      <c r="L2067" s="43"/>
      <c r="M2067" s="43"/>
      <c r="N2067" s="43"/>
      <c r="O2067" s="43"/>
      <c r="P2067" s="43"/>
      <c r="Q2067" s="43"/>
      <c r="R2067" s="43"/>
      <c r="S2067" s="43"/>
    </row>
    <row r="2068" spans="8:19">
      <c r="H2068" s="43"/>
      <c r="I2068" s="43"/>
      <c r="J2068" s="43"/>
      <c r="K2068" s="43"/>
      <c r="L2068" s="43"/>
      <c r="M2068" s="43"/>
      <c r="N2068" s="43"/>
      <c r="O2068" s="43"/>
      <c r="P2068" s="43"/>
      <c r="Q2068" s="43"/>
      <c r="R2068" s="43"/>
      <c r="S2068" s="43"/>
    </row>
    <row r="2069" spans="8:19">
      <c r="H2069" s="43"/>
      <c r="I2069" s="43"/>
      <c r="J2069" s="43"/>
      <c r="K2069" s="43"/>
      <c r="L2069" s="43"/>
      <c r="M2069" s="43"/>
      <c r="N2069" s="43"/>
      <c r="O2069" s="43"/>
      <c r="P2069" s="43"/>
      <c r="Q2069" s="43"/>
      <c r="R2069" s="43"/>
      <c r="S2069" s="43"/>
    </row>
    <row r="2070" spans="8:19">
      <c r="H2070" s="43"/>
      <c r="I2070" s="43"/>
      <c r="J2070" s="43"/>
      <c r="K2070" s="43"/>
      <c r="L2070" s="43"/>
      <c r="M2070" s="43"/>
      <c r="N2070" s="43"/>
      <c r="O2070" s="43"/>
      <c r="P2070" s="43"/>
      <c r="Q2070" s="43"/>
      <c r="R2070" s="43"/>
      <c r="S2070" s="43"/>
    </row>
  </sheetData>
  <mergeCells count="8">
    <mergeCell ref="F1:G1"/>
    <mergeCell ref="C4:D4"/>
    <mergeCell ref="H1:Q1"/>
    <mergeCell ref="A3:D3"/>
    <mergeCell ref="H11:Q11"/>
    <mergeCell ref="A11:G11"/>
    <mergeCell ref="F6:G6"/>
    <mergeCell ref="A4:B4"/>
  </mergeCells>
  <phoneticPr fontId="4" type="noConversion"/>
  <conditionalFormatting sqref="J15:J488">
    <cfRule type="expression" dxfId="0" priority="1">
      <formula>"Wenn (I15&gt;$I$5)"</formula>
    </cfRule>
  </conditionalFormatting>
  <printOptions headings="1" gridLines="1"/>
  <pageMargins left="0.78740157480314965" right="0.31496062992125984" top="0.98425196850393704" bottom="0.98425196850393704" header="0.51181102362204722" footer="0.51181102362204722"/>
  <pageSetup paperSize="9" scale="4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30" r:id="rId4" name="btnDatenuebernahme">
          <controlPr defaultSize="0" autoLine="0" r:id="rId5">
            <anchor moveWithCells="1">
              <from>
                <xdr:col>1</xdr:col>
                <xdr:colOff>754380</xdr:colOff>
                <xdr:row>0</xdr:row>
                <xdr:rowOff>83820</xdr:rowOff>
              </from>
              <to>
                <xdr:col>3</xdr:col>
                <xdr:colOff>693420</xdr:colOff>
                <xdr:row>1</xdr:row>
                <xdr:rowOff>167640</xdr:rowOff>
              </to>
            </anchor>
          </controlPr>
        </control>
      </mc:Choice>
      <mc:Fallback>
        <control shapeId="13330" r:id="rId4" name="btnDatenuebernahme"/>
      </mc:Fallback>
    </mc:AlternateContent>
    <mc:AlternateContent xmlns:mc="http://schemas.openxmlformats.org/markup-compatibility/2006">
      <mc:Choice Requires="x14">
        <control shapeId="13329" r:id="rId6" name="CommandButton1">
          <controlPr defaultSize="0" autoLine="0" r:id="rId7">
            <anchor moveWithCells="1">
              <from>
                <xdr:col>1</xdr:col>
                <xdr:colOff>38100</xdr:colOff>
                <xdr:row>11</xdr:row>
                <xdr:rowOff>30480</xdr:rowOff>
              </from>
              <to>
                <xdr:col>1</xdr:col>
                <xdr:colOff>762000</xdr:colOff>
                <xdr:row>12</xdr:row>
                <xdr:rowOff>53340</xdr:rowOff>
              </to>
            </anchor>
          </controlPr>
        </control>
      </mc:Choice>
      <mc:Fallback>
        <control shapeId="13329" r:id="rId6" name="CommandButton1"/>
      </mc:Fallback>
    </mc:AlternateContent>
    <mc:AlternateContent xmlns:mc="http://schemas.openxmlformats.org/markup-compatibility/2006">
      <mc:Choice Requires="x14">
        <control shapeId="13315" r:id="rId8" name="btnLoadData">
          <controlPr defaultSize="0" autoLine="0" r:id="rId9">
            <anchor moveWithCells="1">
              <from>
                <xdr:col>0</xdr:col>
                <xdr:colOff>30480</xdr:colOff>
                <xdr:row>0</xdr:row>
                <xdr:rowOff>83820</xdr:rowOff>
              </from>
              <to>
                <xdr:col>1</xdr:col>
                <xdr:colOff>762000</xdr:colOff>
                <xdr:row>1</xdr:row>
                <xdr:rowOff>167640</xdr:rowOff>
              </to>
            </anchor>
          </controlPr>
        </control>
      </mc:Choice>
      <mc:Fallback>
        <control shapeId="13315" r:id="rId8" name="btnLoadData"/>
      </mc:Fallback>
    </mc:AlternateContent>
    <mc:AlternateContent xmlns:mc="http://schemas.openxmlformats.org/markup-compatibility/2006">
      <mc:Choice Requires="x14">
        <control shapeId="13331" r:id="rId10" name="CommandButton2">
          <controlPr defaultSize="0" autoLine="0" r:id="rId11">
            <anchor moveWithCells="1">
              <from>
                <xdr:col>0</xdr:col>
                <xdr:colOff>7620</xdr:colOff>
                <xdr:row>5</xdr:row>
                <xdr:rowOff>0</xdr:rowOff>
              </from>
              <to>
                <xdr:col>1</xdr:col>
                <xdr:colOff>739140</xdr:colOff>
                <xdr:row>6</xdr:row>
                <xdr:rowOff>60960</xdr:rowOff>
              </to>
            </anchor>
          </controlPr>
        </control>
      </mc:Choice>
      <mc:Fallback>
        <control shapeId="13331" r:id="rId10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/>
  <dimension ref="A1:N37"/>
  <sheetViews>
    <sheetView topLeftCell="A2" zoomScale="85" zoomScaleNormal="85" workbookViewId="0">
      <selection activeCell="I9" sqref="I9"/>
    </sheetView>
  </sheetViews>
  <sheetFormatPr defaultColWidth="11.5546875" defaultRowHeight="13.2"/>
  <cols>
    <col min="1" max="1" width="12.5546875" customWidth="1"/>
    <col min="4" max="4" width="12.5546875" bestFit="1" customWidth="1"/>
  </cols>
  <sheetData>
    <row r="1" spans="1:14" ht="36" customHeight="1" thickBot="1">
      <c r="A1" s="217" t="s">
        <v>22</v>
      </c>
      <c r="B1" s="218"/>
      <c r="C1" s="218"/>
      <c r="D1" s="218"/>
      <c r="E1" s="218"/>
      <c r="F1" s="218"/>
      <c r="G1" s="218"/>
      <c r="H1" s="218"/>
      <c r="I1" s="218"/>
      <c r="J1" s="218"/>
      <c r="K1" s="218"/>
      <c r="L1" s="218"/>
      <c r="M1" s="218"/>
      <c r="N1" s="219"/>
    </row>
    <row r="2" spans="1:14">
      <c r="A2" s="23"/>
      <c r="B2" s="24"/>
      <c r="C2" s="24"/>
      <c r="D2" s="24"/>
      <c r="E2" s="24"/>
      <c r="F2" s="24"/>
      <c r="G2" s="25"/>
      <c r="H2" s="29"/>
      <c r="I2" s="29"/>
      <c r="J2" s="29"/>
      <c r="K2" s="29"/>
      <c r="L2" s="29"/>
      <c r="M2" s="29"/>
      <c r="N2" s="30"/>
    </row>
    <row r="3" spans="1:14">
      <c r="A3" s="23"/>
      <c r="B3" s="24"/>
      <c r="C3" s="24"/>
      <c r="D3" s="24"/>
      <c r="E3" s="24"/>
      <c r="F3" s="24"/>
      <c r="G3" s="25"/>
      <c r="H3" s="24"/>
      <c r="I3" s="24"/>
      <c r="J3" s="24"/>
      <c r="K3" s="24"/>
      <c r="L3" s="24"/>
      <c r="M3" s="24"/>
      <c r="N3" s="25"/>
    </row>
    <row r="4" spans="1:14" ht="13.8" thickBot="1">
      <c r="A4" s="26"/>
      <c r="B4" s="27"/>
      <c r="C4" s="27"/>
      <c r="D4" s="27"/>
      <c r="E4" s="27"/>
      <c r="F4" s="27"/>
      <c r="G4" s="28"/>
      <c r="H4" s="27"/>
      <c r="I4" s="27"/>
      <c r="J4" s="27"/>
      <c r="K4" s="24"/>
      <c r="L4" s="24"/>
      <c r="M4" s="24"/>
      <c r="N4" s="25"/>
    </row>
    <row r="5" spans="1:14" ht="12.75" customHeight="1">
      <c r="A5" s="90" t="s">
        <v>29</v>
      </c>
      <c r="B5" s="110">
        <v>1.0000000000000001E-5</v>
      </c>
      <c r="C5" s="90"/>
      <c r="D5" s="91"/>
      <c r="E5" s="90"/>
      <c r="F5" s="91"/>
      <c r="G5" s="220" t="s">
        <v>24</v>
      </c>
      <c r="H5" s="221"/>
      <c r="I5" s="220"/>
      <c r="J5" s="221"/>
      <c r="K5" s="90"/>
      <c r="L5" s="91"/>
      <c r="M5" s="220"/>
      <c r="N5" s="221"/>
    </row>
    <row r="6" spans="1:14" ht="13.5" customHeight="1">
      <c r="A6" s="222" t="s">
        <v>27</v>
      </c>
      <c r="B6" s="223"/>
      <c r="C6" s="222" t="s">
        <v>75</v>
      </c>
      <c r="D6" s="223"/>
      <c r="E6" s="222" t="s">
        <v>23</v>
      </c>
      <c r="F6" s="223"/>
      <c r="G6" s="222" t="s">
        <v>28</v>
      </c>
      <c r="H6" s="223"/>
      <c r="I6" s="222" t="s">
        <v>55</v>
      </c>
      <c r="J6" s="223"/>
      <c r="K6" s="222"/>
      <c r="L6" s="223"/>
      <c r="M6" s="222"/>
      <c r="N6" s="223"/>
    </row>
    <row r="7" spans="1:14" ht="13.8" thickBot="1">
      <c r="A7" s="111" t="s">
        <v>25</v>
      </c>
      <c r="B7" s="112" t="s">
        <v>26</v>
      </c>
      <c r="C7" s="111" t="s">
        <v>25</v>
      </c>
      <c r="D7" s="112" t="s">
        <v>26</v>
      </c>
      <c r="E7" s="111" t="s">
        <v>25</v>
      </c>
      <c r="F7" s="112" t="s">
        <v>26</v>
      </c>
      <c r="G7" s="111" t="s">
        <v>25</v>
      </c>
      <c r="H7" s="112" t="s">
        <v>26</v>
      </c>
      <c r="I7" s="111" t="s">
        <v>25</v>
      </c>
      <c r="J7" s="112" t="s">
        <v>26</v>
      </c>
      <c r="K7" s="111"/>
      <c r="L7" s="112"/>
      <c r="M7" s="111"/>
      <c r="N7" s="112"/>
    </row>
    <row r="8" spans="1:14" ht="12.75" customHeight="1">
      <c r="A8" s="113">
        <v>-6.9876018728959398E-7</v>
      </c>
      <c r="B8" s="114">
        <v>0</v>
      </c>
      <c r="C8" s="113">
        <f>(0.002)+A8</f>
        <v>1.9993012398127103E-3</v>
      </c>
      <c r="D8" s="114">
        <f>B8</f>
        <v>0</v>
      </c>
      <c r="E8" s="113">
        <f ca="1">E9-(F9/D10)</f>
        <v>0.47503526323513973</v>
      </c>
      <c r="F8" s="114">
        <v>0</v>
      </c>
      <c r="G8" s="113">
        <v>4.1719489307877151E-3</v>
      </c>
      <c r="H8" s="114">
        <v>397</v>
      </c>
      <c r="I8" s="113">
        <f ca="1">I9-(J9/D10)</f>
        <v>0.47503526323513973</v>
      </c>
      <c r="J8" s="114">
        <v>0</v>
      </c>
      <c r="K8" s="113"/>
      <c r="L8" s="114"/>
      <c r="M8" s="113"/>
      <c r="N8" s="114"/>
    </row>
    <row r="9" spans="1:14" ht="14.25" customHeight="1" thickBot="1">
      <c r="A9" s="115">
        <v>2.4985108534616302E-3</v>
      </c>
      <c r="B9" s="116">
        <f>Messdaten!K3</f>
        <v>369.1894736842105</v>
      </c>
      <c r="C9" s="115">
        <f>(0.002)+A9</f>
        <v>4.4985108534616302E-3</v>
      </c>
      <c r="D9" s="116">
        <f>B9</f>
        <v>369.1894736842105</v>
      </c>
      <c r="E9" s="115">
        <f>Messdaten!K6</f>
        <v>0.47753447284878864</v>
      </c>
      <c r="F9" s="116">
        <f ca="1">Messdaten!K4</f>
        <v>369.1894736842105</v>
      </c>
      <c r="G9" s="115">
        <v>4.1719489307877151E-3</v>
      </c>
      <c r="H9" s="116">
        <v>397</v>
      </c>
      <c r="I9" s="115">
        <f ca="1">Messdaten!K5</f>
        <v>0.47753447284878864</v>
      </c>
      <c r="J9" s="116">
        <f>B9</f>
        <v>369.1894736842105</v>
      </c>
      <c r="K9" s="115"/>
      <c r="L9" s="116"/>
      <c r="M9" s="115"/>
      <c r="N9" s="116"/>
    </row>
    <row r="10" spans="1:14" ht="18" customHeight="1" thickBot="1">
      <c r="A10" s="113" t="e">
        <f ca="1">-(INDIRECT("Messdaten!O" &amp;Messdaten!G3)-(Messdaten!G4*INDIRECT("Messdaten!P" &amp;Messdaten!G3)))/Messdaten!G4</f>
        <v>#DIV/0!</v>
      </c>
      <c r="B10" s="114">
        <f>B8</f>
        <v>0</v>
      </c>
      <c r="C10" s="32" t="s">
        <v>37</v>
      </c>
      <c r="D10" s="33">
        <f>B9/(A9-A8)</f>
        <v>147722.49261044693</v>
      </c>
      <c r="E10" s="32" t="s">
        <v>38</v>
      </c>
      <c r="F10" s="34">
        <f>Basisdaten!N15</f>
        <v>0</v>
      </c>
      <c r="G10" s="32" t="s">
        <v>31</v>
      </c>
      <c r="H10" s="117">
        <f>H9</f>
        <v>397</v>
      </c>
      <c r="I10" s="32"/>
      <c r="J10" s="33"/>
      <c r="K10" s="32"/>
      <c r="L10" s="33"/>
      <c r="M10" s="32"/>
      <c r="N10" s="33"/>
    </row>
    <row r="11" spans="1:14" ht="19.5" customHeight="1" thickBot="1">
      <c r="A11" s="115" t="e">
        <f ca="1">(B11-(INDIRECT("Messdaten!O" &amp;Messdaten!G3)-(Messdaten!G4*INDIRECT("Messdaten!P" &amp;Messdaten!G3))))/Messdaten!G4</f>
        <v>#DIV/0!</v>
      </c>
      <c r="B11" s="116">
        <f>B9</f>
        <v>369.1894736842105</v>
      </c>
      <c r="C11" s="44" t="b">
        <v>0</v>
      </c>
      <c r="D11" s="45"/>
      <c r="E11" s="46"/>
      <c r="F11" s="47"/>
      <c r="G11" s="46"/>
      <c r="H11" s="45"/>
      <c r="I11" s="48"/>
      <c r="J11" s="48"/>
      <c r="K11" s="48"/>
      <c r="L11" s="48"/>
      <c r="M11" s="48"/>
      <c r="N11" s="31"/>
    </row>
    <row r="12" spans="1:14" ht="29.25" customHeight="1">
      <c r="A12" s="224" t="s">
        <v>36</v>
      </c>
      <c r="B12" s="225"/>
      <c r="C12" s="225"/>
      <c r="D12" s="225"/>
      <c r="E12" s="225"/>
      <c r="F12" s="225"/>
      <c r="G12" s="226"/>
      <c r="H12" s="24"/>
      <c r="I12" s="24"/>
      <c r="J12" s="24"/>
      <c r="K12" s="24"/>
      <c r="L12" s="24"/>
      <c r="M12" s="24"/>
      <c r="N12" s="25"/>
    </row>
    <row r="13" spans="1:14">
      <c r="A13" s="23"/>
      <c r="B13" s="24"/>
      <c r="C13" s="24"/>
      <c r="D13" s="24"/>
      <c r="E13" s="24"/>
      <c r="F13" s="24"/>
      <c r="G13" s="25"/>
      <c r="H13" s="24"/>
      <c r="I13" s="24"/>
      <c r="J13" s="24"/>
      <c r="K13" s="24"/>
      <c r="L13" s="24"/>
      <c r="M13" s="24"/>
      <c r="N13" s="25"/>
    </row>
    <row r="14" spans="1:14">
      <c r="A14" s="23"/>
      <c r="B14" s="24"/>
      <c r="C14" s="24"/>
      <c r="D14" s="24"/>
      <c r="E14" s="24"/>
      <c r="F14" s="24"/>
      <c r="G14" s="25"/>
      <c r="H14" s="24"/>
      <c r="I14" s="24"/>
      <c r="J14" s="24"/>
      <c r="K14" s="24"/>
      <c r="L14" s="24"/>
      <c r="M14" s="24"/>
      <c r="N14" s="25"/>
    </row>
    <row r="15" spans="1:14">
      <c r="A15" s="23"/>
      <c r="B15" s="24"/>
      <c r="C15" s="24"/>
      <c r="D15" s="24"/>
      <c r="E15" s="24"/>
      <c r="F15" s="24"/>
      <c r="G15" s="25"/>
      <c r="H15" s="24"/>
      <c r="I15" s="24"/>
      <c r="J15" s="24"/>
      <c r="K15" s="24"/>
      <c r="L15" s="24"/>
      <c r="M15" s="24"/>
      <c r="N15" s="25"/>
    </row>
    <row r="16" spans="1:14">
      <c r="A16" s="23"/>
      <c r="B16" s="24"/>
      <c r="C16" s="24"/>
      <c r="D16" s="24"/>
      <c r="E16" s="24"/>
      <c r="F16" s="24"/>
      <c r="G16" s="25"/>
      <c r="H16" s="24"/>
      <c r="I16" s="24"/>
      <c r="J16" s="24"/>
      <c r="K16" s="24"/>
      <c r="L16" s="24"/>
      <c r="M16" s="24"/>
      <c r="N16" s="25"/>
    </row>
    <row r="17" spans="1:14">
      <c r="A17" s="23"/>
      <c r="B17" s="24"/>
      <c r="C17" s="24"/>
      <c r="D17" s="24"/>
      <c r="E17" s="24"/>
      <c r="F17" s="24"/>
      <c r="G17" s="25"/>
      <c r="H17" s="24"/>
      <c r="I17" s="24"/>
      <c r="J17" s="24"/>
      <c r="K17" s="24"/>
      <c r="L17" s="24"/>
      <c r="M17" s="24"/>
      <c r="N17" s="25"/>
    </row>
    <row r="18" spans="1:14">
      <c r="A18" s="23"/>
      <c r="B18" s="24"/>
      <c r="C18" s="24"/>
      <c r="D18" s="24"/>
      <c r="E18" s="24"/>
      <c r="F18" s="24"/>
      <c r="G18" s="25"/>
      <c r="H18" s="24"/>
      <c r="I18" s="24"/>
      <c r="J18" s="24"/>
      <c r="K18" s="24"/>
      <c r="L18" s="24"/>
      <c r="M18" s="24"/>
      <c r="N18" s="25"/>
    </row>
    <row r="19" spans="1:14">
      <c r="A19" s="23"/>
      <c r="B19" s="24"/>
      <c r="C19" s="24"/>
      <c r="D19" s="24"/>
      <c r="E19" s="24"/>
      <c r="F19" s="24"/>
      <c r="G19" s="25"/>
      <c r="H19" s="24"/>
      <c r="I19" s="24"/>
      <c r="J19" s="24"/>
      <c r="K19" s="24"/>
      <c r="L19" s="24"/>
      <c r="M19" s="24"/>
      <c r="N19" s="25"/>
    </row>
    <row r="20" spans="1:14">
      <c r="A20" s="23"/>
      <c r="B20" s="24"/>
      <c r="C20" s="24"/>
      <c r="D20" s="24"/>
      <c r="E20" s="24"/>
      <c r="F20" s="24"/>
      <c r="G20" s="25"/>
      <c r="H20" s="24"/>
      <c r="I20" s="24"/>
      <c r="J20" s="24"/>
      <c r="K20" s="24"/>
      <c r="L20" s="24"/>
      <c r="M20" s="24"/>
      <c r="N20" s="25"/>
    </row>
    <row r="21" spans="1:14">
      <c r="A21" s="23"/>
      <c r="B21" s="24"/>
      <c r="C21" s="24"/>
      <c r="D21" s="24"/>
      <c r="E21" s="24"/>
      <c r="F21" s="24"/>
      <c r="G21" s="25"/>
      <c r="H21" s="24"/>
      <c r="I21" s="24"/>
      <c r="J21" s="24"/>
      <c r="K21" s="24"/>
      <c r="L21" s="24"/>
      <c r="M21" s="24"/>
      <c r="N21" s="25"/>
    </row>
    <row r="22" spans="1:14">
      <c r="A22" s="23"/>
      <c r="B22" s="24"/>
      <c r="C22" s="24"/>
      <c r="D22" s="24"/>
      <c r="E22" s="24"/>
      <c r="F22" s="24"/>
      <c r="G22" s="25"/>
      <c r="H22" s="24"/>
      <c r="I22" s="24"/>
      <c r="J22" s="24"/>
      <c r="K22" s="24"/>
      <c r="L22" s="24"/>
      <c r="M22" s="24"/>
      <c r="N22" s="25"/>
    </row>
    <row r="23" spans="1:14">
      <c r="A23" s="23"/>
      <c r="B23" s="24"/>
      <c r="C23" s="24"/>
      <c r="D23" s="24"/>
      <c r="E23" s="24"/>
      <c r="F23" s="24"/>
      <c r="G23" s="25"/>
      <c r="H23" s="24"/>
      <c r="I23" s="24"/>
      <c r="J23" s="24"/>
      <c r="K23" s="24"/>
      <c r="L23" s="24"/>
      <c r="M23" s="24"/>
      <c r="N23" s="25"/>
    </row>
    <row r="24" spans="1:14">
      <c r="A24" s="23"/>
      <c r="B24" s="24"/>
      <c r="C24" s="24"/>
      <c r="D24" s="24"/>
      <c r="E24" s="24"/>
      <c r="F24" s="24"/>
      <c r="G24" s="25"/>
      <c r="H24" s="24"/>
      <c r="I24" s="24"/>
      <c r="J24" s="24"/>
      <c r="K24" s="24"/>
      <c r="L24" s="24"/>
      <c r="M24" s="24"/>
      <c r="N24" s="25"/>
    </row>
    <row r="25" spans="1:14" ht="83.25" customHeight="1">
      <c r="A25" s="23"/>
      <c r="B25" s="24"/>
      <c r="C25" s="24"/>
      <c r="D25" s="24"/>
      <c r="E25" s="24"/>
      <c r="F25" s="24"/>
      <c r="G25" s="25"/>
      <c r="H25" s="24"/>
      <c r="I25" s="24"/>
      <c r="J25" s="24"/>
      <c r="K25" s="24"/>
      <c r="L25" s="24"/>
      <c r="M25" s="24"/>
      <c r="N25" s="25"/>
    </row>
    <row r="26" spans="1:14">
      <c r="A26" s="23"/>
      <c r="B26" s="24"/>
      <c r="C26" s="24"/>
      <c r="D26" s="24"/>
      <c r="E26" s="24"/>
      <c r="F26" s="24"/>
      <c r="G26" s="25"/>
      <c r="H26" s="24"/>
      <c r="I26" s="24"/>
      <c r="J26" s="24"/>
      <c r="K26" s="24"/>
      <c r="L26" s="24"/>
      <c r="M26" s="24"/>
      <c r="N26" s="25"/>
    </row>
    <row r="27" spans="1:14">
      <c r="A27" s="23"/>
      <c r="B27" s="24"/>
      <c r="C27" s="24"/>
      <c r="D27" s="24"/>
      <c r="E27" s="24"/>
      <c r="F27" s="24"/>
      <c r="G27" s="25"/>
      <c r="H27" s="24"/>
      <c r="I27" s="24"/>
      <c r="J27" s="24"/>
      <c r="K27" s="24"/>
      <c r="L27" s="24"/>
      <c r="M27" s="24"/>
      <c r="N27" s="25"/>
    </row>
    <row r="28" spans="1:14">
      <c r="A28" s="23"/>
      <c r="B28" s="24"/>
      <c r="C28" s="24"/>
      <c r="D28" s="24"/>
      <c r="E28" s="24"/>
      <c r="F28" s="24"/>
      <c r="G28" s="25"/>
      <c r="H28" s="24"/>
      <c r="I28" s="24"/>
      <c r="J28" s="24"/>
      <c r="K28" s="24"/>
      <c r="L28" s="24"/>
      <c r="M28" s="24"/>
      <c r="N28" s="25"/>
    </row>
    <row r="29" spans="1:14">
      <c r="A29" s="23"/>
      <c r="B29" s="24"/>
      <c r="C29" s="24"/>
      <c r="D29" s="24"/>
      <c r="E29" s="24"/>
      <c r="F29" s="24"/>
      <c r="G29" s="25"/>
      <c r="H29" s="24"/>
      <c r="I29" s="24"/>
      <c r="J29" s="24"/>
      <c r="K29" s="24"/>
      <c r="L29" s="24"/>
      <c r="M29" s="24"/>
      <c r="N29" s="25"/>
    </row>
    <row r="30" spans="1:14">
      <c r="A30" s="23"/>
      <c r="B30" s="24"/>
      <c r="C30" s="24"/>
      <c r="D30" s="24"/>
      <c r="E30" s="24"/>
      <c r="F30" s="24"/>
      <c r="G30" s="25"/>
      <c r="H30" s="24"/>
      <c r="I30" s="24"/>
      <c r="J30" s="24"/>
      <c r="K30" s="24"/>
      <c r="L30" s="24"/>
      <c r="M30" s="24"/>
      <c r="N30" s="25"/>
    </row>
    <row r="31" spans="1:14">
      <c r="A31" s="23">
        <f>((B9*1000*F10)/(Messdaten!I7*Basisdaten!J44))</f>
        <v>0</v>
      </c>
      <c r="B31" s="24"/>
      <c r="C31" s="24"/>
      <c r="D31" s="24"/>
      <c r="E31" s="24">
        <v>3.4508123319381254</v>
      </c>
      <c r="F31" s="24"/>
      <c r="G31" s="25"/>
      <c r="H31" s="24"/>
      <c r="I31" s="24"/>
      <c r="J31" s="24"/>
      <c r="K31" s="24"/>
      <c r="L31" s="24"/>
      <c r="M31" s="24"/>
      <c r="N31" s="25"/>
    </row>
    <row r="32" spans="1:14">
      <c r="A32" s="23"/>
      <c r="B32" s="24"/>
      <c r="C32" s="24"/>
      <c r="D32" s="24"/>
      <c r="E32" s="24"/>
      <c r="F32" s="24"/>
      <c r="G32" s="25"/>
      <c r="H32" s="24"/>
      <c r="I32" s="24"/>
      <c r="J32" s="24"/>
      <c r="K32" s="24"/>
      <c r="L32" s="24"/>
      <c r="M32" s="24"/>
      <c r="N32" s="25"/>
    </row>
    <row r="33" spans="1:14">
      <c r="A33" s="23"/>
      <c r="B33" s="24"/>
      <c r="C33" s="24" t="b">
        <v>0</v>
      </c>
      <c r="D33" s="24"/>
      <c r="E33" s="24"/>
      <c r="F33" s="24"/>
      <c r="G33" s="25"/>
      <c r="H33" s="24"/>
      <c r="I33" s="24"/>
      <c r="J33" s="24"/>
      <c r="K33" s="24"/>
      <c r="L33" s="24"/>
      <c r="M33" s="24"/>
      <c r="N33" s="25"/>
    </row>
    <row r="34" spans="1:14">
      <c r="A34" s="23"/>
      <c r="B34" s="24"/>
      <c r="C34" s="24"/>
      <c r="D34" s="24"/>
      <c r="E34" s="24"/>
      <c r="F34" s="24"/>
      <c r="G34" s="25"/>
      <c r="H34" s="24"/>
      <c r="I34" s="24"/>
      <c r="J34" s="24"/>
      <c r="K34" s="24"/>
      <c r="L34" s="24"/>
      <c r="M34" s="24"/>
      <c r="N34" s="25"/>
    </row>
    <row r="35" spans="1:14">
      <c r="A35" s="23"/>
      <c r="B35" s="24"/>
      <c r="C35" s="24"/>
      <c r="D35" s="24"/>
      <c r="E35" s="24"/>
      <c r="F35" s="24"/>
      <c r="G35" s="25"/>
      <c r="H35" s="24"/>
      <c r="I35" s="24"/>
      <c r="J35" s="24"/>
      <c r="K35" s="24"/>
      <c r="L35" s="24"/>
      <c r="M35" s="24"/>
      <c r="N35" s="25"/>
    </row>
    <row r="36" spans="1:14">
      <c r="A36" s="23"/>
      <c r="B36" s="24"/>
      <c r="C36" s="24"/>
      <c r="D36" s="24"/>
      <c r="E36" s="24"/>
      <c r="F36" s="24"/>
      <c r="G36" s="25"/>
      <c r="H36" s="24"/>
      <c r="I36" s="24"/>
      <c r="J36" s="24"/>
      <c r="K36" s="24"/>
      <c r="L36" s="24"/>
      <c r="M36" s="24"/>
      <c r="N36" s="25"/>
    </row>
    <row r="37" spans="1:14" ht="13.8" thickBot="1">
      <c r="A37" s="26"/>
      <c r="B37" s="27"/>
      <c r="C37" s="27"/>
      <c r="D37" s="27"/>
      <c r="E37" s="27"/>
      <c r="F37" s="27"/>
      <c r="G37" s="28"/>
      <c r="H37" s="27"/>
      <c r="I37" s="27"/>
      <c r="J37" s="27"/>
      <c r="K37" s="27"/>
      <c r="L37" s="27"/>
      <c r="M37" s="27"/>
      <c r="N37" s="28"/>
    </row>
  </sheetData>
  <mergeCells count="12">
    <mergeCell ref="A12:G12"/>
    <mergeCell ref="G5:H5"/>
    <mergeCell ref="A6:B6"/>
    <mergeCell ref="C6:D6"/>
    <mergeCell ref="E6:F6"/>
    <mergeCell ref="G6:H6"/>
    <mergeCell ref="A1:N1"/>
    <mergeCell ref="I5:J5"/>
    <mergeCell ref="I6:J6"/>
    <mergeCell ref="K6:L6"/>
    <mergeCell ref="M6:N6"/>
    <mergeCell ref="M5:N5"/>
  </mergeCells>
  <phoneticPr fontId="4" type="noConversion"/>
  <pageMargins left="0.78740157499999996" right="0.18" top="0.46" bottom="0.984251969" header="0.4921259845" footer="0.4921259845"/>
  <pageSetup paperSize="9" scale="55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76" r:id="rId4" name="OptionButton3">
          <controlPr defaultSize="0" autoLine="0" r:id="rId5">
            <anchor moveWithCells="1">
              <from>
                <xdr:col>4</xdr:col>
                <xdr:colOff>259080</xdr:colOff>
                <xdr:row>12</xdr:row>
                <xdr:rowOff>121920</xdr:rowOff>
              </from>
              <to>
                <xdr:col>6</xdr:col>
                <xdr:colOff>388620</xdr:colOff>
                <xdr:row>14</xdr:row>
                <xdr:rowOff>53340</xdr:rowOff>
              </to>
            </anchor>
          </controlPr>
        </control>
      </mc:Choice>
      <mc:Fallback>
        <control shapeId="2076" r:id="rId4" name="OptionButton3"/>
      </mc:Fallback>
    </mc:AlternateContent>
    <mc:AlternateContent xmlns:mc="http://schemas.openxmlformats.org/markup-compatibility/2006">
      <mc:Choice Requires="x14">
        <control shapeId="2075" r:id="rId6" name="OptionButton2">
          <controlPr defaultSize="0" autoLine="0" r:id="rId7">
            <anchor moveWithCells="1">
              <from>
                <xdr:col>1</xdr:col>
                <xdr:colOff>609600</xdr:colOff>
                <xdr:row>14</xdr:row>
                <xdr:rowOff>38100</xdr:rowOff>
              </from>
              <to>
                <xdr:col>3</xdr:col>
                <xdr:colOff>701040</xdr:colOff>
                <xdr:row>16</xdr:row>
                <xdr:rowOff>7620</xdr:rowOff>
              </to>
            </anchor>
          </controlPr>
        </control>
      </mc:Choice>
      <mc:Fallback>
        <control shapeId="2075" r:id="rId6" name="OptionButton2"/>
      </mc:Fallback>
    </mc:AlternateContent>
    <mc:AlternateContent xmlns:mc="http://schemas.openxmlformats.org/markup-compatibility/2006">
      <mc:Choice Requires="x14">
        <control shapeId="2074" r:id="rId8" name="OptionButton1">
          <controlPr defaultSize="0" autoLine="0" r:id="rId9">
            <anchor moveWithCells="1">
              <from>
                <xdr:col>1</xdr:col>
                <xdr:colOff>609600</xdr:colOff>
                <xdr:row>12</xdr:row>
                <xdr:rowOff>121920</xdr:rowOff>
              </from>
              <to>
                <xdr:col>3</xdr:col>
                <xdr:colOff>739140</xdr:colOff>
                <xdr:row>14</xdr:row>
                <xdr:rowOff>53340</xdr:rowOff>
              </to>
            </anchor>
          </controlPr>
        </control>
      </mc:Choice>
      <mc:Fallback>
        <control shapeId="2074" r:id="rId8" name="OptionButton1"/>
      </mc:Fallback>
    </mc:AlternateContent>
    <mc:AlternateContent xmlns:mc="http://schemas.openxmlformats.org/markup-compatibility/2006">
      <mc:Choice Requires="x14">
        <control shapeId="2073" r:id="rId10" name="CheckBox1">
          <controlPr locked="0" defaultSize="0" autoLine="0" linkedCell="C11" r:id="rId11">
            <anchor moveWithCells="1">
              <from>
                <xdr:col>2</xdr:col>
                <xdr:colOff>236220</xdr:colOff>
                <xdr:row>10</xdr:row>
                <xdr:rowOff>45720</xdr:rowOff>
              </from>
              <to>
                <xdr:col>3</xdr:col>
                <xdr:colOff>716280</xdr:colOff>
                <xdr:row>10</xdr:row>
                <xdr:rowOff>228600</xdr:rowOff>
              </to>
            </anchor>
          </controlPr>
        </control>
      </mc:Choice>
      <mc:Fallback>
        <control shapeId="2073" r:id="rId10" name="CheckBox1"/>
      </mc:Fallback>
    </mc:AlternateContent>
    <mc:AlternateContent xmlns:mc="http://schemas.openxmlformats.org/markup-compatibility/2006">
      <mc:Choice Requires="x14">
        <control shapeId="2057" r:id="rId12" name="spbRp02Oben">
          <controlPr defaultSize="0" print="0" disabled="1" autoLine="0" r:id="rId13">
            <anchor moveWithCells="1">
              <from>
                <xdr:col>0</xdr:col>
                <xdr:colOff>426720</xdr:colOff>
                <xdr:row>13</xdr:row>
                <xdr:rowOff>0</xdr:rowOff>
              </from>
              <to>
                <xdr:col>1</xdr:col>
                <xdr:colOff>327660</xdr:colOff>
                <xdr:row>14</xdr:row>
                <xdr:rowOff>22860</xdr:rowOff>
              </to>
            </anchor>
          </controlPr>
        </control>
      </mc:Choice>
      <mc:Fallback>
        <control shapeId="2057" r:id="rId12" name="spbRp02Oben"/>
      </mc:Fallback>
    </mc:AlternateContent>
    <mc:AlternateContent xmlns:mc="http://schemas.openxmlformats.org/markup-compatibility/2006">
      <mc:Choice Requires="x14">
        <control shapeId="2058" r:id="rId14" name="spbRp02Unten">
          <controlPr defaultSize="0" print="0" disabled="1" autoLine="0" r:id="rId13">
            <anchor moveWithCells="1">
              <from>
                <xdr:col>0</xdr:col>
                <xdr:colOff>449580</xdr:colOff>
                <xdr:row>34</xdr:row>
                <xdr:rowOff>83820</xdr:rowOff>
              </from>
              <to>
                <xdr:col>1</xdr:col>
                <xdr:colOff>350520</xdr:colOff>
                <xdr:row>35</xdr:row>
                <xdr:rowOff>106680</xdr:rowOff>
              </to>
            </anchor>
          </controlPr>
        </control>
      </mc:Choice>
      <mc:Fallback>
        <control shapeId="2058" r:id="rId14" name="spbRp02Unte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>
    <pageSetUpPr fitToPage="1"/>
  </sheetPr>
  <dimension ref="A1:CJ56"/>
  <sheetViews>
    <sheetView topLeftCell="A15" zoomScaleNormal="100" workbookViewId="0">
      <selection activeCell="O36" sqref="O36:Q36"/>
    </sheetView>
  </sheetViews>
  <sheetFormatPr defaultColWidth="0" defaultRowHeight="15" customHeight="1" zeroHeight="1"/>
  <cols>
    <col min="1" max="37" width="2.6640625" style="49" customWidth="1"/>
    <col min="38" max="88" width="2.6640625" style="49" hidden="1" customWidth="1"/>
    <col min="89" max="16384" width="11.44140625" style="49" hidden="1"/>
  </cols>
  <sheetData>
    <row r="1" spans="2:35" ht="15" customHeight="1"/>
    <row r="2" spans="2:35" ht="11.25" customHeight="1"/>
    <row r="3" spans="2:35" ht="21">
      <c r="B3" s="50" t="s">
        <v>57</v>
      </c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</row>
    <row r="4" spans="2:35" ht="15" customHeight="1">
      <c r="B4" s="50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</row>
    <row r="5" spans="2:35" ht="15" customHeight="1">
      <c r="B5" s="53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5"/>
    </row>
    <row r="6" spans="2:35" ht="15" customHeight="1">
      <c r="B6" s="56"/>
      <c r="C6" s="183" t="s">
        <v>0</v>
      </c>
      <c r="D6" s="183"/>
      <c r="E6" s="183"/>
      <c r="F6" s="191" t="str">
        <f>Basisdaten!F6</f>
        <v>Projekt_1</v>
      </c>
      <c r="G6" s="191"/>
      <c r="H6" s="191"/>
      <c r="I6" s="191"/>
      <c r="J6" s="191"/>
      <c r="K6" s="191"/>
      <c r="L6" s="191"/>
      <c r="M6" s="191"/>
      <c r="N6" s="58"/>
      <c r="O6" s="183" t="s">
        <v>1</v>
      </c>
      <c r="P6" s="183"/>
      <c r="Q6" s="183"/>
      <c r="R6" s="183"/>
      <c r="S6" s="183"/>
      <c r="T6" s="57"/>
      <c r="U6" s="191" t="str">
        <f>Basisdaten!U6</f>
        <v>Fe</v>
      </c>
      <c r="V6" s="191"/>
      <c r="W6" s="191"/>
      <c r="X6" s="191"/>
      <c r="Y6" s="191"/>
      <c r="Z6" s="58"/>
      <c r="AA6" s="183" t="s">
        <v>2</v>
      </c>
      <c r="AB6" s="183"/>
      <c r="AC6" s="183"/>
      <c r="AD6" s="184">
        <f>Basisdaten!AD6</f>
        <v>42654</v>
      </c>
      <c r="AE6" s="184"/>
      <c r="AF6" s="184"/>
      <c r="AG6" s="184"/>
      <c r="AH6" s="184"/>
      <c r="AI6" s="59"/>
    </row>
    <row r="7" spans="2:35" ht="15" customHeight="1">
      <c r="B7" s="56"/>
      <c r="C7" s="202" t="s">
        <v>3</v>
      </c>
      <c r="D7" s="202"/>
      <c r="E7" s="202"/>
      <c r="F7" s="202"/>
      <c r="G7" s="202"/>
      <c r="H7" s="190" t="str">
        <f>Basisdaten!H7</f>
        <v>Werkstoff_1</v>
      </c>
      <c r="I7" s="190"/>
      <c r="J7" s="190"/>
      <c r="K7" s="190"/>
      <c r="L7" s="190"/>
      <c r="M7" s="190"/>
      <c r="N7" s="58"/>
      <c r="O7" s="202" t="s">
        <v>4</v>
      </c>
      <c r="P7" s="202"/>
      <c r="Q7" s="202"/>
      <c r="R7" s="202"/>
      <c r="S7" s="202"/>
      <c r="T7" s="239"/>
      <c r="U7" s="191">
        <f>Basisdaten!U7</f>
        <v>123456</v>
      </c>
      <c r="V7" s="191"/>
      <c r="W7" s="191"/>
      <c r="X7" s="191"/>
      <c r="Y7" s="191"/>
      <c r="Z7" s="58"/>
      <c r="AA7" s="202" t="s">
        <v>5</v>
      </c>
      <c r="AB7" s="202"/>
      <c r="AC7" s="202"/>
      <c r="AD7" s="202"/>
      <c r="AE7" s="234" t="str">
        <f>Basisdaten!AE7</f>
        <v>Fz 10x20</v>
      </c>
      <c r="AF7" s="234"/>
      <c r="AG7" s="234"/>
      <c r="AH7" s="234"/>
      <c r="AI7" s="59"/>
    </row>
    <row r="8" spans="2:35" ht="15" customHeight="1">
      <c r="B8" s="56"/>
      <c r="C8" s="202" t="s">
        <v>6</v>
      </c>
      <c r="D8" s="202"/>
      <c r="E8" s="202"/>
      <c r="F8" s="202"/>
      <c r="G8" s="202"/>
      <c r="I8" s="190" t="str">
        <f>Basisdaten!H8</f>
        <v>M_1</v>
      </c>
      <c r="J8" s="190"/>
      <c r="K8" s="190"/>
      <c r="L8" s="190"/>
      <c r="M8" s="190"/>
      <c r="N8" s="58"/>
      <c r="O8" s="202" t="s">
        <v>7</v>
      </c>
      <c r="P8" s="202"/>
      <c r="Q8" s="202"/>
      <c r="R8" s="202"/>
      <c r="S8" s="202"/>
      <c r="T8" s="239"/>
      <c r="U8" s="185">
        <f>Basisdaten!U8</f>
        <v>25</v>
      </c>
      <c r="V8" s="185"/>
      <c r="W8" s="185"/>
      <c r="X8" s="185"/>
      <c r="Y8" s="185"/>
      <c r="Z8" s="58"/>
      <c r="AA8" s="60">
        <f>Basisdaten!AA8</f>
        <v>0</v>
      </c>
      <c r="AB8" s="89"/>
      <c r="AC8" s="89"/>
      <c r="AD8" s="89"/>
      <c r="AE8" s="109"/>
      <c r="AF8" s="78"/>
      <c r="AG8" s="78"/>
      <c r="AH8" s="78"/>
      <c r="AI8" s="59"/>
    </row>
    <row r="9" spans="2:35" ht="15" customHeight="1">
      <c r="B9" s="77"/>
      <c r="C9" s="78" t="s">
        <v>58</v>
      </c>
      <c r="D9" s="60"/>
      <c r="E9" s="60"/>
      <c r="F9" s="60"/>
      <c r="G9" s="60"/>
      <c r="H9" s="60"/>
      <c r="I9" s="60"/>
      <c r="J9" s="201">
        <f>Basisdaten!J9</f>
        <v>0.02</v>
      </c>
      <c r="K9" s="201"/>
      <c r="L9" s="201"/>
      <c r="M9" s="201"/>
      <c r="N9" s="76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76"/>
      <c r="AA9" s="60"/>
      <c r="AB9" s="60"/>
      <c r="AC9" s="60"/>
      <c r="AD9" s="60"/>
      <c r="AE9" s="60"/>
      <c r="AF9" s="60"/>
      <c r="AG9" s="60"/>
      <c r="AH9" s="60"/>
      <c r="AI9" s="79"/>
    </row>
    <row r="10" spans="2:35" ht="15" customHeight="1">
      <c r="B10" s="6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68"/>
    </row>
    <row r="11" spans="2:35" ht="15" customHeight="1">
      <c r="B11" s="63"/>
      <c r="T11" s="58"/>
      <c r="AI11" s="59"/>
    </row>
    <row r="12" spans="2:35" ht="15" customHeight="1">
      <c r="B12" s="63"/>
      <c r="C12" s="196" t="s">
        <v>59</v>
      </c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58"/>
      <c r="Z12" s="236" t="str">
        <f>"Lo= " &amp; M16 &amp; "mm"</f>
        <v>Lo= 15mm</v>
      </c>
      <c r="AA12" s="236"/>
      <c r="AB12" s="236"/>
      <c r="AC12" s="236"/>
      <c r="AD12" s="236"/>
      <c r="AI12" s="59"/>
    </row>
    <row r="13" spans="2:35" s="58" customFormat="1" ht="15" customHeight="1">
      <c r="B13" s="63"/>
      <c r="D13" s="65"/>
      <c r="E13" s="65"/>
      <c r="F13" s="65"/>
      <c r="G13" s="65"/>
      <c r="H13" s="65"/>
      <c r="I13" s="65"/>
      <c r="J13" s="65"/>
      <c r="K13" s="65"/>
      <c r="AI13" s="66"/>
    </row>
    <row r="14" spans="2:35" s="58" customFormat="1" ht="15" customHeight="1">
      <c r="B14" s="63"/>
      <c r="C14" s="65" t="s">
        <v>76</v>
      </c>
      <c r="D14" s="65"/>
      <c r="E14" s="65"/>
      <c r="F14" s="65"/>
      <c r="G14" s="65"/>
      <c r="H14" s="65"/>
      <c r="I14" s="65"/>
      <c r="J14" s="65"/>
      <c r="K14" s="65"/>
      <c r="M14" s="228">
        <f>Basisdaten!M13</f>
        <v>1.5</v>
      </c>
      <c r="N14" s="228"/>
      <c r="O14" s="228"/>
      <c r="P14" s="243" t="s">
        <v>8</v>
      </c>
      <c r="Q14" s="243"/>
      <c r="AI14" s="66"/>
    </row>
    <row r="15" spans="2:35" s="58" customFormat="1" ht="15" customHeight="1">
      <c r="B15" s="63"/>
      <c r="C15" s="65" t="s">
        <v>77</v>
      </c>
      <c r="D15" s="65"/>
      <c r="E15" s="65"/>
      <c r="F15" s="65"/>
      <c r="G15" s="65"/>
      <c r="H15" s="65"/>
      <c r="I15" s="65"/>
      <c r="J15" s="65"/>
      <c r="K15" s="65"/>
      <c r="M15" s="241">
        <f>Basisdaten!M14</f>
        <v>9.5</v>
      </c>
      <c r="N15" s="241"/>
      <c r="O15" s="241"/>
      <c r="P15" s="76" t="s">
        <v>8</v>
      </c>
      <c r="Q15" s="76"/>
      <c r="AI15" s="66"/>
    </row>
    <row r="16" spans="2:35" s="58" customFormat="1" ht="15" customHeight="1">
      <c r="B16" s="63"/>
      <c r="C16" s="65" t="s">
        <v>84</v>
      </c>
      <c r="M16" s="242">
        <f>Basisdaten!M15</f>
        <v>15</v>
      </c>
      <c r="N16" s="242"/>
      <c r="O16" s="242"/>
      <c r="P16" s="76" t="s">
        <v>8</v>
      </c>
      <c r="Q16" s="76"/>
      <c r="V16" s="58" t="str">
        <f>"Anfangsquerschnitt So :" &amp; ROUND(Messdaten!I7,3) &amp; "mm²"</f>
        <v>Anfangsquerschnitt So :14.25mm²</v>
      </c>
      <c r="AC16" s="49"/>
      <c r="AD16" s="83"/>
      <c r="AE16" s="83"/>
      <c r="AF16" s="83"/>
      <c r="AG16" s="83"/>
      <c r="AH16" s="237"/>
      <c r="AI16" s="238"/>
    </row>
    <row r="17" spans="1:35" s="58" customFormat="1" ht="15" customHeight="1">
      <c r="B17" s="67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68"/>
    </row>
    <row r="18" spans="1:35" s="58" customFormat="1" ht="15" customHeight="1">
      <c r="B18" s="61"/>
      <c r="C18" s="62"/>
      <c r="D18" s="80"/>
      <c r="E18" s="80"/>
      <c r="F18" s="80"/>
      <c r="G18" s="80"/>
      <c r="H18" s="80"/>
      <c r="I18" s="80"/>
      <c r="J18" s="80"/>
      <c r="K18" s="80"/>
      <c r="L18" s="80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81"/>
    </row>
    <row r="19" spans="1:35" s="58" customFormat="1" ht="15" customHeight="1">
      <c r="B19" s="63"/>
      <c r="C19" s="69" t="s">
        <v>17</v>
      </c>
      <c r="X19" s="49" t="s">
        <v>94</v>
      </c>
      <c r="Z19" s="49" t="s">
        <v>79</v>
      </c>
      <c r="AA19" s="49"/>
      <c r="AB19" s="49"/>
      <c r="AC19" s="49"/>
      <c r="AI19" s="66"/>
    </row>
    <row r="20" spans="1:35" s="58" customFormat="1" ht="15" customHeight="1">
      <c r="B20" s="63"/>
      <c r="C20" s="65" t="s">
        <v>78</v>
      </c>
      <c r="D20" s="65"/>
      <c r="E20" s="65"/>
      <c r="F20" s="65"/>
      <c r="G20" s="65"/>
      <c r="H20" s="65"/>
      <c r="I20" s="65"/>
      <c r="J20" s="65"/>
      <c r="K20" s="65"/>
      <c r="L20" s="65"/>
      <c r="N20" s="241">
        <f>Basisdaten!N29</f>
        <v>0.5</v>
      </c>
      <c r="O20" s="241"/>
      <c r="P20" s="241"/>
      <c r="Q20" s="241"/>
      <c r="R20" s="76" t="s">
        <v>8</v>
      </c>
      <c r="S20" s="76"/>
      <c r="X20" s="49" t="s">
        <v>94</v>
      </c>
      <c r="Z20" s="235">
        <f>Messdaten!I8</f>
        <v>3.8250000000000002</v>
      </c>
      <c r="AA20" s="235"/>
      <c r="AB20" s="235"/>
      <c r="AC20" s="235"/>
      <c r="AI20" s="66"/>
    </row>
    <row r="21" spans="1:35" s="58" customFormat="1" ht="15" customHeight="1">
      <c r="B21" s="63"/>
      <c r="C21" s="65" t="s">
        <v>80</v>
      </c>
      <c r="D21" s="65"/>
      <c r="E21" s="65"/>
      <c r="F21" s="65"/>
      <c r="G21" s="65"/>
      <c r="H21" s="65"/>
      <c r="I21" s="65"/>
      <c r="J21" s="65"/>
      <c r="K21" s="70"/>
      <c r="N21" s="241">
        <f>Basisdaten!N30</f>
        <v>0.52</v>
      </c>
      <c r="O21" s="241"/>
      <c r="P21" s="241"/>
      <c r="Q21" s="241"/>
      <c r="R21" s="76" t="s">
        <v>8</v>
      </c>
      <c r="S21" s="76"/>
      <c r="AI21" s="66"/>
    </row>
    <row r="22" spans="1:35" s="58" customFormat="1" ht="15" customHeight="1">
      <c r="B22" s="63"/>
      <c r="C22" s="65" t="s">
        <v>81</v>
      </c>
      <c r="H22" s="49"/>
      <c r="M22" s="241">
        <f>Basisdaten!N31</f>
        <v>7.5</v>
      </c>
      <c r="N22" s="241"/>
      <c r="O22" s="241"/>
      <c r="P22" s="241"/>
      <c r="Q22" s="241"/>
      <c r="R22" s="76" t="s">
        <v>8</v>
      </c>
      <c r="S22" s="76"/>
      <c r="AI22" s="66"/>
    </row>
    <row r="23" spans="1:35" ht="15" customHeight="1">
      <c r="B23" s="56"/>
      <c r="C23" s="65" t="s">
        <v>82</v>
      </c>
      <c r="D23" s="58"/>
      <c r="E23" s="58"/>
      <c r="F23" s="58"/>
      <c r="G23" s="58"/>
      <c r="H23" s="58"/>
      <c r="I23" s="58"/>
      <c r="J23" s="58"/>
      <c r="L23" s="83"/>
      <c r="M23" s="241">
        <f>Basisdaten!N32</f>
        <v>7.5</v>
      </c>
      <c r="N23" s="241"/>
      <c r="O23" s="241"/>
      <c r="P23" s="241"/>
      <c r="Q23" s="241"/>
      <c r="R23" s="76" t="s">
        <v>8</v>
      </c>
      <c r="S23" s="76"/>
      <c r="AH23" s="83"/>
      <c r="AI23" s="84"/>
    </row>
    <row r="24" spans="1:35" ht="15" customHeight="1">
      <c r="B24" s="56"/>
      <c r="C24" s="58" t="s">
        <v>21</v>
      </c>
      <c r="D24" s="58"/>
      <c r="E24" s="58"/>
      <c r="F24" s="58"/>
      <c r="G24" s="58"/>
      <c r="H24" s="58"/>
      <c r="I24" s="58"/>
      <c r="J24" s="58"/>
      <c r="L24" s="83"/>
      <c r="N24" s="241">
        <f>Messdaten!I2</f>
        <v>5.6572500000000003</v>
      </c>
      <c r="O24" s="241"/>
      <c r="P24" s="241"/>
      <c r="Q24" s="241"/>
      <c r="R24" s="76" t="s">
        <v>60</v>
      </c>
      <c r="S24" s="76"/>
      <c r="AI24" s="59"/>
    </row>
    <row r="25" spans="1:35" ht="15" customHeight="1">
      <c r="B25" s="56"/>
      <c r="C25" s="58" t="s">
        <v>61</v>
      </c>
      <c r="N25" s="241">
        <f>Messdaten!I3</f>
        <v>5.2609500000000002</v>
      </c>
      <c r="O25" s="241"/>
      <c r="P25" s="241"/>
      <c r="Q25" s="241"/>
      <c r="R25" s="76" t="s">
        <v>60</v>
      </c>
      <c r="S25" s="76"/>
      <c r="W25" s="227" t="str">
        <f>Messdaten!N2</f>
        <v>r5:</v>
      </c>
      <c r="X25" s="227"/>
      <c r="Y25" s="227"/>
      <c r="Z25" s="229">
        <f ca="1">Messdaten!O2</f>
        <v>0</v>
      </c>
      <c r="AA25" s="229"/>
      <c r="AB25" s="229"/>
      <c r="AC25" s="227" t="str">
        <f>Messdaten!N5</f>
        <v>r20:</v>
      </c>
      <c r="AD25" s="227"/>
      <c r="AE25" s="227"/>
      <c r="AF25" s="229">
        <f ca="1">Messdaten!O5</f>
        <v>0</v>
      </c>
      <c r="AG25" s="229"/>
      <c r="AH25" s="229"/>
      <c r="AI25" s="59"/>
    </row>
    <row r="26" spans="1:35" ht="15" customHeight="1">
      <c r="A26" s="58"/>
      <c r="B26" s="56"/>
      <c r="C26" s="58" t="s">
        <v>19</v>
      </c>
      <c r="N26" s="241">
        <f ca="1">Messdaten!I6</f>
        <v>7.1255394299299049</v>
      </c>
      <c r="O26" s="241"/>
      <c r="P26" s="241"/>
      <c r="Q26" s="241"/>
      <c r="R26" s="76" t="s">
        <v>8</v>
      </c>
      <c r="S26" s="76"/>
      <c r="W26" s="227" t="str">
        <f>Messdaten!N3</f>
        <v>r10:</v>
      </c>
      <c r="X26" s="228"/>
      <c r="Y26" s="228"/>
      <c r="Z26" s="229">
        <f ca="1">Messdaten!O3</f>
        <v>0</v>
      </c>
      <c r="AA26" s="229"/>
      <c r="AB26" s="229"/>
      <c r="AC26" s="227" t="str">
        <f>Messdaten!N7</f>
        <v>Mittelwert r10 -15</v>
      </c>
      <c r="AD26" s="227"/>
      <c r="AE26" s="227"/>
      <c r="AF26" s="229" t="e">
        <f ca="1">Messdaten!O7</f>
        <v>#N/A</v>
      </c>
      <c r="AG26" s="229"/>
      <c r="AH26" s="229"/>
      <c r="AI26" s="59"/>
    </row>
    <row r="27" spans="1:35" ht="15" customHeight="1">
      <c r="A27" s="58"/>
      <c r="B27" s="67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130"/>
      <c r="X27" s="130"/>
      <c r="Y27" s="137" t="str">
        <f>Messdaten!N4</f>
        <v>r15:</v>
      </c>
      <c r="Z27" s="229">
        <f ca="1">Messdaten!O4</f>
        <v>0</v>
      </c>
      <c r="AA27" s="229"/>
      <c r="AB27" s="229"/>
      <c r="AC27" s="231" t="str">
        <f>Messdaten!P7</f>
        <v>rinkrementell</v>
      </c>
      <c r="AD27" s="232"/>
      <c r="AE27" s="233"/>
      <c r="AF27" s="230" t="e">
        <f ca="1">Messdaten!Q7</f>
        <v>#VALUE!</v>
      </c>
      <c r="AG27" s="230"/>
      <c r="AH27" s="230"/>
      <c r="AI27" s="72"/>
    </row>
    <row r="28" spans="1:35" ht="15" customHeight="1">
      <c r="A28" s="58"/>
      <c r="B28" s="61"/>
      <c r="C28" s="54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54"/>
      <c r="AI28" s="55"/>
    </row>
    <row r="29" spans="1:35" ht="15" customHeight="1">
      <c r="B29" s="63"/>
      <c r="C29" s="69" t="s">
        <v>62</v>
      </c>
      <c r="Q29" s="58"/>
      <c r="R29" s="58"/>
      <c r="S29" s="58"/>
      <c r="AI29" s="59"/>
    </row>
    <row r="30" spans="1:35" ht="15" customHeight="1">
      <c r="B30" s="63"/>
      <c r="Q30" s="58"/>
      <c r="R30" s="58"/>
      <c r="S30" s="58"/>
      <c r="AI30" s="59"/>
    </row>
    <row r="31" spans="1:35" ht="15" customHeight="1">
      <c r="B31" s="63"/>
      <c r="C31" s="65" t="s">
        <v>111</v>
      </c>
      <c r="D31" s="58"/>
      <c r="E31" s="58"/>
      <c r="F31" s="58"/>
      <c r="G31" s="58"/>
      <c r="H31" s="58"/>
      <c r="I31" s="58"/>
      <c r="N31" s="108"/>
      <c r="O31" s="240">
        <f>Messdaten!K2</f>
        <v>397</v>
      </c>
      <c r="P31" s="240"/>
      <c r="Q31" s="240"/>
      <c r="R31" s="76" t="s">
        <v>63</v>
      </c>
      <c r="S31" s="76"/>
      <c r="U31" s="138" t="s">
        <v>52</v>
      </c>
      <c r="AI31" s="59"/>
    </row>
    <row r="32" spans="1:35" ht="15" customHeight="1">
      <c r="B32" s="63"/>
      <c r="C32" s="65" t="s">
        <v>106</v>
      </c>
      <c r="D32" s="58"/>
      <c r="E32" s="58"/>
      <c r="F32" s="58"/>
      <c r="G32" s="58"/>
      <c r="H32" s="58"/>
      <c r="I32" s="58"/>
      <c r="N32" s="108"/>
      <c r="O32" s="240">
        <f>Messdaten!K3</f>
        <v>369.1894736842105</v>
      </c>
      <c r="P32" s="240"/>
      <c r="Q32" s="240"/>
      <c r="R32" s="76" t="s">
        <v>63</v>
      </c>
      <c r="S32" s="76"/>
      <c r="U32" s="118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59"/>
    </row>
    <row r="33" spans="2:35" ht="15" customHeight="1">
      <c r="B33" s="63"/>
      <c r="C33" s="65" t="s">
        <v>110</v>
      </c>
      <c r="D33" s="58"/>
      <c r="E33" s="58"/>
      <c r="F33" s="58"/>
      <c r="G33" s="58"/>
      <c r="H33" s="58"/>
      <c r="I33" s="58"/>
      <c r="N33" s="105"/>
      <c r="O33" s="242">
        <f ca="1">Messdaten!M4</f>
        <v>47.503596199532701</v>
      </c>
      <c r="P33" s="242"/>
      <c r="Q33" s="242"/>
      <c r="R33" s="76" t="s">
        <v>64</v>
      </c>
      <c r="S33" s="76"/>
      <c r="T33" s="58"/>
      <c r="AC33" s="106"/>
      <c r="AD33" s="106"/>
      <c r="AE33" s="106"/>
      <c r="AF33" s="106"/>
      <c r="AG33" s="106"/>
      <c r="AI33" s="59"/>
    </row>
    <row r="34" spans="2:35" ht="15" customHeight="1">
      <c r="B34" s="63"/>
      <c r="C34" s="58" t="s">
        <v>65</v>
      </c>
      <c r="D34" s="58"/>
      <c r="E34" s="58"/>
      <c r="F34" s="58"/>
      <c r="G34" s="58"/>
      <c r="H34" s="58"/>
      <c r="I34" s="58"/>
      <c r="J34" s="58"/>
      <c r="M34" s="86"/>
      <c r="O34" s="242">
        <f ca="1">Messdaten!M2</f>
        <v>47.503526323513974</v>
      </c>
      <c r="P34" s="242"/>
      <c r="Q34" s="242"/>
      <c r="R34" s="76" t="s">
        <v>64</v>
      </c>
      <c r="S34" s="76"/>
      <c r="AI34" s="59"/>
    </row>
    <row r="35" spans="2:35" ht="15" customHeight="1">
      <c r="B35" s="63"/>
      <c r="C35" s="58" t="s">
        <v>18</v>
      </c>
      <c r="D35" s="58"/>
      <c r="E35" s="58"/>
      <c r="F35" s="58"/>
      <c r="G35" s="58"/>
      <c r="H35" s="58"/>
      <c r="I35" s="58"/>
      <c r="N35" s="105"/>
      <c r="O35" s="242">
        <f>Messdaten!M6</f>
        <v>73.15789473684211</v>
      </c>
      <c r="P35" s="242"/>
      <c r="Q35" s="242"/>
      <c r="R35" s="76" t="s">
        <v>64</v>
      </c>
      <c r="S35" s="76"/>
      <c r="AI35" s="59"/>
    </row>
    <row r="36" spans="2:35" ht="15" customHeight="1">
      <c r="B36" s="63"/>
      <c r="C36" s="58" t="s">
        <v>66</v>
      </c>
      <c r="D36" s="58"/>
      <c r="E36" s="58"/>
      <c r="F36" s="58"/>
      <c r="G36" s="58"/>
      <c r="H36" s="58"/>
      <c r="I36" s="58"/>
      <c r="K36" s="58"/>
      <c r="N36" s="108"/>
      <c r="O36" s="240">
        <f>Messdaten!I9</f>
        <v>147722.49261044693</v>
      </c>
      <c r="P36" s="240"/>
      <c r="Q36" s="240"/>
      <c r="R36" s="76" t="s">
        <v>63</v>
      </c>
      <c r="S36" s="76"/>
      <c r="AI36" s="59"/>
    </row>
    <row r="37" spans="2:35" ht="15" customHeight="1">
      <c r="B37" s="67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72"/>
    </row>
    <row r="38" spans="2:35" ht="15" customHeight="1">
      <c r="B38" s="63"/>
      <c r="AI38" s="59"/>
    </row>
    <row r="39" spans="2:35" ht="15" customHeight="1">
      <c r="B39" s="63"/>
      <c r="AI39" s="59"/>
    </row>
    <row r="40" spans="2:35" ht="15" customHeight="1">
      <c r="B40" s="56"/>
      <c r="C40" s="64"/>
      <c r="AI40" s="59"/>
    </row>
    <row r="41" spans="2:35" ht="15" customHeight="1">
      <c r="B41" s="56"/>
      <c r="AI41" s="59"/>
    </row>
    <row r="42" spans="2:35" ht="15" customHeight="1">
      <c r="B42" s="56"/>
      <c r="AI42" s="59"/>
    </row>
    <row r="43" spans="2:35" ht="15" customHeight="1">
      <c r="B43" s="56"/>
      <c r="AI43" s="59"/>
    </row>
    <row r="44" spans="2:35" ht="15" customHeight="1">
      <c r="B44" s="56"/>
      <c r="AI44" s="59"/>
    </row>
    <row r="45" spans="2:35" ht="15" customHeight="1">
      <c r="B45" s="56"/>
      <c r="AI45" s="59"/>
    </row>
    <row r="46" spans="2:35" ht="15" customHeight="1">
      <c r="B46" s="56"/>
      <c r="AI46" s="59"/>
    </row>
    <row r="47" spans="2:35" ht="15" customHeight="1">
      <c r="B47" s="56"/>
      <c r="AI47" s="59"/>
    </row>
    <row r="48" spans="2:35" ht="15" customHeight="1">
      <c r="B48" s="56"/>
      <c r="AI48" s="59"/>
    </row>
    <row r="49" spans="2:35" ht="15" customHeight="1">
      <c r="B49" s="56"/>
      <c r="AI49" s="59"/>
    </row>
    <row r="50" spans="2:35" ht="15" customHeight="1">
      <c r="B50" s="56"/>
      <c r="AI50" s="59"/>
    </row>
    <row r="51" spans="2:35" ht="15" customHeight="1">
      <c r="B51" s="56"/>
      <c r="AI51" s="59"/>
    </row>
    <row r="52" spans="2:35" ht="15" customHeight="1">
      <c r="B52" s="56"/>
      <c r="AI52" s="59"/>
    </row>
    <row r="53" spans="2:35" ht="15" customHeight="1">
      <c r="B53" s="56"/>
      <c r="AI53" s="59"/>
    </row>
    <row r="54" spans="2:35" ht="15" customHeight="1">
      <c r="B54" s="56"/>
      <c r="AI54" s="59"/>
    </row>
    <row r="55" spans="2:35" ht="15" customHeight="1">
      <c r="B55" s="71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72"/>
    </row>
    <row r="56" spans="2:35" ht="15" customHeight="1"/>
  </sheetData>
  <mergeCells count="49">
    <mergeCell ref="M15:O15"/>
    <mergeCell ref="M14:O14"/>
    <mergeCell ref="N20:Q20"/>
    <mergeCell ref="N24:Q24"/>
    <mergeCell ref="O35:Q35"/>
    <mergeCell ref="M16:O16"/>
    <mergeCell ref="P14:Q14"/>
    <mergeCell ref="N25:Q25"/>
    <mergeCell ref="M22:Q22"/>
    <mergeCell ref="M23:Q23"/>
    <mergeCell ref="N21:Q21"/>
    <mergeCell ref="O36:Q36"/>
    <mergeCell ref="N26:Q26"/>
    <mergeCell ref="O32:Q32"/>
    <mergeCell ref="O33:Q33"/>
    <mergeCell ref="O34:Q34"/>
    <mergeCell ref="O31:Q31"/>
    <mergeCell ref="C7:G7"/>
    <mergeCell ref="C12:S12"/>
    <mergeCell ref="O7:T7"/>
    <mergeCell ref="O8:T8"/>
    <mergeCell ref="C6:E6"/>
    <mergeCell ref="F6:M6"/>
    <mergeCell ref="H7:M7"/>
    <mergeCell ref="I8:M8"/>
    <mergeCell ref="C8:G8"/>
    <mergeCell ref="O6:S6"/>
    <mergeCell ref="J9:M9"/>
    <mergeCell ref="AC25:AE25"/>
    <mergeCell ref="W25:Y25"/>
    <mergeCell ref="AD6:AH6"/>
    <mergeCell ref="AE7:AH7"/>
    <mergeCell ref="AA7:AD7"/>
    <mergeCell ref="Z20:AC20"/>
    <mergeCell ref="AF25:AH25"/>
    <mergeCell ref="Z25:AB25"/>
    <mergeCell ref="U8:Y8"/>
    <mergeCell ref="Z12:AD12"/>
    <mergeCell ref="U7:Y7"/>
    <mergeCell ref="AA6:AC6"/>
    <mergeCell ref="U6:Y6"/>
    <mergeCell ref="AH16:AI16"/>
    <mergeCell ref="W26:Y26"/>
    <mergeCell ref="AF26:AH26"/>
    <mergeCell ref="Z26:AB26"/>
    <mergeCell ref="AC26:AE26"/>
    <mergeCell ref="AF27:AH27"/>
    <mergeCell ref="AC27:AE27"/>
    <mergeCell ref="Z27:AB27"/>
  </mergeCells>
  <phoneticPr fontId="4" type="noConversion"/>
  <pageMargins left="0.78740157480314965" right="0.19685039370078741" top="0.47244094488188981" bottom="0.47244094488188981" header="0.51181102362204722" footer="0.51181102362204722"/>
  <pageSetup paperSize="9" scale="94" orientation="portrait" r:id="rId1"/>
  <headerFooter alignWithMargins="0">
    <oddFooter>&amp;R&amp;8Ersteller: Fe, 30.11.07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CJ56"/>
  <sheetViews>
    <sheetView zoomScale="75" workbookViewId="0">
      <selection activeCell="W51" sqref="W51"/>
    </sheetView>
  </sheetViews>
  <sheetFormatPr defaultColWidth="0" defaultRowHeight="15" customHeight="1" zeroHeight="1"/>
  <cols>
    <col min="1" max="37" width="2.6640625" style="49" customWidth="1"/>
    <col min="38" max="88" width="2.6640625" style="49" hidden="1" customWidth="1"/>
    <col min="89" max="16384" width="11.44140625" style="49" hidden="1"/>
  </cols>
  <sheetData>
    <row r="1" spans="2:35" ht="15" customHeight="1"/>
    <row r="2" spans="2:35" ht="11.25" customHeight="1"/>
    <row r="3" spans="2:35" ht="21">
      <c r="B3" s="50" t="s">
        <v>57</v>
      </c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</row>
    <row r="4" spans="2:35" ht="15" customHeight="1">
      <c r="B4" s="50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</row>
    <row r="5" spans="2:35" ht="15" customHeight="1">
      <c r="B5" s="53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5"/>
    </row>
    <row r="6" spans="2:35" ht="15" customHeight="1">
      <c r="B6" s="56"/>
      <c r="C6" s="183" t="s">
        <v>0</v>
      </c>
      <c r="D6" s="183"/>
      <c r="E6" s="183"/>
      <c r="F6" s="191" t="str">
        <f>Basisdaten!F6</f>
        <v>Projekt_1</v>
      </c>
      <c r="G6" s="191"/>
      <c r="H6" s="191"/>
      <c r="I6" s="191"/>
      <c r="J6" s="191"/>
      <c r="K6" s="191"/>
      <c r="L6" s="191"/>
      <c r="M6" s="191"/>
      <c r="N6" s="58"/>
      <c r="O6" s="183" t="s">
        <v>1</v>
      </c>
      <c r="P6" s="183"/>
      <c r="Q6" s="183"/>
      <c r="R6" s="183"/>
      <c r="S6" s="183"/>
      <c r="T6" s="57"/>
      <c r="U6" s="191" t="str">
        <f>Basisdaten!U6</f>
        <v>Fe</v>
      </c>
      <c r="V6" s="191"/>
      <c r="W6" s="191"/>
      <c r="X6" s="191"/>
      <c r="Y6" s="191"/>
      <c r="Z6" s="58"/>
      <c r="AA6" s="183" t="s">
        <v>2</v>
      </c>
      <c r="AB6" s="183"/>
      <c r="AC6" s="183"/>
      <c r="AD6" s="184">
        <f>Basisdaten!AD6</f>
        <v>42654</v>
      </c>
      <c r="AE6" s="184"/>
      <c r="AF6" s="184"/>
      <c r="AG6" s="184"/>
      <c r="AH6" s="184"/>
      <c r="AI6" s="59"/>
    </row>
    <row r="7" spans="2:35" ht="15" customHeight="1">
      <c r="B7" s="56"/>
      <c r="C7" s="202" t="s">
        <v>3</v>
      </c>
      <c r="D7" s="202"/>
      <c r="E7" s="202"/>
      <c r="F7" s="202"/>
      <c r="G7" s="202"/>
      <c r="H7" s="190" t="str">
        <f>Basisdaten!H7</f>
        <v>Werkstoff_1</v>
      </c>
      <c r="I7" s="190"/>
      <c r="J7" s="190"/>
      <c r="K7" s="190"/>
      <c r="L7" s="190"/>
      <c r="M7" s="190"/>
      <c r="N7" s="58"/>
      <c r="O7" s="202" t="s">
        <v>4</v>
      </c>
      <c r="P7" s="202"/>
      <c r="Q7" s="202"/>
      <c r="R7" s="202"/>
      <c r="S7" s="202"/>
      <c r="T7" s="239"/>
      <c r="U7" s="191">
        <f>Basisdaten!U7</f>
        <v>123456</v>
      </c>
      <c r="V7" s="191"/>
      <c r="W7" s="191"/>
      <c r="X7" s="191"/>
      <c r="Y7" s="191"/>
      <c r="Z7" s="58"/>
      <c r="AA7" s="202" t="s">
        <v>5</v>
      </c>
      <c r="AB7" s="202"/>
      <c r="AC7" s="202"/>
      <c r="AD7" s="202"/>
      <c r="AE7" s="190" t="str">
        <f>Basisdaten!AE7</f>
        <v>Fz 10x20</v>
      </c>
      <c r="AF7" s="190"/>
      <c r="AG7" s="190"/>
      <c r="AH7" s="190"/>
      <c r="AI7" s="59"/>
    </row>
    <row r="8" spans="2:35" ht="15" customHeight="1">
      <c r="B8" s="56"/>
      <c r="C8" s="202" t="s">
        <v>6</v>
      </c>
      <c r="D8" s="202"/>
      <c r="E8" s="202"/>
      <c r="F8" s="202"/>
      <c r="G8" s="202"/>
      <c r="I8" s="190" t="str">
        <f>Basisdaten!H8</f>
        <v>M_1</v>
      </c>
      <c r="J8" s="190"/>
      <c r="K8" s="190"/>
      <c r="L8" s="190"/>
      <c r="M8" s="190"/>
      <c r="N8" s="58"/>
      <c r="O8" s="202" t="s">
        <v>7</v>
      </c>
      <c r="P8" s="202"/>
      <c r="Q8" s="202"/>
      <c r="R8" s="202"/>
      <c r="S8" s="202"/>
      <c r="T8" s="239"/>
      <c r="U8" s="185">
        <f>Basisdaten!U8</f>
        <v>25</v>
      </c>
      <c r="V8" s="185"/>
      <c r="W8" s="185"/>
      <c r="X8" s="185"/>
      <c r="Y8" s="185"/>
      <c r="Z8" s="58"/>
      <c r="AA8" s="60">
        <f>Basisdaten!AA8</f>
        <v>0</v>
      </c>
      <c r="AB8" s="89"/>
      <c r="AC8" s="89"/>
      <c r="AD8" s="89"/>
      <c r="AE8" s="78"/>
      <c r="AF8" s="78"/>
      <c r="AG8" s="78"/>
      <c r="AH8" s="78"/>
      <c r="AI8" s="59"/>
    </row>
    <row r="9" spans="2:35" ht="15" customHeight="1">
      <c r="B9" s="77"/>
      <c r="C9" s="78" t="s">
        <v>58</v>
      </c>
      <c r="D9" s="60"/>
      <c r="E9" s="60"/>
      <c r="F9" s="60"/>
      <c r="G9" s="60"/>
      <c r="H9" s="60"/>
      <c r="I9" s="60"/>
      <c r="J9" s="201">
        <f>Basisdaten!J9</f>
        <v>0.02</v>
      </c>
      <c r="K9" s="201"/>
      <c r="L9" s="201"/>
      <c r="M9" s="201"/>
      <c r="N9" s="76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76"/>
      <c r="AA9" s="60"/>
      <c r="AB9" s="60"/>
      <c r="AC9" s="60"/>
      <c r="AD9" s="60"/>
      <c r="AE9" s="60"/>
      <c r="AF9" s="60"/>
      <c r="AG9" s="60"/>
      <c r="AH9" s="60"/>
      <c r="AI9" s="79"/>
    </row>
    <row r="10" spans="2:35" ht="15" customHeight="1">
      <c r="B10" s="6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68"/>
    </row>
    <row r="11" spans="2:35" ht="15" customHeight="1">
      <c r="B11" s="63"/>
      <c r="T11" s="58"/>
      <c r="AI11" s="59"/>
    </row>
    <row r="12" spans="2:35" ht="15" customHeight="1">
      <c r="B12" s="63"/>
      <c r="C12" s="196"/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58"/>
      <c r="Z12" s="87"/>
      <c r="AA12" s="246"/>
      <c r="AB12" s="246"/>
      <c r="AC12" s="246"/>
      <c r="AI12" s="59"/>
    </row>
    <row r="13" spans="2:35" s="58" customFormat="1" ht="15" customHeight="1">
      <c r="B13" s="63"/>
      <c r="D13" s="65"/>
      <c r="E13" s="65"/>
      <c r="F13" s="65"/>
      <c r="G13" s="65"/>
      <c r="H13" s="65"/>
      <c r="I13" s="65"/>
      <c r="J13" s="65"/>
      <c r="K13" s="65"/>
      <c r="AI13" s="66"/>
    </row>
    <row r="14" spans="2:35" s="58" customFormat="1" ht="15" customHeight="1">
      <c r="B14" s="63"/>
      <c r="C14" s="65"/>
      <c r="D14" s="65"/>
      <c r="E14" s="65"/>
      <c r="F14" s="65"/>
      <c r="G14" s="65"/>
      <c r="H14" s="65"/>
      <c r="I14" s="65"/>
      <c r="J14" s="65"/>
      <c r="K14" s="65"/>
      <c r="M14" s="228"/>
      <c r="N14" s="228"/>
      <c r="O14" s="228"/>
      <c r="P14" s="243"/>
      <c r="Q14" s="243"/>
      <c r="AI14" s="66"/>
    </row>
    <row r="15" spans="2:35" s="58" customFormat="1" ht="15" customHeight="1">
      <c r="B15" s="63"/>
      <c r="C15" s="65"/>
      <c r="M15" s="242"/>
      <c r="N15" s="242"/>
      <c r="O15" s="242"/>
      <c r="P15" s="76"/>
      <c r="Q15" s="76"/>
      <c r="AI15" s="66"/>
    </row>
    <row r="16" spans="2:35" s="58" customFormat="1" ht="15" customHeight="1">
      <c r="B16" s="63"/>
      <c r="K16" s="49"/>
      <c r="L16" s="194"/>
      <c r="M16" s="194"/>
      <c r="N16" s="194"/>
      <c r="O16" s="194"/>
      <c r="P16" s="237"/>
      <c r="Q16" s="237"/>
      <c r="Y16" s="49"/>
      <c r="Z16" s="87"/>
      <c r="AA16" s="246"/>
      <c r="AB16" s="246"/>
      <c r="AC16" s="246"/>
      <c r="AI16" s="66"/>
    </row>
    <row r="17" spans="1:35" s="58" customFormat="1" ht="15" customHeight="1">
      <c r="B17" s="63"/>
      <c r="AI17" s="66"/>
    </row>
    <row r="18" spans="1:35" s="58" customFormat="1" ht="15" customHeight="1">
      <c r="B18" s="63"/>
      <c r="D18" s="69"/>
      <c r="E18" s="69"/>
      <c r="F18" s="69"/>
      <c r="G18" s="69"/>
      <c r="H18" s="69"/>
      <c r="I18" s="69"/>
      <c r="J18" s="69"/>
      <c r="K18" s="69"/>
      <c r="L18" s="69"/>
      <c r="AI18" s="66"/>
    </row>
    <row r="19" spans="1:35" s="58" customFormat="1" ht="15" customHeight="1">
      <c r="B19" s="63"/>
      <c r="C19" s="69"/>
      <c r="AI19" s="66"/>
    </row>
    <row r="20" spans="1:35" s="58" customFormat="1" ht="15" customHeight="1">
      <c r="B20" s="63"/>
      <c r="D20" s="65"/>
      <c r="E20" s="65"/>
      <c r="F20" s="65"/>
      <c r="G20" s="65"/>
      <c r="H20" s="65"/>
      <c r="I20" s="65"/>
      <c r="J20" s="65"/>
      <c r="K20" s="65"/>
      <c r="L20" s="82"/>
      <c r="AI20" s="66"/>
    </row>
    <row r="21" spans="1:35" s="58" customFormat="1" ht="15" customHeight="1">
      <c r="B21" s="63"/>
      <c r="C21" s="88"/>
      <c r="D21" s="65"/>
      <c r="E21" s="65"/>
      <c r="F21" s="65"/>
      <c r="G21" s="65"/>
      <c r="H21" s="65"/>
      <c r="I21" s="65"/>
      <c r="J21" s="65"/>
      <c r="K21" s="65"/>
      <c r="L21" s="65"/>
      <c r="M21" s="241"/>
      <c r="N21" s="241"/>
      <c r="O21" s="241"/>
      <c r="P21" s="241"/>
      <c r="Q21" s="241"/>
      <c r="R21" s="243"/>
      <c r="S21" s="243"/>
      <c r="AI21" s="66"/>
    </row>
    <row r="22" spans="1:35" s="58" customFormat="1" ht="15" customHeight="1">
      <c r="B22" s="63"/>
      <c r="C22" s="88"/>
      <c r="D22" s="65"/>
      <c r="E22" s="65"/>
      <c r="F22" s="65"/>
      <c r="G22" s="65"/>
      <c r="H22" s="65"/>
      <c r="I22" s="65"/>
      <c r="J22" s="65"/>
      <c r="K22" s="70"/>
      <c r="M22" s="241"/>
      <c r="N22" s="241"/>
      <c r="O22" s="241"/>
      <c r="P22" s="241"/>
      <c r="Q22" s="241"/>
      <c r="R22" s="76"/>
      <c r="S22" s="76"/>
      <c r="AI22" s="66"/>
    </row>
    <row r="23" spans="1:35" ht="15" customHeight="1">
      <c r="B23" s="56"/>
      <c r="C23" s="58"/>
      <c r="D23" s="58"/>
      <c r="E23" s="58"/>
      <c r="F23" s="58"/>
      <c r="G23" s="58"/>
      <c r="H23" s="58"/>
      <c r="I23" s="58"/>
      <c r="K23" s="58"/>
      <c r="M23" s="241"/>
      <c r="N23" s="241"/>
      <c r="O23" s="241"/>
      <c r="P23" s="241"/>
      <c r="Q23" s="241"/>
      <c r="R23" s="76"/>
      <c r="S23" s="76"/>
      <c r="AH23" s="83"/>
      <c r="AI23" s="84"/>
    </row>
    <row r="24" spans="1:35" ht="15" customHeight="1">
      <c r="B24" s="56"/>
      <c r="C24" s="58"/>
      <c r="D24" s="58"/>
      <c r="E24" s="58"/>
      <c r="F24" s="58"/>
      <c r="G24" s="58"/>
      <c r="H24" s="58"/>
      <c r="I24" s="58"/>
      <c r="J24" s="58"/>
      <c r="L24" s="83"/>
      <c r="M24" s="241"/>
      <c r="N24" s="241"/>
      <c r="O24" s="241"/>
      <c r="P24" s="241"/>
      <c r="Q24" s="241"/>
      <c r="R24" s="76"/>
      <c r="S24" s="76"/>
      <c r="AI24" s="59"/>
    </row>
    <row r="25" spans="1:35" ht="15" customHeight="1">
      <c r="B25" s="56"/>
      <c r="C25" s="58"/>
      <c r="M25" s="241"/>
      <c r="N25" s="241"/>
      <c r="O25" s="241"/>
      <c r="P25" s="241"/>
      <c r="Q25" s="241"/>
      <c r="R25" s="76"/>
      <c r="S25" s="76"/>
      <c r="AI25" s="59"/>
    </row>
    <row r="26" spans="1:35" ht="15" customHeight="1">
      <c r="A26" s="58"/>
      <c r="B26" s="56"/>
      <c r="C26" s="58"/>
      <c r="M26" s="241"/>
      <c r="N26" s="241"/>
      <c r="O26" s="241"/>
      <c r="P26" s="241"/>
      <c r="Q26" s="241"/>
      <c r="R26" s="76"/>
      <c r="S26" s="76"/>
      <c r="AI26" s="59"/>
    </row>
    <row r="27" spans="1:35" ht="15" customHeight="1">
      <c r="A27" s="58"/>
      <c r="B27" s="56"/>
      <c r="F27" s="58"/>
      <c r="G27" s="58"/>
      <c r="H27" s="58"/>
      <c r="I27" s="58"/>
      <c r="K27" s="58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I27" s="59"/>
    </row>
    <row r="28" spans="1:35" ht="15" customHeight="1">
      <c r="A28" s="58"/>
      <c r="B28" s="56"/>
      <c r="AI28" s="59"/>
    </row>
    <row r="29" spans="1:35" ht="15" customHeight="1">
      <c r="B29" s="67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72"/>
    </row>
    <row r="30" spans="1:35" ht="15" customHeight="1">
      <c r="B30" s="61"/>
      <c r="C30" s="54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54"/>
      <c r="AI30" s="55"/>
    </row>
    <row r="31" spans="1:35" ht="15" customHeight="1">
      <c r="B31" s="63"/>
      <c r="C31" s="73"/>
      <c r="Q31" s="58"/>
      <c r="R31" s="58"/>
      <c r="S31" s="58"/>
      <c r="AI31" s="59"/>
    </row>
    <row r="32" spans="1:35" ht="15" customHeight="1">
      <c r="B32" s="63"/>
      <c r="Q32" s="58"/>
      <c r="R32" s="58"/>
      <c r="S32" s="58"/>
      <c r="AI32" s="59"/>
    </row>
    <row r="33" spans="2:35" ht="15" customHeight="1">
      <c r="B33" s="63"/>
      <c r="C33" s="58"/>
      <c r="D33" s="58"/>
      <c r="E33" s="58"/>
      <c r="F33" s="58"/>
      <c r="G33" s="58"/>
      <c r="H33" s="58"/>
      <c r="I33" s="58"/>
      <c r="M33" s="240"/>
      <c r="N33" s="240"/>
      <c r="O33" s="240"/>
      <c r="P33" s="240"/>
      <c r="Q33" s="240"/>
      <c r="R33" s="243"/>
      <c r="S33" s="243"/>
      <c r="U33" s="65"/>
      <c r="AI33" s="59"/>
    </row>
    <row r="34" spans="2:35" ht="15" customHeight="1">
      <c r="B34" s="63"/>
      <c r="C34" s="58"/>
      <c r="D34" s="58"/>
      <c r="E34" s="58"/>
      <c r="F34" s="58"/>
      <c r="G34" s="58"/>
      <c r="H34" s="58"/>
      <c r="I34" s="58"/>
      <c r="M34" s="240"/>
      <c r="N34" s="240"/>
      <c r="O34" s="240"/>
      <c r="P34" s="240"/>
      <c r="Q34" s="240"/>
      <c r="R34" s="243"/>
      <c r="S34" s="243"/>
      <c r="U34" s="245"/>
      <c r="V34" s="245"/>
      <c r="W34" s="245"/>
      <c r="X34" s="245"/>
      <c r="Y34" s="245"/>
      <c r="Z34" s="245"/>
      <c r="AA34" s="245"/>
      <c r="AB34" s="245"/>
      <c r="AC34" s="245"/>
      <c r="AD34" s="245"/>
      <c r="AE34" s="245"/>
      <c r="AF34" s="245"/>
      <c r="AG34" s="245"/>
      <c r="AH34" s="245"/>
      <c r="AI34" s="59"/>
    </row>
    <row r="35" spans="2:35" ht="15" customHeight="1">
      <c r="B35" s="63"/>
      <c r="C35" s="58"/>
      <c r="D35" s="58"/>
      <c r="E35" s="58"/>
      <c r="F35" s="58"/>
      <c r="G35" s="58"/>
      <c r="H35" s="58"/>
      <c r="I35" s="58"/>
      <c r="M35" s="242"/>
      <c r="N35" s="242"/>
      <c r="O35" s="242"/>
      <c r="P35" s="242"/>
      <c r="Q35" s="242"/>
      <c r="R35" s="243"/>
      <c r="S35" s="243"/>
      <c r="T35" s="58"/>
      <c r="AC35" s="244"/>
      <c r="AD35" s="244"/>
      <c r="AE35" s="244"/>
      <c r="AF35" s="244"/>
      <c r="AG35" s="244"/>
      <c r="AI35" s="59"/>
    </row>
    <row r="36" spans="2:35" ht="15" customHeight="1">
      <c r="B36" s="63"/>
      <c r="C36" s="58"/>
      <c r="D36" s="58"/>
      <c r="E36" s="58"/>
      <c r="F36" s="58"/>
      <c r="G36" s="58"/>
      <c r="H36" s="58"/>
      <c r="I36" s="58"/>
      <c r="J36" s="58"/>
      <c r="M36" s="86"/>
      <c r="N36" s="242"/>
      <c r="O36" s="242"/>
      <c r="P36" s="242"/>
      <c r="Q36" s="242"/>
      <c r="R36" s="243"/>
      <c r="S36" s="243"/>
      <c r="AI36" s="59"/>
    </row>
    <row r="37" spans="2:35" ht="15" customHeight="1">
      <c r="B37" s="63"/>
      <c r="C37" s="58"/>
      <c r="D37" s="58"/>
      <c r="E37" s="58"/>
      <c r="F37" s="58"/>
      <c r="G37" s="58"/>
      <c r="H37" s="58"/>
      <c r="I37" s="58"/>
      <c r="M37" s="242"/>
      <c r="N37" s="242"/>
      <c r="O37" s="242"/>
      <c r="P37" s="242"/>
      <c r="Q37" s="242"/>
      <c r="R37" s="243"/>
      <c r="S37" s="243"/>
      <c r="AI37" s="59"/>
    </row>
    <row r="38" spans="2:35" ht="15" customHeight="1">
      <c r="B38" s="63"/>
      <c r="C38" s="58"/>
      <c r="D38" s="58"/>
      <c r="E38" s="58"/>
      <c r="F38" s="58"/>
      <c r="G38" s="58"/>
      <c r="H38" s="58"/>
      <c r="I38" s="58"/>
      <c r="K38" s="58"/>
      <c r="M38" s="240"/>
      <c r="N38" s="240"/>
      <c r="O38" s="240"/>
      <c r="P38" s="240"/>
      <c r="Q38" s="240"/>
      <c r="R38" s="243"/>
      <c r="S38" s="243"/>
      <c r="AI38" s="59"/>
    </row>
    <row r="39" spans="2:35" ht="15" customHeight="1">
      <c r="B39" s="63"/>
      <c r="AI39" s="59"/>
    </row>
    <row r="40" spans="2:35" ht="15" customHeight="1">
      <c r="B40" s="56"/>
      <c r="C40" s="64"/>
      <c r="AI40" s="59"/>
    </row>
    <row r="41" spans="2:35" ht="15" customHeight="1">
      <c r="B41" s="56"/>
      <c r="AI41" s="59"/>
    </row>
    <row r="42" spans="2:35" ht="15" customHeight="1">
      <c r="B42" s="56"/>
      <c r="AI42" s="59"/>
    </row>
    <row r="43" spans="2:35" ht="15" customHeight="1">
      <c r="B43" s="56"/>
      <c r="AI43" s="59"/>
    </row>
    <row r="44" spans="2:35" ht="15" customHeight="1">
      <c r="B44" s="56"/>
      <c r="AI44" s="59"/>
    </row>
    <row r="45" spans="2:35" ht="15" customHeight="1">
      <c r="B45" s="56"/>
      <c r="AI45" s="59"/>
    </row>
    <row r="46" spans="2:35" ht="15" customHeight="1">
      <c r="B46" s="56"/>
      <c r="AI46" s="59"/>
    </row>
    <row r="47" spans="2:35" ht="15" customHeight="1">
      <c r="B47" s="56"/>
      <c r="AI47" s="59"/>
    </row>
    <row r="48" spans="2:35" ht="15" customHeight="1">
      <c r="B48" s="56"/>
      <c r="AI48" s="59"/>
    </row>
    <row r="49" spans="2:35" ht="15" customHeight="1">
      <c r="B49" s="56"/>
      <c r="AI49" s="59"/>
    </row>
    <row r="50" spans="2:35" ht="15" customHeight="1">
      <c r="B50" s="56"/>
      <c r="AI50" s="59"/>
    </row>
    <row r="51" spans="2:35" ht="15" customHeight="1">
      <c r="B51" s="56"/>
      <c r="AI51" s="59"/>
    </row>
    <row r="52" spans="2:35" ht="15" customHeight="1">
      <c r="B52" s="56"/>
      <c r="AI52" s="59"/>
    </row>
    <row r="53" spans="2:35" ht="15" customHeight="1">
      <c r="B53" s="56"/>
      <c r="AI53" s="59"/>
    </row>
    <row r="54" spans="2:35" ht="15" customHeight="1">
      <c r="B54" s="56"/>
      <c r="AI54" s="59"/>
    </row>
    <row r="55" spans="2:35" ht="15" customHeight="1">
      <c r="B55" s="71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72"/>
    </row>
    <row r="56" spans="2:35" ht="15" customHeight="1"/>
  </sheetData>
  <mergeCells count="46">
    <mergeCell ref="AD6:AH6"/>
    <mergeCell ref="AE7:AH7"/>
    <mergeCell ref="AA7:AD7"/>
    <mergeCell ref="AA16:AC16"/>
    <mergeCell ref="P16:Q16"/>
    <mergeCell ref="U7:Y7"/>
    <mergeCell ref="AA6:AC6"/>
    <mergeCell ref="C12:S12"/>
    <mergeCell ref="C8:G8"/>
    <mergeCell ref="C7:G7"/>
    <mergeCell ref="C6:E6"/>
    <mergeCell ref="F6:M6"/>
    <mergeCell ref="U6:Y6"/>
    <mergeCell ref="AA12:AC12"/>
    <mergeCell ref="U8:Y8"/>
    <mergeCell ref="O8:T8"/>
    <mergeCell ref="O6:S6"/>
    <mergeCell ref="M21:Q21"/>
    <mergeCell ref="L16:O16"/>
    <mergeCell ref="O7:T7"/>
    <mergeCell ref="R21:S21"/>
    <mergeCell ref="H7:M7"/>
    <mergeCell ref="M14:O14"/>
    <mergeCell ref="M15:O15"/>
    <mergeCell ref="P14:Q14"/>
    <mergeCell ref="J9:M9"/>
    <mergeCell ref="I8:M8"/>
    <mergeCell ref="AC35:AG35"/>
    <mergeCell ref="R33:S33"/>
    <mergeCell ref="R34:S34"/>
    <mergeCell ref="U34:AH34"/>
    <mergeCell ref="M35:Q35"/>
    <mergeCell ref="R35:S35"/>
    <mergeCell ref="M33:Q33"/>
    <mergeCell ref="R38:S38"/>
    <mergeCell ref="M37:Q37"/>
    <mergeCell ref="M26:Q26"/>
    <mergeCell ref="M22:Q22"/>
    <mergeCell ref="M23:Q23"/>
    <mergeCell ref="M38:Q38"/>
    <mergeCell ref="N36:Q36"/>
    <mergeCell ref="M24:Q24"/>
    <mergeCell ref="M34:Q34"/>
    <mergeCell ref="R36:S36"/>
    <mergeCell ref="R37:S37"/>
    <mergeCell ref="M25:Q25"/>
  </mergeCells>
  <phoneticPr fontId="4" type="noConversion"/>
  <pageMargins left="0.78740157480314965" right="0.19685039370078741" top="0.47244094488188981" bottom="0.47244094488188981" header="0.51181102362204722" footer="0.51181102362204722"/>
  <pageSetup paperSize="9" scale="94" orientation="portrait" r:id="rId1"/>
  <headerFooter alignWithMargins="0">
    <oddFooter>&amp;R&amp;8Ersteller: Fe, 30.11.07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>
    <pageSetUpPr fitToPage="1"/>
  </sheetPr>
  <dimension ref="A1:CJ56"/>
  <sheetViews>
    <sheetView tabSelected="1" topLeftCell="A3" zoomScale="75" workbookViewId="0">
      <selection activeCell="I8" sqref="I8:M8"/>
    </sheetView>
  </sheetViews>
  <sheetFormatPr defaultColWidth="0" defaultRowHeight="15" customHeight="1" zeroHeight="1"/>
  <cols>
    <col min="1" max="37" width="2.6640625" style="49" customWidth="1"/>
    <col min="38" max="88" width="2.6640625" style="49" hidden="1" customWidth="1"/>
    <col min="89" max="16384" width="11.44140625" style="49" hidden="1"/>
  </cols>
  <sheetData>
    <row r="1" spans="2:35" ht="15" customHeight="1"/>
    <row r="2" spans="2:35" ht="11.25" customHeight="1"/>
    <row r="3" spans="2:35" ht="21">
      <c r="B3" s="50" t="s">
        <v>57</v>
      </c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</row>
    <row r="4" spans="2:35" ht="15" customHeight="1">
      <c r="B4" s="50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</row>
    <row r="5" spans="2:35" ht="15" customHeight="1">
      <c r="B5" s="53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5"/>
    </row>
    <row r="6" spans="2:35" ht="15" customHeight="1">
      <c r="B6" s="56"/>
      <c r="C6" s="183" t="s">
        <v>0</v>
      </c>
      <c r="D6" s="183"/>
      <c r="E6" s="183"/>
      <c r="F6" s="191" t="str">
        <f>Basisdaten!F6</f>
        <v>Projekt_1</v>
      </c>
      <c r="G6" s="191"/>
      <c r="H6" s="191"/>
      <c r="I6" s="191"/>
      <c r="J6" s="191"/>
      <c r="K6" s="191"/>
      <c r="L6" s="191"/>
      <c r="M6" s="191"/>
      <c r="N6" s="58"/>
      <c r="O6" s="183" t="s">
        <v>1</v>
      </c>
      <c r="P6" s="183"/>
      <c r="Q6" s="183"/>
      <c r="R6" s="183"/>
      <c r="S6" s="183"/>
      <c r="T6" s="57"/>
      <c r="U6" s="191" t="str">
        <f>Basisdaten!U6</f>
        <v>Fe</v>
      </c>
      <c r="V6" s="191"/>
      <c r="W6" s="191"/>
      <c r="X6" s="191"/>
      <c r="Y6" s="191"/>
      <c r="Z6" s="58"/>
      <c r="AA6" s="183" t="s">
        <v>2</v>
      </c>
      <c r="AB6" s="183"/>
      <c r="AC6" s="183"/>
      <c r="AD6" s="184">
        <f>Basisdaten!AD6</f>
        <v>42654</v>
      </c>
      <c r="AE6" s="184"/>
      <c r="AF6" s="184"/>
      <c r="AG6" s="184"/>
      <c r="AH6" s="184"/>
      <c r="AI6" s="59"/>
    </row>
    <row r="7" spans="2:35" ht="15" customHeight="1">
      <c r="B7" s="56"/>
      <c r="C7" s="202" t="s">
        <v>3</v>
      </c>
      <c r="D7" s="202"/>
      <c r="E7" s="202"/>
      <c r="F7" s="202"/>
      <c r="G7" s="202"/>
      <c r="H7" s="190" t="str">
        <f>Basisdaten!H7</f>
        <v>Werkstoff_1</v>
      </c>
      <c r="I7" s="190"/>
      <c r="J7" s="190"/>
      <c r="K7" s="190"/>
      <c r="L7" s="190"/>
      <c r="M7" s="190"/>
      <c r="N7" s="58"/>
      <c r="O7" s="202" t="s">
        <v>4</v>
      </c>
      <c r="P7" s="202"/>
      <c r="Q7" s="202"/>
      <c r="R7" s="202"/>
      <c r="S7" s="202"/>
      <c r="T7" s="239"/>
      <c r="U7" s="191">
        <f>Basisdaten!U7</f>
        <v>123456</v>
      </c>
      <c r="V7" s="191"/>
      <c r="W7" s="191"/>
      <c r="X7" s="191"/>
      <c r="Y7" s="191"/>
      <c r="Z7" s="58"/>
      <c r="AA7" s="202" t="s">
        <v>5</v>
      </c>
      <c r="AB7" s="202"/>
      <c r="AC7" s="202"/>
      <c r="AD7" s="202"/>
      <c r="AE7" s="190" t="str">
        <f>Basisdaten!AE7</f>
        <v>Fz 10x20</v>
      </c>
      <c r="AF7" s="190"/>
      <c r="AG7" s="190"/>
      <c r="AH7" s="190"/>
      <c r="AI7" s="59"/>
    </row>
    <row r="8" spans="2:35" ht="15" customHeight="1">
      <c r="B8" s="56"/>
      <c r="C8" s="202" t="s">
        <v>6</v>
      </c>
      <c r="D8" s="202"/>
      <c r="E8" s="202"/>
      <c r="F8" s="202"/>
      <c r="G8" s="202"/>
      <c r="I8" s="190" t="str">
        <f>Basisdaten!H8</f>
        <v>M_1</v>
      </c>
      <c r="J8" s="190"/>
      <c r="K8" s="190"/>
      <c r="L8" s="190"/>
      <c r="M8" s="190"/>
      <c r="N8" s="58"/>
      <c r="O8" s="202" t="s">
        <v>7</v>
      </c>
      <c r="P8" s="202"/>
      <c r="Q8" s="202"/>
      <c r="R8" s="202"/>
      <c r="S8" s="202"/>
      <c r="T8" s="239"/>
      <c r="U8" s="185">
        <f>Basisdaten!U8</f>
        <v>25</v>
      </c>
      <c r="V8" s="185"/>
      <c r="W8" s="185"/>
      <c r="X8" s="185"/>
      <c r="Y8" s="185"/>
      <c r="Z8" s="58"/>
      <c r="AA8" s="60">
        <f>Basisdaten!AA8</f>
        <v>0</v>
      </c>
      <c r="AB8" s="89"/>
      <c r="AC8" s="89"/>
      <c r="AD8" s="89"/>
      <c r="AE8" s="78"/>
      <c r="AF8" s="78"/>
      <c r="AG8" s="78"/>
      <c r="AH8" s="78"/>
      <c r="AI8" s="59"/>
    </row>
    <row r="9" spans="2:35" ht="15" customHeight="1">
      <c r="B9" s="77"/>
      <c r="C9" s="78" t="s">
        <v>58</v>
      </c>
      <c r="D9" s="60"/>
      <c r="E9" s="60"/>
      <c r="F9" s="60"/>
      <c r="G9" s="60"/>
      <c r="H9" s="60"/>
      <c r="I9" s="60"/>
      <c r="J9" s="201">
        <f>Basisdaten!J9</f>
        <v>0.02</v>
      </c>
      <c r="K9" s="201"/>
      <c r="L9" s="201"/>
      <c r="M9" s="201"/>
      <c r="N9" s="76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76"/>
      <c r="AA9" s="60"/>
      <c r="AB9" s="60"/>
      <c r="AC9" s="60"/>
      <c r="AD9" s="60"/>
      <c r="AE9" s="60"/>
      <c r="AF9" s="60"/>
      <c r="AG9" s="60"/>
      <c r="AH9" s="60"/>
      <c r="AI9" s="79"/>
    </row>
    <row r="10" spans="2:35" ht="15" customHeight="1">
      <c r="B10" s="6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68"/>
    </row>
    <row r="11" spans="2:35" ht="15" customHeight="1">
      <c r="B11" s="63"/>
      <c r="T11" s="58"/>
      <c r="AI11" s="59"/>
    </row>
    <row r="12" spans="2:35" ht="15" customHeight="1">
      <c r="B12" s="63"/>
      <c r="C12" s="196"/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58"/>
      <c r="Z12" s="87"/>
      <c r="AA12" s="246"/>
      <c r="AB12" s="246"/>
      <c r="AC12" s="246"/>
      <c r="AI12" s="59"/>
    </row>
    <row r="13" spans="2:35" s="58" customFormat="1" ht="15" customHeight="1">
      <c r="B13" s="63"/>
      <c r="D13" s="65"/>
      <c r="E13" s="65"/>
      <c r="F13" s="65"/>
      <c r="G13" s="65"/>
      <c r="H13" s="65"/>
      <c r="I13" s="65"/>
      <c r="J13" s="65"/>
      <c r="K13" s="65"/>
      <c r="AI13" s="66"/>
    </row>
    <row r="14" spans="2:35" s="58" customFormat="1" ht="15" customHeight="1">
      <c r="B14" s="63"/>
      <c r="C14" s="65"/>
      <c r="D14" s="65"/>
      <c r="E14" s="65"/>
      <c r="F14" s="65"/>
      <c r="G14" s="65"/>
      <c r="H14" s="65"/>
      <c r="I14" s="65"/>
      <c r="J14" s="65"/>
      <c r="K14" s="65"/>
      <c r="M14" s="228"/>
      <c r="N14" s="228"/>
      <c r="O14" s="228"/>
      <c r="P14" s="243"/>
      <c r="Q14" s="243"/>
      <c r="AI14" s="66"/>
    </row>
    <row r="15" spans="2:35" s="58" customFormat="1" ht="15" customHeight="1">
      <c r="B15" s="63"/>
      <c r="C15" s="65"/>
      <c r="M15" s="242"/>
      <c r="N15" s="242"/>
      <c r="O15" s="242"/>
      <c r="P15" s="76"/>
      <c r="Q15" s="76"/>
      <c r="AI15" s="66"/>
    </row>
    <row r="16" spans="2:35" s="58" customFormat="1" ht="15" customHeight="1">
      <c r="B16" s="63"/>
      <c r="K16" s="49"/>
      <c r="L16" s="194"/>
      <c r="M16" s="194"/>
      <c r="N16" s="194"/>
      <c r="O16" s="194"/>
      <c r="P16" s="237"/>
      <c r="Q16" s="237"/>
      <c r="Y16" s="49"/>
      <c r="Z16" s="87"/>
      <c r="AA16" s="246"/>
      <c r="AB16" s="246"/>
      <c r="AC16" s="246"/>
      <c r="AI16" s="66"/>
    </row>
    <row r="17" spans="1:35" s="58" customFormat="1" ht="15" customHeight="1">
      <c r="B17" s="63"/>
      <c r="AI17" s="66"/>
    </row>
    <row r="18" spans="1:35" s="58" customFormat="1" ht="15" customHeight="1">
      <c r="B18" s="63"/>
      <c r="D18" s="69"/>
      <c r="E18" s="69"/>
      <c r="F18" s="69"/>
      <c r="G18" s="69"/>
      <c r="H18" s="69"/>
      <c r="I18" s="69"/>
      <c r="J18" s="69"/>
      <c r="K18" s="69"/>
      <c r="L18" s="69"/>
      <c r="AI18" s="66"/>
    </row>
    <row r="19" spans="1:35" s="58" customFormat="1" ht="15" customHeight="1">
      <c r="B19" s="63"/>
      <c r="C19" s="69"/>
      <c r="AI19" s="66"/>
    </row>
    <row r="20" spans="1:35" s="58" customFormat="1" ht="15" customHeight="1">
      <c r="B20" s="63"/>
      <c r="D20" s="65"/>
      <c r="E20" s="65"/>
      <c r="F20" s="65"/>
      <c r="G20" s="65"/>
      <c r="H20" s="65"/>
      <c r="I20" s="65"/>
      <c r="J20" s="65"/>
      <c r="K20" s="65"/>
      <c r="L20" s="82"/>
      <c r="AI20" s="66"/>
    </row>
    <row r="21" spans="1:35" s="58" customFormat="1" ht="15" customHeight="1">
      <c r="B21" s="63"/>
      <c r="C21" s="88"/>
      <c r="D21" s="65"/>
      <c r="E21" s="65"/>
      <c r="F21" s="65"/>
      <c r="G21" s="65"/>
      <c r="H21" s="65"/>
      <c r="I21" s="65"/>
      <c r="J21" s="65"/>
      <c r="K21" s="65"/>
      <c r="L21" s="65"/>
      <c r="M21" s="241"/>
      <c r="N21" s="241"/>
      <c r="O21" s="241"/>
      <c r="P21" s="241"/>
      <c r="Q21" s="241"/>
      <c r="R21" s="243"/>
      <c r="S21" s="243"/>
      <c r="AI21" s="66"/>
    </row>
    <row r="22" spans="1:35" s="58" customFormat="1" ht="15" customHeight="1">
      <c r="B22" s="63"/>
      <c r="C22" s="88"/>
      <c r="D22" s="65"/>
      <c r="E22" s="65"/>
      <c r="F22" s="65"/>
      <c r="G22" s="65"/>
      <c r="H22" s="65"/>
      <c r="I22" s="65"/>
      <c r="J22" s="65"/>
      <c r="K22" s="70"/>
      <c r="M22" s="241"/>
      <c r="N22" s="241"/>
      <c r="O22" s="241"/>
      <c r="P22" s="241"/>
      <c r="Q22" s="241"/>
      <c r="R22" s="76"/>
      <c r="S22" s="76"/>
      <c r="AI22" s="66"/>
    </row>
    <row r="23" spans="1:35" ht="15" customHeight="1">
      <c r="B23" s="56"/>
      <c r="C23" s="58"/>
      <c r="D23" s="58"/>
      <c r="E23" s="58"/>
      <c r="F23" s="58"/>
      <c r="G23" s="58"/>
      <c r="H23" s="58"/>
      <c r="I23" s="58"/>
      <c r="K23" s="58"/>
      <c r="M23" s="241"/>
      <c r="N23" s="241"/>
      <c r="O23" s="241"/>
      <c r="P23" s="241"/>
      <c r="Q23" s="241"/>
      <c r="R23" s="76"/>
      <c r="S23" s="76"/>
      <c r="AH23" s="83"/>
      <c r="AI23" s="84"/>
    </row>
    <row r="24" spans="1:35" ht="15" customHeight="1">
      <c r="B24" s="56"/>
      <c r="C24" s="58"/>
      <c r="D24" s="58"/>
      <c r="E24" s="58"/>
      <c r="F24" s="58"/>
      <c r="G24" s="58"/>
      <c r="H24" s="58"/>
      <c r="I24" s="58"/>
      <c r="J24" s="58"/>
      <c r="L24" s="83"/>
      <c r="M24" s="241"/>
      <c r="N24" s="241"/>
      <c r="O24" s="241"/>
      <c r="P24" s="241"/>
      <c r="Q24" s="241"/>
      <c r="R24" s="76"/>
      <c r="S24" s="76"/>
      <c r="AI24" s="59"/>
    </row>
    <row r="25" spans="1:35" ht="15" customHeight="1">
      <c r="B25" s="56"/>
      <c r="C25" s="58"/>
      <c r="M25" s="241"/>
      <c r="N25" s="241"/>
      <c r="O25" s="241"/>
      <c r="P25" s="241"/>
      <c r="Q25" s="241"/>
      <c r="R25" s="76"/>
      <c r="S25" s="76"/>
      <c r="AI25" s="59"/>
    </row>
    <row r="26" spans="1:35" ht="15" customHeight="1">
      <c r="A26" s="58"/>
      <c r="B26" s="56"/>
      <c r="C26" s="58"/>
      <c r="M26" s="241"/>
      <c r="N26" s="241"/>
      <c r="O26" s="241"/>
      <c r="P26" s="241"/>
      <c r="Q26" s="241"/>
      <c r="R26" s="76"/>
      <c r="S26" s="76"/>
      <c r="AI26" s="59"/>
    </row>
    <row r="27" spans="1:35" ht="15" customHeight="1">
      <c r="A27" s="58"/>
      <c r="B27" s="56"/>
      <c r="F27" s="58"/>
      <c r="G27" s="58"/>
      <c r="H27" s="58"/>
      <c r="I27" s="58"/>
      <c r="K27" s="58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I27" s="59"/>
    </row>
    <row r="28" spans="1:35" ht="15" customHeight="1">
      <c r="A28" s="58"/>
      <c r="B28" s="56"/>
      <c r="AI28" s="59"/>
    </row>
    <row r="29" spans="1:35" ht="15" customHeight="1">
      <c r="B29" s="67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72"/>
    </row>
    <row r="30" spans="1:35" ht="15" customHeight="1">
      <c r="B30" s="61"/>
      <c r="C30" s="54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54"/>
      <c r="AI30" s="55"/>
    </row>
    <row r="31" spans="1:35" ht="15" customHeight="1">
      <c r="B31" s="63"/>
      <c r="C31" s="73"/>
      <c r="Q31" s="58"/>
      <c r="R31" s="58"/>
      <c r="S31" s="58"/>
      <c r="AI31" s="59"/>
    </row>
    <row r="32" spans="1:35" ht="15" customHeight="1">
      <c r="B32" s="63"/>
      <c r="Q32" s="58"/>
      <c r="R32" s="58"/>
      <c r="S32" s="58"/>
      <c r="AI32" s="59"/>
    </row>
    <row r="33" spans="2:35" ht="15" customHeight="1">
      <c r="B33" s="63"/>
      <c r="C33" s="58"/>
      <c r="D33" s="58"/>
      <c r="E33" s="58"/>
      <c r="F33" s="58"/>
      <c r="G33" s="58"/>
      <c r="H33" s="58"/>
      <c r="I33" s="58"/>
      <c r="M33" s="240"/>
      <c r="N33" s="240"/>
      <c r="O33" s="240"/>
      <c r="P33" s="240"/>
      <c r="Q33" s="240"/>
      <c r="R33" s="243"/>
      <c r="S33" s="243"/>
      <c r="U33" s="65"/>
      <c r="AI33" s="59"/>
    </row>
    <row r="34" spans="2:35" ht="15" customHeight="1">
      <c r="B34" s="63"/>
      <c r="C34" s="58"/>
      <c r="D34" s="58"/>
      <c r="E34" s="58"/>
      <c r="F34" s="58"/>
      <c r="G34" s="58"/>
      <c r="H34" s="58"/>
      <c r="I34" s="58"/>
      <c r="M34" s="240"/>
      <c r="N34" s="240"/>
      <c r="O34" s="240"/>
      <c r="P34" s="240"/>
      <c r="Q34" s="240"/>
      <c r="R34" s="243"/>
      <c r="S34" s="243"/>
      <c r="U34" s="245"/>
      <c r="V34" s="245"/>
      <c r="W34" s="245"/>
      <c r="X34" s="245"/>
      <c r="Y34" s="245"/>
      <c r="Z34" s="245"/>
      <c r="AA34" s="245"/>
      <c r="AB34" s="245"/>
      <c r="AC34" s="245"/>
      <c r="AD34" s="245"/>
      <c r="AE34" s="245"/>
      <c r="AF34" s="245"/>
      <c r="AG34" s="245"/>
      <c r="AH34" s="245"/>
      <c r="AI34" s="59"/>
    </row>
    <row r="35" spans="2:35" ht="15" customHeight="1">
      <c r="B35" s="63"/>
      <c r="C35" s="58"/>
      <c r="D35" s="58"/>
      <c r="E35" s="58"/>
      <c r="F35" s="58"/>
      <c r="G35" s="58"/>
      <c r="H35" s="58"/>
      <c r="I35" s="58"/>
      <c r="M35" s="242"/>
      <c r="N35" s="242"/>
      <c r="O35" s="242"/>
      <c r="P35" s="242"/>
      <c r="Q35" s="242"/>
      <c r="R35" s="243"/>
      <c r="S35" s="243"/>
      <c r="T35" s="58"/>
      <c r="AC35" s="244"/>
      <c r="AD35" s="244"/>
      <c r="AE35" s="244"/>
      <c r="AF35" s="244"/>
      <c r="AG35" s="244"/>
      <c r="AI35" s="59"/>
    </row>
    <row r="36" spans="2:35" ht="15" customHeight="1">
      <c r="B36" s="63"/>
      <c r="C36" s="58"/>
      <c r="D36" s="58"/>
      <c r="E36" s="58"/>
      <c r="F36" s="58"/>
      <c r="G36" s="58"/>
      <c r="H36" s="58"/>
      <c r="I36" s="58"/>
      <c r="J36" s="58"/>
      <c r="M36" s="86"/>
      <c r="N36" s="242"/>
      <c r="O36" s="242"/>
      <c r="P36" s="242"/>
      <c r="Q36" s="242"/>
      <c r="R36" s="243"/>
      <c r="S36" s="243"/>
      <c r="AI36" s="59"/>
    </row>
    <row r="37" spans="2:35" ht="15" customHeight="1">
      <c r="B37" s="63"/>
      <c r="C37" s="58"/>
      <c r="D37" s="58"/>
      <c r="E37" s="58"/>
      <c r="F37" s="58"/>
      <c r="G37" s="58"/>
      <c r="H37" s="58"/>
      <c r="I37" s="58"/>
      <c r="M37" s="242"/>
      <c r="N37" s="242"/>
      <c r="O37" s="242"/>
      <c r="P37" s="242"/>
      <c r="Q37" s="242"/>
      <c r="R37" s="243"/>
      <c r="S37" s="243"/>
      <c r="AI37" s="59"/>
    </row>
    <row r="38" spans="2:35" ht="15" customHeight="1">
      <c r="B38" s="63"/>
      <c r="C38" s="58"/>
      <c r="D38" s="58"/>
      <c r="E38" s="58"/>
      <c r="F38" s="58"/>
      <c r="G38" s="58"/>
      <c r="H38" s="58"/>
      <c r="I38" s="58"/>
      <c r="K38" s="58"/>
      <c r="M38" s="240"/>
      <c r="N38" s="240"/>
      <c r="O38" s="240"/>
      <c r="P38" s="240"/>
      <c r="Q38" s="240"/>
      <c r="R38" s="243"/>
      <c r="S38" s="243"/>
      <c r="AI38" s="59"/>
    </row>
    <row r="39" spans="2:35" ht="15" customHeight="1">
      <c r="B39" s="63"/>
      <c r="AI39" s="59"/>
    </row>
    <row r="40" spans="2:35" ht="15" customHeight="1">
      <c r="B40" s="56"/>
      <c r="C40" s="64"/>
      <c r="AI40" s="59"/>
    </row>
    <row r="41" spans="2:35" ht="15" customHeight="1">
      <c r="B41" s="56"/>
      <c r="AI41" s="59"/>
    </row>
    <row r="42" spans="2:35" ht="15" customHeight="1">
      <c r="B42" s="56"/>
      <c r="AI42" s="59"/>
    </row>
    <row r="43" spans="2:35" ht="15" customHeight="1">
      <c r="B43" s="56"/>
      <c r="AI43" s="59"/>
    </row>
    <row r="44" spans="2:35" ht="15" customHeight="1">
      <c r="B44" s="56"/>
      <c r="AI44" s="59"/>
    </row>
    <row r="45" spans="2:35" ht="15" customHeight="1">
      <c r="B45" s="56"/>
      <c r="AI45" s="59"/>
    </row>
    <row r="46" spans="2:35" ht="15" customHeight="1">
      <c r="B46" s="56"/>
      <c r="AI46" s="59"/>
    </row>
    <row r="47" spans="2:35" ht="15" customHeight="1">
      <c r="B47" s="56"/>
      <c r="AI47" s="59"/>
    </row>
    <row r="48" spans="2:35" ht="15" customHeight="1">
      <c r="B48" s="56"/>
      <c r="AI48" s="59"/>
    </row>
    <row r="49" spans="2:35" ht="15" customHeight="1">
      <c r="B49" s="56"/>
      <c r="AI49" s="59"/>
    </row>
    <row r="50" spans="2:35" ht="15" customHeight="1">
      <c r="B50" s="56"/>
      <c r="AI50" s="59"/>
    </row>
    <row r="51" spans="2:35" ht="15" customHeight="1">
      <c r="B51" s="56"/>
      <c r="AI51" s="59"/>
    </row>
    <row r="52" spans="2:35" ht="15" customHeight="1">
      <c r="B52" s="56"/>
      <c r="AI52" s="59"/>
    </row>
    <row r="53" spans="2:35" ht="15" customHeight="1">
      <c r="B53" s="56"/>
      <c r="AI53" s="59"/>
    </row>
    <row r="54" spans="2:35" ht="15" customHeight="1">
      <c r="B54" s="56"/>
      <c r="AI54" s="59"/>
    </row>
    <row r="55" spans="2:35" ht="15" customHeight="1">
      <c r="B55" s="71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72"/>
    </row>
    <row r="56" spans="2:35" ht="15" customHeight="1"/>
  </sheetData>
  <mergeCells count="46">
    <mergeCell ref="M21:Q21"/>
    <mergeCell ref="M22:Q22"/>
    <mergeCell ref="M26:Q26"/>
    <mergeCell ref="M24:Q24"/>
    <mergeCell ref="R21:S21"/>
    <mergeCell ref="M23:Q23"/>
    <mergeCell ref="M25:Q25"/>
    <mergeCell ref="AC35:AG35"/>
    <mergeCell ref="R33:S33"/>
    <mergeCell ref="R34:S34"/>
    <mergeCell ref="U34:AH34"/>
    <mergeCell ref="M35:Q35"/>
    <mergeCell ref="R35:S35"/>
    <mergeCell ref="M33:Q33"/>
    <mergeCell ref="R38:S38"/>
    <mergeCell ref="M37:Q37"/>
    <mergeCell ref="M38:Q38"/>
    <mergeCell ref="N36:Q36"/>
    <mergeCell ref="M34:Q34"/>
    <mergeCell ref="R36:S36"/>
    <mergeCell ref="R37:S37"/>
    <mergeCell ref="J9:M9"/>
    <mergeCell ref="P16:Q16"/>
    <mergeCell ref="I8:M8"/>
    <mergeCell ref="C12:S12"/>
    <mergeCell ref="C8:G8"/>
    <mergeCell ref="L16:O16"/>
    <mergeCell ref="M14:O14"/>
    <mergeCell ref="M15:O15"/>
    <mergeCell ref="P14:Q14"/>
    <mergeCell ref="C7:G7"/>
    <mergeCell ref="C6:E6"/>
    <mergeCell ref="F6:M6"/>
    <mergeCell ref="U6:Y6"/>
    <mergeCell ref="U8:Y8"/>
    <mergeCell ref="O8:T8"/>
    <mergeCell ref="O6:S6"/>
    <mergeCell ref="H7:M7"/>
    <mergeCell ref="O7:T7"/>
    <mergeCell ref="AD6:AH6"/>
    <mergeCell ref="AE7:AH7"/>
    <mergeCell ref="AA7:AD7"/>
    <mergeCell ref="AA16:AC16"/>
    <mergeCell ref="U7:Y7"/>
    <mergeCell ref="AA6:AC6"/>
    <mergeCell ref="AA12:AC12"/>
  </mergeCells>
  <phoneticPr fontId="4" type="noConversion"/>
  <pageMargins left="0.78740157480314965" right="0.19685039370078741" top="0.47244094488188981" bottom="0.47244094488188981" header="0.51181102362204722" footer="0.51181102362204722"/>
  <pageSetup paperSize="9" scale="94" orientation="portrait" r:id="rId1"/>
  <headerFooter alignWithMargins="0">
    <oddFooter>&amp;R&amp;8Ersteller: Fe, 30.11.07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Charts</vt:lpstr>
      </vt:variant>
      <vt:variant>
        <vt:i4>3</vt:i4>
      </vt:variant>
    </vt:vector>
  </HeadingPairs>
  <TitlesOfParts>
    <vt:vector size="9" baseType="lpstr">
      <vt:lpstr>Basisdaten</vt:lpstr>
      <vt:lpstr>Messdaten</vt:lpstr>
      <vt:lpstr>Auswertung</vt:lpstr>
      <vt:lpstr>Protokoll</vt:lpstr>
      <vt:lpstr>Protokoll 2</vt:lpstr>
      <vt:lpstr>Protokoll 3</vt:lpstr>
      <vt:lpstr>Diagramm1</vt:lpstr>
      <vt:lpstr>Diagramm 1</vt:lpstr>
      <vt:lpstr>Diagramm 2</vt:lpstr>
    </vt:vector>
  </TitlesOfParts>
  <Company>Fraunhofer-Gesellschaft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</dc:creator>
  <cp:lastModifiedBy>Daku</cp:lastModifiedBy>
  <cp:lastPrinted>2016-10-19T06:20:56Z</cp:lastPrinted>
  <dcterms:created xsi:type="dcterms:W3CDTF">2003-03-10T11:27:43Z</dcterms:created>
  <dcterms:modified xsi:type="dcterms:W3CDTF">2023-04-13T23:12:32Z</dcterms:modified>
</cp:coreProperties>
</file>